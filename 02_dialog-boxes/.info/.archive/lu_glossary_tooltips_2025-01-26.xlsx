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E4654046-9424-41FD-B026-7B2744910640}" xr6:coauthVersionLast="47" xr6:coauthVersionMax="47" xr10:uidLastSave="{00000000-0000-0000-0000-000000000000}"/>
  <bookViews>
    <workbookView xWindow="-120" yWindow="-120" windowWidth="29040" windowHeight="15720" tabRatio="848" firstSheet="3" activeTab="10" xr2:uid="{32826B30-023B-4127-ABE9-C7B486FB36E7}"/>
  </bookViews>
  <sheets>
    <sheet name="FIX" sheetId="68" r:id="rId1"/>
    <sheet name="ADD" sheetId="55" r:id="rId2"/>
    <sheet name="ISSUES" sheetId="63" r:id="rId3"/>
    <sheet name="glossary" sheetId="3" r:id="rId4"/>
    <sheet name="lu_question_option" sheetId="70" r:id="rId5"/>
    <sheet name="add_extra_yaml" sheetId="60" r:id="rId6"/>
    <sheet name="nametitle_modappl" sheetId="49" r:id="rId7"/>
    <sheet name="find_replace" sheetId="57" r:id="rId8"/>
    <sheet name="find_key" sheetId="67" r:id="rId9"/>
    <sheet name="find_replace_single" sheetId="58" r:id="rId10"/>
    <sheet name="references" sheetId="69" r:id="rId11"/>
    <sheet name="q_lu_prog_level_TOC" sheetId="71" r:id="rId12"/>
    <sheet name="q_approach" sheetId="75" r:id="rId13"/>
    <sheet name="q_lu_info_pages" sheetId="73" r:id="rId14"/>
    <sheet name="OTHER" sheetId="76" r:id="rId15"/>
    <sheet name="q_sub_links" sheetId="72" r:id="rId16"/>
    <sheet name="q_notes" sheetId="74" r:id="rId17"/>
    <sheet name="kemp_et_al_2022" sheetId="38" r:id="rId18"/>
  </sheets>
  <definedNames>
    <definedName name="_xlnm._FilterDatabase" localSheetId="1" hidden="1">ADD!$A$1:$I$10</definedName>
    <definedName name="_xlnm._FilterDatabase" localSheetId="8" hidden="1">find_key!$A$1:$C$45</definedName>
    <definedName name="_xlnm._FilterDatabase" localSheetId="7" hidden="1">find_replace!$A$1:$R$495</definedName>
    <definedName name="_xlnm._FilterDatabase" localSheetId="9" hidden="1">find_replace_single!$A$1:$H$47</definedName>
    <definedName name="_xlnm._FilterDatabase" localSheetId="3" hidden="1">glossary!$A$1:$Z$233</definedName>
    <definedName name="_xlnm._FilterDatabase" localSheetId="2" hidden="1">ISSUES!$A$1:$E$1</definedName>
    <definedName name="_xlnm._FilterDatabase" localSheetId="17" hidden="1">kemp_et_al_2022!$A$1:$F$41</definedName>
    <definedName name="_xlnm._FilterDatabase" localSheetId="4" hidden="1">lu_question_option!$A$1:$H$145</definedName>
    <definedName name="_xlnm._FilterDatabase" localSheetId="6" hidden="1">nametitle_modappl!$A$1:$I$29</definedName>
    <definedName name="_xlnm._FilterDatabase" localSheetId="12" hidden="1">q_approach!$A$1:$I$54</definedName>
    <definedName name="_xlnm._FilterDatabase" localSheetId="13" hidden="1">q_lu_info_pages!$A$1:$N$84</definedName>
    <definedName name="_xlnm._FilterDatabase" localSheetId="11" hidden="1">q_lu_prog_level_TOC!$A$1:$D$8</definedName>
    <definedName name="_xlnm._FilterDatabase" localSheetId="16" hidden="1">q_notes!$A$1:$B$54</definedName>
    <definedName name="_xlnm._FilterDatabase" localSheetId="10" hidden="1">references!$A$1:$V$501</definedName>
    <definedName name="access_method" localSheetId="3">glossary!#REF!</definedName>
    <definedName name="access_method" localSheetId="6">nametitle_modappl!#REF!</definedName>
    <definedName name="age_class_adult" localSheetId="3">glossary!$E$18</definedName>
    <definedName name="age_class_adult" localSheetId="6">nametitle_modappl!#REF!</definedName>
    <definedName name="age_class_juvenile" localSheetId="3">glossary!$E$41</definedName>
    <definedName name="age_class_juvenile" localSheetId="6">nametitle_modappl!#REF!</definedName>
    <definedName name="age_class_subadult_yearling" localSheetId="3">glossary!$E$64</definedName>
    <definedName name="age_class_subadult_yearling" localSheetId="6">nametitle_modappl!#REF!</definedName>
    <definedName name="age_class_subadult_youngofyear" localSheetId="3">glossary!$E$65</definedName>
    <definedName name="age_class_subadult_youngofyear" localSheetId="6">nametitle_modappl!#REF!</definedName>
    <definedName name="analyst" localSheetId="3">glossary!$E$20</definedName>
    <definedName name="analyst" localSheetId="6">nametitle_modappl!#REF!</definedName>
    <definedName name="animal_id" localSheetId="3">glossary!#REF!</definedName>
    <definedName name="animal_id" localSheetId="6">nametitle_modappl!#REF!</definedName>
    <definedName name="baitlure_audible_lure" localSheetId="3">glossary!$E$75</definedName>
    <definedName name="baitlure_audible_lure" localSheetId="6">nametitle_modappl!#REF!</definedName>
    <definedName name="baitlure_bait_lure_type" localSheetId="3">glossary!$E$21</definedName>
    <definedName name="baitlure_bait_lure_type" localSheetId="6">nametitle_modappl!#REF!</definedName>
    <definedName name="baitlure_lure" localSheetId="3">glossary!#REF!</definedName>
    <definedName name="baitlure_lure" localSheetId="6">nametitle_modappl!#REF!</definedName>
    <definedName name="baitlure_scent_lure" localSheetId="3">glossary!$E$117</definedName>
    <definedName name="baitlure_scent_lure" localSheetId="6">nametitle_modappl!#REF!</definedName>
    <definedName name="baitlure_visual_lure" localSheetId="3">glossary!$E$148</definedName>
    <definedName name="baitlure_visual_lure" localSheetId="6">nametitle_modappl!#REF!</definedName>
    <definedName name="batteries_replaced" localSheetId="3">glossary!#REF!</definedName>
    <definedName name="batteries_replaced" localSheetId="6">nametitle_modappl!#REF!</definedName>
    <definedName name="behaviour" localSheetId="3">glossary!#REF!</definedName>
    <definedName name="behaviour" localSheetId="6">nametitle_modappl!#REF!</definedName>
    <definedName name="camera_active_on_arrival" localSheetId="3">glossary!#REF!</definedName>
    <definedName name="camera_active_on_arrival" localSheetId="6">nametitle_modappl!#REF!</definedName>
    <definedName name="camera_active_on_departure" localSheetId="3">glossary!#REF!</definedName>
    <definedName name="camera_active_on_departure" localSheetId="6">nametitle_modappl!#REF!</definedName>
    <definedName name="camera_angle" localSheetId="3">glossary!$E$78</definedName>
    <definedName name="camera_angle" localSheetId="6">nametitle_modappl!#REF!</definedName>
    <definedName name="camera_attachment" localSheetId="3">glossary!#REF!</definedName>
    <definedName name="camera_attachment" localSheetId="6">nametitle_modappl!#REF!</definedName>
    <definedName name="camera_damaged" localSheetId="3">glossary!#REF!</definedName>
    <definedName name="camera_damaged" localSheetId="6">nametitle_modappl!#REF!</definedName>
    <definedName name="camera_days_per_camera_location" localSheetId="3">glossary!$E$79</definedName>
    <definedName name="camera_days_per_camera_location" localSheetId="6">nametitle_modappl!#REF!</definedName>
    <definedName name="camera_direction" localSheetId="3">glossary!#REF!</definedName>
    <definedName name="camera_direction" localSheetId="6">nametitle_modappl!#REF!</definedName>
    <definedName name="camera_height" localSheetId="3">glossary!$E$22</definedName>
    <definedName name="camera_height" localSheetId="6">nametitle_modappl!#REF!</definedName>
    <definedName name="camera_id" localSheetId="3">glossary!$E$23</definedName>
    <definedName name="camera_id" localSheetId="6">nametitle_modappl!#REF!</definedName>
    <definedName name="camera_location_characteristics" localSheetId="3">glossary!#REF!</definedName>
    <definedName name="camera_location_characteristics" localSheetId="6">nametitle_modappl!#REF!</definedName>
    <definedName name="camera_location_comments" localSheetId="3">glossary!#REF!</definedName>
    <definedName name="camera_location_comments" localSheetId="6">nametitle_modappl!#REF!</definedName>
    <definedName name="camera_location_name" localSheetId="3">glossary!$E$24</definedName>
    <definedName name="camera_location_name" localSheetId="6">nametitle_modappl!#REF!</definedName>
    <definedName name="camera_make" localSheetId="3">glossary!$E$25</definedName>
    <definedName name="camera_make" localSheetId="6">nametitle_modappl!#REF!</definedName>
    <definedName name="camera_model" localSheetId="3">glossary!$E$26</definedName>
    <definedName name="camera_model" localSheetId="6">nametitle_modappl!#REF!</definedName>
    <definedName name="camera_serial_number" localSheetId="3">glossary!$E$27</definedName>
    <definedName name="camera_serial_number" localSheetId="6">nametitle_modappl!#REF!</definedName>
    <definedName name="camera_spacing" localSheetId="3">glossary!$E$81</definedName>
    <definedName name="camera_spacing" localSheetId="6">nametitle_modappl!#REF!</definedName>
    <definedName name="crew" localSheetId="3">glossary!$E$86</definedName>
    <definedName name="crew" localSheetId="6">nametitle_modappl!#REF!</definedName>
    <definedName name="cumulative_det_probability" localSheetId="3">glossary!$E$87</definedName>
    <definedName name="cumulative_det_probability" localSheetId="6">nametitle_modappl!#REF!</definedName>
    <definedName name="density" localSheetId="3">glossary!$E$88</definedName>
    <definedName name="density" localSheetId="6">nametitle_modappl!#REF!</definedName>
    <definedName name="deployment_area_photo_number" localSheetId="3">glossary!#REF!</definedName>
    <definedName name="deployment_area_photo_number" localSheetId="6">nametitle_modappl!#REF!</definedName>
    <definedName name="deployment_area_photos_taken" localSheetId="3">glossary!#REF!</definedName>
    <definedName name="deployment_area_photos_taken" localSheetId="6">nametitle_modappl!#REF!</definedName>
    <definedName name="deployment_comments" localSheetId="3">glossary!#REF!</definedName>
    <definedName name="deployment_comments" localSheetId="6">nametitle_modappl!#REF!</definedName>
    <definedName name="deployment_crew" localSheetId="3">glossary!$E$28</definedName>
    <definedName name="deployment_crew" localSheetId="6">nametitle_modappl!#REF!</definedName>
    <definedName name="deployment_end_date_time" localSheetId="3">glossary!$E$29</definedName>
    <definedName name="deployment_end_date_time" localSheetId="6">nametitle_modappl!#REF!</definedName>
    <definedName name="deployment_image_count" localSheetId="3">glossary!#REF!</definedName>
    <definedName name="deployment_image_count" localSheetId="6">nametitle_modappl!#REF!</definedName>
    <definedName name="deployment_metadata" localSheetId="3">glossary!$E$91</definedName>
    <definedName name="deployment_metadata" localSheetId="6">nametitle_modappl!#REF!</definedName>
    <definedName name="deployment_name" localSheetId="3">glossary!$E$30</definedName>
    <definedName name="deployment_name" localSheetId="6">nametitle_modappl!#REF!</definedName>
    <definedName name="deployment_start_date_time" localSheetId="3">glossary!$E$31</definedName>
    <definedName name="deployment_start_date_time" localSheetId="6">nametitle_modappl!#REF!</definedName>
    <definedName name="deployment_visit" localSheetId="3">glossary!$E$92</definedName>
    <definedName name="deployment_visit" localSheetId="6">nametitle_modappl!#REF!</definedName>
    <definedName name="detection_distance" localSheetId="3">glossary!$E$94</definedName>
    <definedName name="detection_distance" localSheetId="6">nametitle_modappl!#REF!</definedName>
    <definedName name="detection_event" localSheetId="3">glossary!$E$93</definedName>
    <definedName name="detection_event" localSheetId="6">nametitle_modappl!#REF!</definedName>
    <definedName name="detection_probability" localSheetId="3">glossary!$E$95</definedName>
    <definedName name="detection_probability" localSheetId="6">nametitle_modappl!#REF!</definedName>
    <definedName name="detection_rate" localSheetId="3">glossary!$E$96</definedName>
    <definedName name="detection_rate" localSheetId="6">nametitle_modappl!#REF!</definedName>
    <definedName name="detection_zone" localSheetId="3">glossary!$E$97</definedName>
    <definedName name="detection_zone" localSheetId="6">nametitle_modappl!#REF!</definedName>
    <definedName name="easting_camera_location" localSheetId="3">glossary!$E$32</definedName>
    <definedName name="easting_camera_location" localSheetId="6">nametitle_modappl!#REF!</definedName>
    <definedName name="effective_detection_distance" localSheetId="3">glossary!#REF!</definedName>
    <definedName name="effective_detection_distance" localSheetId="6">nametitle_modappl!#REF!</definedName>
    <definedName name="event_type" localSheetId="3">glossary!$E$33</definedName>
    <definedName name="event_type" localSheetId="6">nametitle_modappl!#REF!</definedName>
    <definedName name="event_type_tag" localSheetId="3">glossary!$E$70</definedName>
    <definedName name="event_type_tag" localSheetId="6">nametitle_modappl!#REF!</definedName>
    <definedName name="false_trigger" localSheetId="3">glossary!#REF!</definedName>
    <definedName name="false_trigger" localSheetId="6">nametitle_modappl!#REF!</definedName>
    <definedName name="field_of_view" localSheetId="3">glossary!#REF!</definedName>
    <definedName name="field_of_view" localSheetId="6">nametitle_modappl!#REF!</definedName>
    <definedName name="figure6_ref_id" localSheetId="2">ISSUES!#REF!</definedName>
    <definedName name="figure7_ref_id" localSheetId="2">ISSUES!#REF!</definedName>
    <definedName name="fov_registration_area" localSheetId="3">glossary!$E$113</definedName>
    <definedName name="fov_registration_area" localSheetId="6">nametitle_modappl!#REF!</definedName>
    <definedName name="fov_target_distance" localSheetId="3">glossary!#REF!</definedName>
    <definedName name="fov_target_distance" localSheetId="6">nametitle_modappl!#REF!</definedName>
    <definedName name="fov_viewshed" localSheetId="3">glossary!$E$144</definedName>
    <definedName name="fov_viewshed" localSheetId="6">nametitle_modappl!#REF!</definedName>
    <definedName name="fov_viewshed_density_estimators" localSheetId="3">glossary!$E$145</definedName>
    <definedName name="fov_viewshed_density_estimators" localSheetId="6">nametitle_modappl!#REF!</definedName>
    <definedName name="gps_unit_accuracy" localSheetId="3">glossary!$E$35</definedName>
    <definedName name="gps_unit_accuracy" localSheetId="6">nametitle_modappl!#REF!</definedName>
    <definedName name="human_transport_mode_activity" localSheetId="3">glossary!#REF!</definedName>
    <definedName name="human_transport_mode_activity" localSheetId="6">nametitle_modappl!#REF!</definedName>
    <definedName name="image_classification" localSheetId="3">glossary!#REF!</definedName>
    <definedName name="image_classification" localSheetId="6">nametitle_modappl!#REF!</definedName>
    <definedName name="image_classification_confidence" localSheetId="3">glossary!#REF!</definedName>
    <definedName name="image_classification_confidence" localSheetId="6">nametitle_modappl!#REF!</definedName>
    <definedName name="image_flash_output" localSheetId="3">glossary!#REF!</definedName>
    <definedName name="image_flash_output" localSheetId="6">nametitle_modappl!#REF!</definedName>
    <definedName name="image_infrared_illuminator" localSheetId="3">glossary!#REF!</definedName>
    <definedName name="image_infrared_illuminator" localSheetId="6">nametitle_modappl!#REF!</definedName>
    <definedName name="image_name" localSheetId="3">glossary!$E$36</definedName>
    <definedName name="image_name" localSheetId="6">nametitle_modappl!#REF!</definedName>
    <definedName name="image_processing" localSheetId="3">glossary!#REF!</definedName>
    <definedName name="image_processing" localSheetId="6">nametitle_modappl!#REF!</definedName>
    <definedName name="image_sequence_comments" localSheetId="3">glossary!#REF!</definedName>
    <definedName name="image_sequence_comments" localSheetId="6">nametitle_modappl!#REF!</definedName>
    <definedName name="image_sequence_date_time" localSheetId="3">glossary!$E$39</definedName>
    <definedName name="image_sequence_date_time" localSheetId="6">nametitle_modappl!#REF!</definedName>
    <definedName name="image_set_end_date_time" localSheetId="3">glossary!$E$37</definedName>
    <definedName name="image_set_end_date_time" localSheetId="6">nametitle_modappl!#REF!</definedName>
    <definedName name="image_set_start_date_time" localSheetId="3">glossary!$E$38</definedName>
    <definedName name="image_set_start_date_time" localSheetId="6">nametitle_modappl!#REF!</definedName>
    <definedName name="image_tagging" localSheetId="3">glossary!#REF!</definedName>
    <definedName name="image_tagging" localSheetId="6">nametitle_modappl!#REF!</definedName>
    <definedName name="image_trigger_mode" localSheetId="3">glossary!#REF!</definedName>
    <definedName name="image_trigger_mode" localSheetId="6">nametitle_modappl!#REF!</definedName>
    <definedName name="imperfect_detection" localSheetId="3">glossary!#REF!</definedName>
    <definedName name="imperfect_detection" localSheetId="6">nametitle_modappl!#REF!</definedName>
    <definedName name="independent_detection" localSheetId="3">glossary!#REF!</definedName>
    <definedName name="independent_detection" localSheetId="6">nametitle_modappl!#REF!</definedName>
    <definedName name="individual_count" localSheetId="3">glossary!$E$40</definedName>
    <definedName name="individual_count" localSheetId="6">nametitle_modappl!#REF!</definedName>
    <definedName name="intensity_of_use" localSheetId="3">glossary!#REF!</definedName>
    <definedName name="intensity_of_use" localSheetId="6">nametitle_modappl!#REF!</definedName>
    <definedName name="inter_detection_interval" localSheetId="3">glossary!#REF!</definedName>
    <definedName name="inter_detection_interval" localSheetId="6">nametitle_modappl!#REF!</definedName>
    <definedName name="kernel_density_estimator" localSheetId="3">glossary!#REF!</definedName>
    <definedName name="kernel_density_estimator" localSheetId="6">nametitle_modappl!#REF!</definedName>
    <definedName name="key_id" localSheetId="3">glossary!#REF!</definedName>
    <definedName name="key_id" localSheetId="6">nametitle_modappl!#REF!</definedName>
    <definedName name="latitude_camera_location" localSheetId="3">glossary!$E$42</definedName>
    <definedName name="latitude_camera_location" localSheetId="6">nametitle_modappl!#REF!</definedName>
    <definedName name="longitude_camera_location" localSheetId="3">glossary!$E$43</definedName>
    <definedName name="longitude_camera_location" localSheetId="6">nametitle_modappl!#REF!</definedName>
    <definedName name="metadata" localSheetId="3">glossary!#REF!</definedName>
    <definedName name="metadata" localSheetId="6">nametitle_modappl!#REF!</definedName>
    <definedName name="mods_2flankspim" localSheetId="3">glossary!$E$126</definedName>
    <definedName name="mods_2flankspim" localSheetId="6">nametitle_modappl!#REF!</definedName>
    <definedName name="mods_catspim" localSheetId="3">glossary!$E$83</definedName>
    <definedName name="mods_catspim" localSheetId="6">nametitle_modappl!#REF!</definedName>
    <definedName name="mods_cr_cmr" localSheetId="3">glossary!$E$82</definedName>
    <definedName name="mods_cr_cmr" localSheetId="6">nametitle_modappl!#REF!</definedName>
    <definedName name="mods_distance_sampling" localSheetId="3">glossary!#REF!</definedName>
    <definedName name="mods_distance_sampling" localSheetId="6">nametitle_modappl!#REF!</definedName>
    <definedName name="mods_hurdle" localSheetId="3">glossary!#REF!</definedName>
    <definedName name="mods_hurdle" localSheetId="6">nametitle_modappl!#REF!</definedName>
    <definedName name="mods_instantaneous_sampling" localSheetId="3">glossary!#REF!</definedName>
    <definedName name="mods_instantaneous_sampling" localSheetId="6">nametitle_modappl!#REF!</definedName>
    <definedName name="mods_inventory" localSheetId="3">glossary!#REF!</definedName>
    <definedName name="mods_inventory" localSheetId="6">nametitle_modappl!#REF!</definedName>
    <definedName name="mods_modelling_approach" localSheetId="3">glossary!#REF!</definedName>
    <definedName name="mods_modelling_approach" localSheetId="6">nametitle_modappl!#REF!</definedName>
    <definedName name="mods_modelling_assumption" localSheetId="3">glossary!#REF!</definedName>
    <definedName name="mods_modelling_assumption" localSheetId="6">nametitle_modappl!#REF!</definedName>
    <definedName name="mods_mr" localSheetId="3">glossary!#REF!</definedName>
    <definedName name="mods_mr" localSheetId="6">nametitle_modappl!#REF!</definedName>
    <definedName name="mods_n_mixture" localSheetId="3">glossary!$E$99</definedName>
    <definedName name="mods_n_mixture" localSheetId="6">nametitle_modappl!#REF!</definedName>
    <definedName name="mods_negative_binomial" localSheetId="3">glossary!$E$98</definedName>
    <definedName name="mods_negative_binomial" localSheetId="6">nametitle_modappl!#REF!</definedName>
    <definedName name="mods_occupancy" localSheetId="3">glossary!$E$101</definedName>
    <definedName name="mods_occupancy" localSheetId="6">nametitle_modappl!#REF!</definedName>
    <definedName name="mods_overdispersion" localSheetId="3">glossary!$E$102</definedName>
    <definedName name="mods_overdispersion" localSheetId="6">nametitle_modappl!#REF!</definedName>
    <definedName name="mods_poisson" localSheetId="3">glossary!$E$106</definedName>
    <definedName name="mods_poisson" localSheetId="6">nametitle_modappl!#REF!</definedName>
    <definedName name="mods_relative_abundance" localSheetId="3">glossary!$E$114</definedName>
    <definedName name="mods_relative_abundance" localSheetId="6">nametitle_modappl!#REF!</definedName>
    <definedName name="mods_rem" localSheetId="3">glossary!$E$111</definedName>
    <definedName name="mods_rem" localSheetId="6">nametitle_modappl!#REF!</definedName>
    <definedName name="mods_rest" localSheetId="3">glossary!$E$110</definedName>
    <definedName name="mods_rest" localSheetId="6">nametitle_modappl!#REF!</definedName>
    <definedName name="mods_royle_nichols" localSheetId="3">glossary!$E$115</definedName>
    <definedName name="mods_royle_nichols" localSheetId="6">nametitle_modappl!#REF!</definedName>
    <definedName name="mods_sc" localSheetId="3">glossary!$E$124</definedName>
    <definedName name="mods_sc" localSheetId="6">nametitle_modappl!#REF!</definedName>
    <definedName name="mods_scr_secr" localSheetId="3">glossary!$E$127</definedName>
    <definedName name="mods_scr_secr" localSheetId="6">nametitle_modappl!#REF!</definedName>
    <definedName name="mods_smr" localSheetId="3">glossary!$E$125</definedName>
    <definedName name="mods_smr" localSheetId="6">nametitle_modappl!#REF!</definedName>
    <definedName name="mods_ste" localSheetId="3">glossary!$E$122</definedName>
    <definedName name="mods_ste" localSheetId="6">nametitle_modappl!#REF!</definedName>
    <definedName name="mods_tifc" localSheetId="3">glossary!$E$136</definedName>
    <definedName name="mods_tifc" localSheetId="6">nametitle_modappl!#REF!</definedName>
    <definedName name="mods_tte" localSheetId="3">glossary!$E$138</definedName>
    <definedName name="mods_tte" localSheetId="6">nametitle_modappl!#REF!</definedName>
    <definedName name="mods_zero_inflation" localSheetId="3">glossary!$E$152</definedName>
    <definedName name="mods_zero_inflation" localSheetId="6">nametitle_modappl!#REF!</definedName>
    <definedName name="mods_zinb" localSheetId="3">glossary!$E$150</definedName>
    <definedName name="mods_zinb" localSheetId="6">nametitle_modappl!#REF!</definedName>
    <definedName name="mods_zip" localSheetId="3">glossary!$E$151</definedName>
    <definedName name="mods_zip" localSheetId="6">nametitle_modappl!#REF!</definedName>
    <definedName name="northing_camera_location" localSheetId="3">glossary!$E$49</definedName>
    <definedName name="northing_camera_location" localSheetId="6">nametitle_modappl!#REF!</definedName>
    <definedName name="number_of_images" localSheetId="3">glossary!#REF!</definedName>
    <definedName name="number_of_images" localSheetId="6">nametitle_modappl!#REF!</definedName>
    <definedName name="ocupancy" localSheetId="3">glossary!$E$100</definedName>
    <definedName name="ocupancy" localSheetId="6">nametitle_modappl!#REF!</definedName>
    <definedName name="project_coordinator_email" localSheetId="3">glossary!$E$51</definedName>
    <definedName name="project_coordinator_email" localSheetId="6">nametitle_modappl!#REF!</definedName>
    <definedName name="project_description" localSheetId="3">glossary!$E$53</definedName>
    <definedName name="project_description" localSheetId="6">nametitle_modappl!#REF!</definedName>
    <definedName name="project_name" localSheetId="3">glossary!$E$54</definedName>
    <definedName name="project_name" localSheetId="6">nametitle_modappl!#REF!</definedName>
    <definedName name="pseudoreplication" localSheetId="3">glossary!$E$108</definedName>
    <definedName name="pseudoreplication" localSheetId="6">nametitle_modappl!#REF!</definedName>
    <definedName name="purpose_of_visit" localSheetId="3">glossary!$E$55</definedName>
    <definedName name="purpose_of_visit" localSheetId="6">nametitle_modappl!#REF!</definedName>
    <definedName name="recovery_time" localSheetId="3">glossary!$E$112</definedName>
    <definedName name="recovery_time" localSheetId="6">nametitle_modappl!#REF!</definedName>
    <definedName name="remaining_battery_percent" localSheetId="3">glossary!#REF!</definedName>
    <definedName name="remaining_battery_percent" localSheetId="6">nametitle_modappl!#REF!</definedName>
    <definedName name="resource10_type" localSheetId="2">ISSUES!#REF!</definedName>
    <definedName name="resource11_ref_id" localSheetId="10">references!#REF!</definedName>
    <definedName name="resource12_ref_id" localSheetId="10">references!$F$437</definedName>
    <definedName name="resource2_ref_id" localSheetId="2">ISSUES!#REF!</definedName>
    <definedName name="resource3_ref_id" localSheetId="2">ISSUES!#REF!</definedName>
    <definedName name="resource4_ref_id" localSheetId="2">ISSUES!#REF!</definedName>
    <definedName name="resource5_note" localSheetId="10">references!$G$451</definedName>
    <definedName name="resource5_ref_id" localSheetId="10">references!$H$199</definedName>
    <definedName name="resource8_ref_id" localSheetId="2">ISSUES!#REF!</definedName>
    <definedName name="sample_station_name" localSheetId="3">glossary!$E$57</definedName>
    <definedName name="sample_station_name" localSheetId="6">nametitle_modappl!#REF!</definedName>
    <definedName name="sampledesign_clustered" localSheetId="3">glossary!$E$84</definedName>
    <definedName name="sampledesign_clustered" localSheetId="6">nametitle_modappl!#REF!</definedName>
    <definedName name="sampledesign_convenience" localSheetId="3">glossary!$E$85</definedName>
    <definedName name="sampledesign_convenience" localSheetId="6">nametitle_modappl!#REF!</definedName>
    <definedName name="sampledesign_paired" localSheetId="3">glossary!$E$104</definedName>
    <definedName name="sampledesign_paired" localSheetId="6">nametitle_modappl!#REF!</definedName>
    <definedName name="sampledesign_random" localSheetId="3">glossary!$E$109</definedName>
    <definedName name="sampledesign_random" localSheetId="6">nametitle_modappl!#REF!</definedName>
    <definedName name="sampledesign_stratified" localSheetId="3">glossary!$E$129</definedName>
    <definedName name="sampledesign_stratified" localSheetId="6">nametitle_modappl!#REF!</definedName>
    <definedName name="sampledesign_stratified_random" localSheetId="3">glossary!$E$130</definedName>
    <definedName name="sampledesign_stratified_random" localSheetId="6">nametitle_modappl!#REF!</definedName>
    <definedName name="sampledesign_systematic" localSheetId="3">glossary!#REF!</definedName>
    <definedName name="sampledesign_systematic" localSheetId="6">nametitle_modappl!#REF!</definedName>
    <definedName name="sampledesign_systematic_random" localSheetId="3">glossary!$E$133</definedName>
    <definedName name="sampledesign_systematic_random" localSheetId="6">nametitle_modappl!#REF!</definedName>
    <definedName name="sampledesign_targeted" localSheetId="3">glossary!$E$134</definedName>
    <definedName name="sampledesign_targeted" localSheetId="6">nametitle_modappl!#REF!</definedName>
    <definedName name="sd_card_id" localSheetId="3">glossary!#REF!</definedName>
    <definedName name="sd_card_id" localSheetId="6">nametitle_modappl!#REF!</definedName>
    <definedName name="sd_card_replaced" localSheetId="3">glossary!#REF!</definedName>
    <definedName name="sd_card_replaced" localSheetId="6">nametitle_modappl!#REF!</definedName>
    <definedName name="sd_card_status" localSheetId="3">glossary!$E$2</definedName>
    <definedName name="sd_card_status" localSheetId="6">nametitle_modappl!#REF!</definedName>
    <definedName name="security" localSheetId="3">glossary!$E$3</definedName>
    <definedName name="security" localSheetId="6">nametitle_modappl!#REF!</definedName>
    <definedName name="sequence_name" localSheetId="3">glossary!$E$58</definedName>
    <definedName name="sequence_name" localSheetId="6">nametitle_modappl!#REF!</definedName>
    <definedName name="service_retrieval_comments" localSheetId="3">glossary!$E$4</definedName>
    <definedName name="service_retrieval_comments" localSheetId="6">nametitle_modappl!#REF!</definedName>
    <definedName name="service_retrieval_crew" localSheetId="3">glossary!$E$59</definedName>
    <definedName name="service_retrieval_crew" localSheetId="6">nametitle_modappl!#REF!</definedName>
    <definedName name="service_retrieval_metadata" localSheetId="3">glossary!$E$120</definedName>
    <definedName name="service_retrieval_metadata" localSheetId="6">nametitle_modappl!#REF!</definedName>
    <definedName name="service_retrieval_visit" localSheetId="3">glossary!$E$121</definedName>
    <definedName name="service_retrieval_visit" localSheetId="6">nametitle_modappl!#REF!</definedName>
    <definedName name="settings_flash_output" localSheetId="3">glossary!#REF!</definedName>
    <definedName name="settings_flash_output" localSheetId="6">nametitle_modappl!#REF!</definedName>
    <definedName name="settings_infrared_illum" localSheetId="3">glossary!#REF!</definedName>
    <definedName name="settings_infrared_illum" localSheetId="6">nametitle_modappl!#REF!</definedName>
    <definedName name="settings_motion_image_interval" localSheetId="3">glossary!$E$44</definedName>
    <definedName name="settings_motion_image_interval" localSheetId="6">nametitle_modappl!#REF!</definedName>
    <definedName name="settings_photos_per_trigger" localSheetId="3">glossary!$E$50</definedName>
    <definedName name="settings_photos_per_trigger" localSheetId="6">nametitle_modappl!#REF!</definedName>
    <definedName name="settings_quiet_period" localSheetId="3">glossary!$E$56</definedName>
    <definedName name="settings_quiet_period" localSheetId="6">nametitle_modappl!#REF!</definedName>
    <definedName name="settings_trigger_modes" localSheetId="3">glossary!$E$72</definedName>
    <definedName name="settings_trigger_modes" localSheetId="6">nametitle_modappl!#REF!</definedName>
    <definedName name="settings_trigger_sensitivity" localSheetId="3">glossary!$E$73</definedName>
    <definedName name="settings_trigger_sensitivity" localSheetId="6">nametitle_modappl!#REF!</definedName>
    <definedName name="settings_userlabel" localSheetId="3">glossary!$E$143</definedName>
    <definedName name="settings_userlabel" localSheetId="6">nametitle_modappl!#REF!</definedName>
    <definedName name="settings_video_length" localSheetId="3">glossary!$E$13</definedName>
    <definedName name="settings_video_length" localSheetId="6">nametitle_modappl!#REF!</definedName>
    <definedName name="spatial_autocorrelation" localSheetId="3">glossary!$E$123</definedName>
    <definedName name="spatial_autocorrelation" localSheetId="6">nametitle_modappl!#REF!</definedName>
    <definedName name="species" localSheetId="3">glossary!$E$61</definedName>
    <definedName name="species" localSheetId="6">nametitle_modappl!#REF!</definedName>
    <definedName name="stake_distance" localSheetId="3">glossary!$E$10</definedName>
    <definedName name="stake_distance" localSheetId="6">nametitle_modappl!#REF!</definedName>
    <definedName name="state_variable" localSheetId="3">glossary!$E$128</definedName>
    <definedName name="state_variable" localSheetId="6">nametitle_modappl!#REF!</definedName>
    <definedName name="study_area_description" localSheetId="3">glossary!$E$62</definedName>
    <definedName name="study_area_description" localSheetId="6">nametitle_modappl!#REF!</definedName>
    <definedName name="study_area_name" localSheetId="3">glossary!$E$63</definedName>
    <definedName name="study_area_name" localSheetId="6">nametitle_modappl!#REF!</definedName>
    <definedName name="survey_design_description" localSheetId="3">glossary!$E$11</definedName>
    <definedName name="survey_design_description" localSheetId="6">nametitle_modappl!#REF!</definedName>
    <definedName name="survey_name" localSheetId="3">glossary!$E$68</definedName>
    <definedName name="survey_name" localSheetId="6">nametitle_modappl!#REF!</definedName>
    <definedName name="survey_objectives" localSheetId="3">glossary!$E$69</definedName>
    <definedName name="survey_objectives" localSheetId="6">nametitle_modappl!#REF!</definedName>
    <definedName name="tags_age_class" localSheetId="3">glossary!$E$19</definedName>
    <definedName name="tags_age_class" localSheetId="6">nametitle_modappl!#REF!</definedName>
    <definedName name="tags_sex_class" localSheetId="3">glossary!$E$60</definedName>
    <definedName name="tags_sex_class" localSheetId="6">nametitle_modappl!#REF!</definedName>
    <definedName name="target_species" localSheetId="3">glossary!$E$71</definedName>
    <definedName name="target_species" localSheetId="6">nametitle_modappl!#REF!</definedName>
    <definedName name="test_image_taken" localSheetId="3">glossary!$E$12</definedName>
    <definedName name="test_image_taken" localSheetId="6">nametitle_modappl!#REF!</definedName>
    <definedName name="timelapse_image" localSheetId="3">glossary!$E$137</definedName>
    <definedName name="timelapse_image" localSheetId="6">nametitle_modappl!#REF!</definedName>
    <definedName name="total_number_of_camera_days" localSheetId="3">glossary!$E$139</definedName>
    <definedName name="total_number_of_camera_days" localSheetId="6">nametitle_modappl!#REF!</definedName>
    <definedName name="trigger_event" localSheetId="3">glossary!$E$140</definedName>
    <definedName name="trigger_event" localSheetId="6">nametitle_modappl!#REF!</definedName>
    <definedName name="trigger_speed" localSheetId="3">glossary!$E$141</definedName>
    <definedName name="trigger_speed" localSheetId="6">nametitle_modappl!#REF!</definedName>
    <definedName name="typeid_marked" localSheetId="3">glossary!#REF!</definedName>
    <definedName name="typeid_marked" localSheetId="6">nametitle_modappl!#REF!</definedName>
    <definedName name="typeid_partially_marked" localSheetId="3">glossary!$E$105</definedName>
    <definedName name="typeid_partially_marked" localSheetId="6">nametitle_modappl!#REF!</definedName>
    <definedName name="typeid_unmarked" localSheetId="3">glossary!$E$142</definedName>
    <definedName name="typeid_unmarked" localSheetId="6">nametitle_modappl!#REF!</definedName>
    <definedName name="utm_zone_camera_location" localSheetId="3">glossary!$E$74</definedName>
    <definedName name="utm_zone_camera_location" localSheetId="6">nametitle_modappl!#REF!</definedName>
    <definedName name="vid1_url" localSheetId="10">references!$P$499</definedName>
    <definedName name="vid2_caption" localSheetId="10">references!#REF!</definedName>
    <definedName name="vid2_url" localSheetId="10">references!#REF!</definedName>
    <definedName name="vid3_caption" localSheetId="10">references!#REF!</definedName>
    <definedName name="vid3_url" localSheetId="10">references!#REF!</definedName>
    <definedName name="vid4_caption" localSheetId="10">references!#REF!</definedName>
    <definedName name="vid4_url" localSheetId="10">references!#REF!</definedName>
    <definedName name="vid5_caption" localSheetId="10">references!#REF!</definedName>
    <definedName name="vid5_url" localSheetId="10">references!#REF!</definedName>
    <definedName name="visit_comments" localSheetId="3">glossary!$E$14</definedName>
    <definedName name="visit_comments" localSheetId="6">nametitle_modappl!#REF!</definedName>
    <definedName name="visit_metadata" localSheetId="3">glossary!$E$147</definedName>
    <definedName name="visit_metadata" localSheetId="6">nametitle_modappl!#REF!</definedName>
    <definedName name="walktest_complete" localSheetId="3">glossary!$E$15</definedName>
    <definedName name="walktest_complete" localSheetId="6">nametitle_modappl!#REF!</definedName>
    <definedName name="walktest_distance" localSheetId="3">glossary!$E$16</definedName>
    <definedName name="walktest_distance" localSheetId="6">nametitle_modappl!#REF!</definedName>
    <definedName name="walktest_height" localSheetId="3">glossary!$E$17</definedName>
    <definedName name="walktest_height" localSheetId="6">nametitle_modappl!#REF!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69" l="1"/>
  <c r="T4" i="69"/>
  <c r="T5" i="69"/>
  <c r="T6" i="69"/>
  <c r="T7" i="69"/>
  <c r="T8" i="69"/>
  <c r="T9" i="69"/>
  <c r="T10" i="69"/>
  <c r="T11" i="69"/>
  <c r="T12" i="69"/>
  <c r="T13" i="69"/>
  <c r="T14" i="69"/>
  <c r="T15" i="69"/>
  <c r="T16" i="69"/>
  <c r="T17" i="69"/>
  <c r="T18" i="69"/>
  <c r="T19" i="69"/>
  <c r="T20" i="69"/>
  <c r="T21" i="69"/>
  <c r="T22" i="69"/>
  <c r="T23" i="69"/>
  <c r="T24" i="69"/>
  <c r="T25" i="69"/>
  <c r="T26" i="69"/>
  <c r="T27" i="69"/>
  <c r="T28" i="69"/>
  <c r="T29" i="69"/>
  <c r="T30" i="69"/>
  <c r="T31" i="69"/>
  <c r="T32" i="69"/>
  <c r="T33" i="69"/>
  <c r="T34" i="69"/>
  <c r="T35" i="69"/>
  <c r="T36" i="69"/>
  <c r="T37" i="69"/>
  <c r="T38" i="69"/>
  <c r="T39" i="69"/>
  <c r="T40" i="69"/>
  <c r="T41" i="69"/>
  <c r="T42" i="69"/>
  <c r="T43" i="69"/>
  <c r="T44" i="69"/>
  <c r="T45" i="69"/>
  <c r="T46" i="69"/>
  <c r="T47" i="69"/>
  <c r="T48" i="69"/>
  <c r="T49" i="69"/>
  <c r="T50" i="69"/>
  <c r="T51" i="69"/>
  <c r="T52" i="69"/>
  <c r="T53" i="69"/>
  <c r="T54" i="69"/>
  <c r="T55" i="69"/>
  <c r="T56" i="69"/>
  <c r="T57" i="69"/>
  <c r="T58" i="69"/>
  <c r="T59" i="69"/>
  <c r="T60" i="69"/>
  <c r="T61" i="69"/>
  <c r="T62" i="69"/>
  <c r="T63" i="69"/>
  <c r="T64" i="69"/>
  <c r="T65" i="69"/>
  <c r="T66" i="69"/>
  <c r="T67" i="69"/>
  <c r="T68" i="69"/>
  <c r="T69" i="69"/>
  <c r="T70" i="69"/>
  <c r="T71" i="69"/>
  <c r="T72" i="69"/>
  <c r="T73" i="69"/>
  <c r="T74" i="69"/>
  <c r="T75" i="69"/>
  <c r="T76" i="69"/>
  <c r="T77" i="69"/>
  <c r="T78" i="69"/>
  <c r="T79" i="69"/>
  <c r="T80" i="69"/>
  <c r="T81" i="69"/>
  <c r="T82" i="69"/>
  <c r="T83" i="69"/>
  <c r="T84" i="69"/>
  <c r="T85" i="69"/>
  <c r="T86" i="69"/>
  <c r="T87" i="69"/>
  <c r="T88" i="69"/>
  <c r="T89" i="69"/>
  <c r="T90" i="69"/>
  <c r="T91" i="69"/>
  <c r="T92" i="69"/>
  <c r="T93" i="69"/>
  <c r="T94" i="69"/>
  <c r="T95" i="69"/>
  <c r="T96" i="69"/>
  <c r="T97" i="69"/>
  <c r="T98" i="69"/>
  <c r="T99" i="69"/>
  <c r="T100" i="69"/>
  <c r="T101" i="69"/>
  <c r="T102" i="69"/>
  <c r="T103" i="69"/>
  <c r="T104" i="69"/>
  <c r="T105" i="69"/>
  <c r="T106" i="69"/>
  <c r="T107" i="69"/>
  <c r="T108" i="69"/>
  <c r="T109" i="69"/>
  <c r="T110" i="69"/>
  <c r="T111" i="69"/>
  <c r="T112" i="69"/>
  <c r="T113" i="69"/>
  <c r="T114" i="69"/>
  <c r="T115" i="69"/>
  <c r="T116" i="69"/>
  <c r="T117" i="69"/>
  <c r="T118" i="69"/>
  <c r="T119" i="69"/>
  <c r="T120" i="69"/>
  <c r="T121" i="69"/>
  <c r="T122" i="69"/>
  <c r="T123" i="69"/>
  <c r="T124" i="69"/>
  <c r="T125" i="69"/>
  <c r="T126" i="69"/>
  <c r="T127" i="69"/>
  <c r="T128" i="69"/>
  <c r="T129" i="69"/>
  <c r="T130" i="69"/>
  <c r="T131" i="69"/>
  <c r="T132" i="69"/>
  <c r="T133" i="69"/>
  <c r="T134" i="69"/>
  <c r="T135" i="69"/>
  <c r="T136" i="69"/>
  <c r="T137" i="69"/>
  <c r="T138" i="69"/>
  <c r="T139" i="69"/>
  <c r="T140" i="69"/>
  <c r="T141" i="69"/>
  <c r="T142" i="69"/>
  <c r="T143" i="69"/>
  <c r="T144" i="69"/>
  <c r="T145" i="69"/>
  <c r="T146" i="69"/>
  <c r="T147" i="69"/>
  <c r="T148" i="69"/>
  <c r="T149" i="69"/>
  <c r="T150" i="69"/>
  <c r="T151" i="69"/>
  <c r="T152" i="69"/>
  <c r="T153" i="69"/>
  <c r="T154" i="69"/>
  <c r="T155" i="69"/>
  <c r="T156" i="69"/>
  <c r="T157" i="69"/>
  <c r="T158" i="69"/>
  <c r="T159" i="69"/>
  <c r="T160" i="69"/>
  <c r="T161" i="69"/>
  <c r="T162" i="69"/>
  <c r="T163" i="69"/>
  <c r="T164" i="69"/>
  <c r="T165" i="69"/>
  <c r="T166" i="69"/>
  <c r="T167" i="69"/>
  <c r="T168" i="69"/>
  <c r="T169" i="69"/>
  <c r="T170" i="69"/>
  <c r="T171" i="69"/>
  <c r="T172" i="69"/>
  <c r="T173" i="69"/>
  <c r="T174" i="69"/>
  <c r="T175" i="69"/>
  <c r="T176" i="69"/>
  <c r="T177" i="69"/>
  <c r="T178" i="69"/>
  <c r="T179" i="69"/>
  <c r="T180" i="69"/>
  <c r="T181" i="69"/>
  <c r="T182" i="69"/>
  <c r="T183" i="69"/>
  <c r="T184" i="69"/>
  <c r="T185" i="69"/>
  <c r="T186" i="69"/>
  <c r="T187" i="69"/>
  <c r="T188" i="69"/>
  <c r="T189" i="69"/>
  <c r="T190" i="69"/>
  <c r="T191" i="69"/>
  <c r="T192" i="69"/>
  <c r="T193" i="69"/>
  <c r="T194" i="69"/>
  <c r="T195" i="69"/>
  <c r="T196" i="69"/>
  <c r="T197" i="69"/>
  <c r="T198" i="69"/>
  <c r="T199" i="69"/>
  <c r="T200" i="69"/>
  <c r="T201" i="69"/>
  <c r="T202" i="69"/>
  <c r="T203" i="69"/>
  <c r="T204" i="69"/>
  <c r="T205" i="69"/>
  <c r="T206" i="69"/>
  <c r="T207" i="69"/>
  <c r="T208" i="69"/>
  <c r="T209" i="69"/>
  <c r="T210" i="69"/>
  <c r="T211" i="69"/>
  <c r="T212" i="69"/>
  <c r="T213" i="69"/>
  <c r="T214" i="69"/>
  <c r="T215" i="69"/>
  <c r="T216" i="69"/>
  <c r="T217" i="69"/>
  <c r="T218" i="69"/>
  <c r="T219" i="69"/>
  <c r="T220" i="69"/>
  <c r="T221" i="69"/>
  <c r="T222" i="69"/>
  <c r="T223" i="69"/>
  <c r="T224" i="69"/>
  <c r="T225" i="69"/>
  <c r="T226" i="69"/>
  <c r="T227" i="69"/>
  <c r="T228" i="69"/>
  <c r="T229" i="69"/>
  <c r="T230" i="69"/>
  <c r="T231" i="69"/>
  <c r="T232" i="69"/>
  <c r="T233" i="69"/>
  <c r="T234" i="69"/>
  <c r="T235" i="69"/>
  <c r="T236" i="69"/>
  <c r="T237" i="69"/>
  <c r="T238" i="69"/>
  <c r="T239" i="69"/>
  <c r="T240" i="69"/>
  <c r="T241" i="69"/>
  <c r="T242" i="69"/>
  <c r="T243" i="69"/>
  <c r="T244" i="69"/>
  <c r="T245" i="69"/>
  <c r="T246" i="69"/>
  <c r="T247" i="69"/>
  <c r="T248" i="69"/>
  <c r="T249" i="69"/>
  <c r="T250" i="69"/>
  <c r="T251" i="69"/>
  <c r="T252" i="69"/>
  <c r="T253" i="69"/>
  <c r="T254" i="69"/>
  <c r="T255" i="69"/>
  <c r="T256" i="69"/>
  <c r="T257" i="69"/>
  <c r="T258" i="69"/>
  <c r="T259" i="69"/>
  <c r="T260" i="69"/>
  <c r="T261" i="69"/>
  <c r="T262" i="69"/>
  <c r="T263" i="69"/>
  <c r="T264" i="69"/>
  <c r="T265" i="69"/>
  <c r="T266" i="69"/>
  <c r="T267" i="69"/>
  <c r="T268" i="69"/>
  <c r="T269" i="69"/>
  <c r="T270" i="69"/>
  <c r="T271" i="69"/>
  <c r="T272" i="69"/>
  <c r="T273" i="69"/>
  <c r="T274" i="69"/>
  <c r="T275" i="69"/>
  <c r="T276" i="69"/>
  <c r="T277" i="69"/>
  <c r="T278" i="69"/>
  <c r="T279" i="69"/>
  <c r="T280" i="69"/>
  <c r="T281" i="69"/>
  <c r="T282" i="69"/>
  <c r="T283" i="69"/>
  <c r="T284" i="69"/>
  <c r="T285" i="69"/>
  <c r="T286" i="69"/>
  <c r="T287" i="69"/>
  <c r="T288" i="69"/>
  <c r="T289" i="69"/>
  <c r="T290" i="69"/>
  <c r="T291" i="69"/>
  <c r="T292" i="69"/>
  <c r="T293" i="69"/>
  <c r="T294" i="69"/>
  <c r="T295" i="69"/>
  <c r="T296" i="69"/>
  <c r="T297" i="69"/>
  <c r="T298" i="69"/>
  <c r="T299" i="69"/>
  <c r="T300" i="69"/>
  <c r="T301" i="69"/>
  <c r="T302" i="69"/>
  <c r="T303" i="69"/>
  <c r="T304" i="69"/>
  <c r="T305" i="69"/>
  <c r="T306" i="69"/>
  <c r="T307" i="69"/>
  <c r="T308" i="69"/>
  <c r="T309" i="69"/>
  <c r="T310" i="69"/>
  <c r="T311" i="69"/>
  <c r="T312" i="69"/>
  <c r="T313" i="69"/>
  <c r="T314" i="69"/>
  <c r="T315" i="69"/>
  <c r="T316" i="69"/>
  <c r="T317" i="69"/>
  <c r="T318" i="69"/>
  <c r="T319" i="69"/>
  <c r="T320" i="69"/>
  <c r="T321" i="69"/>
  <c r="T322" i="69"/>
  <c r="T323" i="69"/>
  <c r="T324" i="69"/>
  <c r="T325" i="69"/>
  <c r="T326" i="69"/>
  <c r="T327" i="69"/>
  <c r="T328" i="69"/>
  <c r="T329" i="69"/>
  <c r="T330" i="69"/>
  <c r="T331" i="69"/>
  <c r="T332" i="69"/>
  <c r="T333" i="69"/>
  <c r="T334" i="69"/>
  <c r="T335" i="69"/>
  <c r="T336" i="69"/>
  <c r="T337" i="69"/>
  <c r="T338" i="69"/>
  <c r="T339" i="69"/>
  <c r="T340" i="69"/>
  <c r="T341" i="69"/>
  <c r="T342" i="69"/>
  <c r="T343" i="69"/>
  <c r="T344" i="69"/>
  <c r="T345" i="69"/>
  <c r="T346" i="69"/>
  <c r="T347" i="69"/>
  <c r="T348" i="69"/>
  <c r="T349" i="69"/>
  <c r="T350" i="69"/>
  <c r="T351" i="69"/>
  <c r="T352" i="69"/>
  <c r="T353" i="69"/>
  <c r="T354" i="69"/>
  <c r="T355" i="69"/>
  <c r="T356" i="69"/>
  <c r="T357" i="69"/>
  <c r="T358" i="69"/>
  <c r="T359" i="69"/>
  <c r="T360" i="69"/>
  <c r="T361" i="69"/>
  <c r="T362" i="69"/>
  <c r="T363" i="69"/>
  <c r="T364" i="69"/>
  <c r="T365" i="69"/>
  <c r="T366" i="69"/>
  <c r="T367" i="69"/>
  <c r="T368" i="69"/>
  <c r="T369" i="69"/>
  <c r="T370" i="69"/>
  <c r="T371" i="69"/>
  <c r="T372" i="69"/>
  <c r="T373" i="69"/>
  <c r="T374" i="69"/>
  <c r="T375" i="69"/>
  <c r="T376" i="69"/>
  <c r="T377" i="69"/>
  <c r="T378" i="69"/>
  <c r="T379" i="69"/>
  <c r="T380" i="69"/>
  <c r="T381" i="69"/>
  <c r="T382" i="69"/>
  <c r="T383" i="69"/>
  <c r="T384" i="69"/>
  <c r="T385" i="69"/>
  <c r="T386" i="69"/>
  <c r="T387" i="69"/>
  <c r="T388" i="69"/>
  <c r="T389" i="69"/>
  <c r="T390" i="69"/>
  <c r="T391" i="69"/>
  <c r="T392" i="69"/>
  <c r="T393" i="69"/>
  <c r="T394" i="69"/>
  <c r="T395" i="69"/>
  <c r="T396" i="69"/>
  <c r="T397" i="69"/>
  <c r="T398" i="69"/>
  <c r="T399" i="69"/>
  <c r="T400" i="69"/>
  <c r="T401" i="69"/>
  <c r="T402" i="69"/>
  <c r="T403" i="69"/>
  <c r="T404" i="69"/>
  <c r="T405" i="69"/>
  <c r="T406" i="69"/>
  <c r="T407" i="69"/>
  <c r="T408" i="69"/>
  <c r="T409" i="69"/>
  <c r="T410" i="69"/>
  <c r="T411" i="69"/>
  <c r="T412" i="69"/>
  <c r="T413" i="69"/>
  <c r="T414" i="69"/>
  <c r="T415" i="69"/>
  <c r="T416" i="69"/>
  <c r="T417" i="69"/>
  <c r="T418" i="69"/>
  <c r="T419" i="69"/>
  <c r="T420" i="69"/>
  <c r="T421" i="69"/>
  <c r="T422" i="69"/>
  <c r="T423" i="69"/>
  <c r="T424" i="69"/>
  <c r="T425" i="69"/>
  <c r="T426" i="69"/>
  <c r="T427" i="69"/>
  <c r="T428" i="69"/>
  <c r="T429" i="69"/>
  <c r="T430" i="69"/>
  <c r="T431" i="69"/>
  <c r="T432" i="69"/>
  <c r="T433" i="69"/>
  <c r="T434" i="69"/>
  <c r="T435" i="69"/>
  <c r="T436" i="69"/>
  <c r="T437" i="69"/>
  <c r="T438" i="69"/>
  <c r="T439" i="69"/>
  <c r="T440" i="69"/>
  <c r="T441" i="69"/>
  <c r="T442" i="69"/>
  <c r="T443" i="69"/>
  <c r="T444" i="69"/>
  <c r="T445" i="69"/>
  <c r="T446" i="69"/>
  <c r="T447" i="69"/>
  <c r="T448" i="69"/>
  <c r="T449" i="69"/>
  <c r="T450" i="69"/>
  <c r="T451" i="69"/>
  <c r="T452" i="69"/>
  <c r="T453" i="69"/>
  <c r="T454" i="69"/>
  <c r="T455" i="69"/>
  <c r="T456" i="69"/>
  <c r="T457" i="69"/>
  <c r="T458" i="69"/>
  <c r="T459" i="69"/>
  <c r="T460" i="69"/>
  <c r="T461" i="69"/>
  <c r="T462" i="69"/>
  <c r="T463" i="69"/>
  <c r="T464" i="69"/>
  <c r="T465" i="69"/>
  <c r="T466" i="69"/>
  <c r="T467" i="69"/>
  <c r="T468" i="69"/>
  <c r="T469" i="69"/>
  <c r="T470" i="69"/>
  <c r="T471" i="69"/>
  <c r="T472" i="69"/>
  <c r="T473" i="69"/>
  <c r="T474" i="69"/>
  <c r="T475" i="69"/>
  <c r="T476" i="69"/>
  <c r="T477" i="69"/>
  <c r="T478" i="69"/>
  <c r="T479" i="69"/>
  <c r="T480" i="69"/>
  <c r="T481" i="69"/>
  <c r="T482" i="69"/>
  <c r="T483" i="69"/>
  <c r="T484" i="69"/>
  <c r="T485" i="69"/>
  <c r="T486" i="69"/>
  <c r="T487" i="69"/>
  <c r="T488" i="69"/>
  <c r="T489" i="69"/>
  <c r="T490" i="69"/>
  <c r="T491" i="69"/>
  <c r="T492" i="69"/>
  <c r="T493" i="69"/>
  <c r="T494" i="69"/>
  <c r="T495" i="69"/>
  <c r="T496" i="69"/>
  <c r="T497" i="69"/>
  <c r="T498" i="69"/>
  <c r="T499" i="69"/>
  <c r="T500" i="69"/>
  <c r="T501" i="69"/>
  <c r="T2" i="69"/>
  <c r="N14" i="76"/>
  <c r="M14" i="76"/>
  <c r="L14" i="76"/>
  <c r="N13" i="76"/>
  <c r="M13" i="76"/>
  <c r="L13" i="76"/>
  <c r="N12" i="76"/>
  <c r="M12" i="76"/>
  <c r="L12" i="76"/>
  <c r="N11" i="76"/>
  <c r="M11" i="76"/>
  <c r="L11" i="76"/>
  <c r="N10" i="76"/>
  <c r="M10" i="76"/>
  <c r="L10" i="76"/>
  <c r="N9" i="76"/>
  <c r="M9" i="76"/>
  <c r="L9" i="76"/>
  <c r="N8" i="76"/>
  <c r="M8" i="76"/>
  <c r="L8" i="76"/>
  <c r="N7" i="76"/>
  <c r="M7" i="76"/>
  <c r="L7" i="76"/>
  <c r="N6" i="76"/>
  <c r="M6" i="76"/>
  <c r="L6" i="76"/>
  <c r="N5" i="76"/>
  <c r="M5" i="76"/>
  <c r="L5" i="76"/>
  <c r="N4" i="76"/>
  <c r="M4" i="76"/>
  <c r="L4" i="76"/>
  <c r="N3" i="76"/>
  <c r="M3" i="76"/>
  <c r="L3" i="76"/>
  <c r="N2" i="76"/>
  <c r="M2" i="76"/>
  <c r="L2" i="76"/>
  <c r="N84" i="73"/>
  <c r="N83" i="73"/>
  <c r="N25" i="73"/>
  <c r="N32" i="73"/>
  <c r="N33" i="73"/>
  <c r="N6" i="73"/>
  <c r="N31" i="73"/>
  <c r="N28" i="73"/>
  <c r="N8" i="73"/>
  <c r="N35" i="73"/>
  <c r="N30" i="73"/>
  <c r="N29" i="73"/>
  <c r="N7" i="73"/>
  <c r="N44" i="73"/>
  <c r="N26" i="73"/>
  <c r="N24" i="73"/>
  <c r="N74" i="73"/>
  <c r="N82" i="73"/>
  <c r="N73" i="73"/>
  <c r="N69" i="73"/>
  <c r="N61" i="73"/>
  <c r="N78" i="73"/>
  <c r="N60" i="73"/>
  <c r="N81" i="73"/>
  <c r="N62" i="73"/>
  <c r="N63" i="73"/>
  <c r="N68" i="73"/>
  <c r="N66" i="73"/>
  <c r="N64" i="73"/>
  <c r="N67" i="73"/>
  <c r="N65" i="73"/>
  <c r="N75" i="73"/>
  <c r="N76" i="73"/>
  <c r="N72" i="73"/>
  <c r="N70" i="73"/>
  <c r="N71" i="73"/>
  <c r="N80" i="73"/>
  <c r="N77" i="73"/>
  <c r="N79" i="73"/>
  <c r="N37" i="73"/>
  <c r="N36" i="73"/>
  <c r="N4" i="73"/>
  <c r="N38" i="73"/>
  <c r="N39" i="73"/>
  <c r="N13" i="73"/>
  <c r="N3" i="73"/>
  <c r="N40" i="73"/>
  <c r="N11" i="73"/>
  <c r="N22" i="73"/>
  <c r="N23" i="73"/>
  <c r="N27" i="73"/>
  <c r="N16" i="73"/>
  <c r="N21" i="73"/>
  <c r="N18" i="73"/>
  <c r="N14" i="73"/>
  <c r="N17" i="73"/>
  <c r="N20" i="73"/>
  <c r="N19" i="73"/>
  <c r="N15" i="73"/>
  <c r="N5" i="73"/>
  <c r="N12" i="73"/>
  <c r="N9" i="73"/>
  <c r="N10" i="73"/>
  <c r="N34" i="73"/>
  <c r="N2" i="73"/>
  <c r="N41" i="73"/>
  <c r="N43" i="73"/>
  <c r="N42" i="73"/>
  <c r="N45" i="73"/>
  <c r="N46" i="73"/>
  <c r="N47" i="73"/>
  <c r="N48" i="73"/>
  <c r="N49" i="73"/>
  <c r="N50" i="73"/>
  <c r="N51" i="73"/>
  <c r="N52" i="73"/>
  <c r="N53" i="73"/>
  <c r="N54" i="73"/>
  <c r="N55" i="73"/>
  <c r="N56" i="73"/>
  <c r="N57" i="73"/>
  <c r="N58" i="73"/>
  <c r="N59" i="73"/>
  <c r="M25" i="73"/>
  <c r="M32" i="73"/>
  <c r="M33" i="73"/>
  <c r="M6" i="73"/>
  <c r="M31" i="73"/>
  <c r="M28" i="73"/>
  <c r="M8" i="73"/>
  <c r="M35" i="73"/>
  <c r="M30" i="73"/>
  <c r="M29" i="73"/>
  <c r="M7" i="73"/>
  <c r="M45" i="73"/>
  <c r="M51" i="73"/>
  <c r="M54" i="73"/>
  <c r="M52" i="73"/>
  <c r="M46" i="73"/>
  <c r="M49" i="73"/>
  <c r="M50" i="73"/>
  <c r="M47" i="73"/>
  <c r="M48" i="73"/>
  <c r="M53" i="73"/>
  <c r="M58" i="73"/>
  <c r="M55" i="73"/>
  <c r="M57" i="73"/>
  <c r="M56" i="73"/>
  <c r="M44" i="73"/>
  <c r="M59" i="73"/>
  <c r="M26" i="73"/>
  <c r="M84" i="73"/>
  <c r="M24" i="73"/>
  <c r="M74" i="73"/>
  <c r="M82" i="73"/>
  <c r="M73" i="73"/>
  <c r="M69" i="73"/>
  <c r="M61" i="73"/>
  <c r="M78" i="73"/>
  <c r="M60" i="73"/>
  <c r="M81" i="73"/>
  <c r="M62" i="73"/>
  <c r="M63" i="73"/>
  <c r="M68" i="73"/>
  <c r="M66" i="73"/>
  <c r="M64" i="73"/>
  <c r="M67" i="73"/>
  <c r="M65" i="73"/>
  <c r="M75" i="73"/>
  <c r="M76" i="73"/>
  <c r="M72" i="73"/>
  <c r="M70" i="73"/>
  <c r="M71" i="73"/>
  <c r="M80" i="73"/>
  <c r="M77" i="73"/>
  <c r="M79" i="73"/>
  <c r="M37" i="73"/>
  <c r="M36" i="73"/>
  <c r="M4" i="73"/>
  <c r="M38" i="73"/>
  <c r="M39" i="73"/>
  <c r="M13" i="73"/>
  <c r="M3" i="73"/>
  <c r="M40" i="73"/>
  <c r="M83" i="73"/>
  <c r="M11" i="73"/>
  <c r="M22" i="73"/>
  <c r="M23" i="73"/>
  <c r="M27" i="73"/>
  <c r="M16" i="73"/>
  <c r="M21" i="73"/>
  <c r="M18" i="73"/>
  <c r="M14" i="73"/>
  <c r="M17" i="73"/>
  <c r="M20" i="73"/>
  <c r="M19" i="73"/>
  <c r="M15" i="73"/>
  <c r="M5" i="73"/>
  <c r="M12" i="73"/>
  <c r="M9" i="73"/>
  <c r="M10" i="73"/>
  <c r="M34" i="73"/>
  <c r="M2" i="73"/>
  <c r="M41" i="73"/>
  <c r="M43" i="73"/>
  <c r="M42" i="73"/>
  <c r="L25" i="73"/>
  <c r="L32" i="73"/>
  <c r="L33" i="73"/>
  <c r="L6" i="73"/>
  <c r="L31" i="73"/>
  <c r="L28" i="73"/>
  <c r="L8" i="73"/>
  <c r="L35" i="73"/>
  <c r="L30" i="73"/>
  <c r="L29" i="73"/>
  <c r="L7" i="73"/>
  <c r="L45" i="73"/>
  <c r="L51" i="73"/>
  <c r="L54" i="73"/>
  <c r="L52" i="73"/>
  <c r="L46" i="73"/>
  <c r="L49" i="73"/>
  <c r="L50" i="73"/>
  <c r="L47" i="73"/>
  <c r="L48" i="73"/>
  <c r="L53" i="73"/>
  <c r="L58" i="73"/>
  <c r="L55" i="73"/>
  <c r="L57" i="73"/>
  <c r="L56" i="73"/>
  <c r="L44" i="73"/>
  <c r="L59" i="73"/>
  <c r="L26" i="73"/>
  <c r="L84" i="73"/>
  <c r="L24" i="73"/>
  <c r="L74" i="73"/>
  <c r="L82" i="73"/>
  <c r="L73" i="73"/>
  <c r="L69" i="73"/>
  <c r="L61" i="73"/>
  <c r="L78" i="73"/>
  <c r="L60" i="73"/>
  <c r="L81" i="73"/>
  <c r="L62" i="73"/>
  <c r="L63" i="73"/>
  <c r="L68" i="73"/>
  <c r="L66" i="73"/>
  <c r="L64" i="73"/>
  <c r="L67" i="73"/>
  <c r="L65" i="73"/>
  <c r="L75" i="73"/>
  <c r="L76" i="73"/>
  <c r="L72" i="73"/>
  <c r="L70" i="73"/>
  <c r="L71" i="73"/>
  <c r="L80" i="73"/>
  <c r="L77" i="73"/>
  <c r="L79" i="73"/>
  <c r="L37" i="73"/>
  <c r="L36" i="73"/>
  <c r="L4" i="73"/>
  <c r="L38" i="73"/>
  <c r="L39" i="73"/>
  <c r="L13" i="73"/>
  <c r="L3" i="73"/>
  <c r="L40" i="73"/>
  <c r="L83" i="73"/>
  <c r="L11" i="73"/>
  <c r="L22" i="73"/>
  <c r="L23" i="73"/>
  <c r="L27" i="73"/>
  <c r="L16" i="73"/>
  <c r="L21" i="73"/>
  <c r="L18" i="73"/>
  <c r="L14" i="73"/>
  <c r="L17" i="73"/>
  <c r="L20" i="73"/>
  <c r="L19" i="73"/>
  <c r="L15" i="73"/>
  <c r="L5" i="73"/>
  <c r="L12" i="73"/>
  <c r="L9" i="73"/>
  <c r="L10" i="73"/>
  <c r="L34" i="73"/>
  <c r="L2" i="73"/>
  <c r="L41" i="73"/>
  <c r="L43" i="73"/>
  <c r="L42" i="73"/>
  <c r="J5" i="72" l="1"/>
  <c r="J6" i="72"/>
  <c r="J7" i="72"/>
  <c r="J8" i="72"/>
  <c r="J9" i="72"/>
  <c r="J10" i="72"/>
  <c r="J11" i="72"/>
  <c r="J12" i="72"/>
  <c r="J13" i="72"/>
  <c r="J14" i="72"/>
  <c r="J15" i="72"/>
  <c r="J16" i="72"/>
  <c r="J17" i="72"/>
  <c r="J18" i="72"/>
  <c r="J19" i="72"/>
  <c r="J20" i="72"/>
  <c r="J21" i="72"/>
  <c r="J22" i="72"/>
  <c r="J23" i="72"/>
  <c r="J24" i="72"/>
  <c r="J25" i="72"/>
  <c r="J26" i="72"/>
  <c r="J27" i="72"/>
  <c r="S17" i="69"/>
  <c r="S18" i="69"/>
  <c r="S19" i="69"/>
  <c r="S20" i="69"/>
  <c r="S21" i="69"/>
  <c r="S22" i="69"/>
  <c r="S23" i="69"/>
  <c r="S24" i="69"/>
  <c r="S25" i="69"/>
  <c r="S26" i="69"/>
  <c r="S27" i="69"/>
  <c r="S28" i="69"/>
  <c r="S29" i="69"/>
  <c r="S30" i="69"/>
  <c r="S31" i="69"/>
  <c r="S32" i="69"/>
  <c r="S33" i="69"/>
  <c r="S34" i="69"/>
  <c r="S35" i="69"/>
  <c r="S36" i="69"/>
  <c r="S37" i="69"/>
  <c r="S38" i="69"/>
  <c r="S39" i="69"/>
  <c r="S40" i="69"/>
  <c r="S41" i="69"/>
  <c r="S42" i="69"/>
  <c r="S43" i="69"/>
  <c r="S44" i="69"/>
  <c r="S45" i="69"/>
  <c r="S46" i="69"/>
  <c r="S47" i="69"/>
  <c r="S48" i="69"/>
  <c r="S49" i="69"/>
  <c r="S50" i="69"/>
  <c r="S51" i="69"/>
  <c r="S52" i="69"/>
  <c r="S53" i="69"/>
  <c r="S54" i="69"/>
  <c r="S55" i="69"/>
  <c r="S56" i="69"/>
  <c r="S57" i="69"/>
  <c r="S58" i="69"/>
  <c r="S59" i="69"/>
  <c r="S60" i="69"/>
  <c r="S61" i="69"/>
  <c r="S62" i="69"/>
  <c r="S63" i="69"/>
  <c r="S64" i="69"/>
  <c r="S65" i="69"/>
  <c r="S66" i="69"/>
  <c r="S67" i="69"/>
  <c r="S68" i="69"/>
  <c r="S69" i="69"/>
  <c r="S70" i="69"/>
  <c r="S71" i="69"/>
  <c r="S72" i="69"/>
  <c r="S73" i="69"/>
  <c r="S74" i="69"/>
  <c r="S75" i="69"/>
  <c r="S76" i="69"/>
  <c r="S77" i="69"/>
  <c r="S78" i="69"/>
  <c r="S79" i="69"/>
  <c r="S80" i="69"/>
  <c r="S81" i="69"/>
  <c r="S82" i="69"/>
  <c r="S83" i="69"/>
  <c r="S84" i="69"/>
  <c r="S85" i="69"/>
  <c r="S86" i="69"/>
  <c r="S87" i="69"/>
  <c r="S88" i="69"/>
  <c r="S89" i="69"/>
  <c r="S90" i="69"/>
  <c r="S91" i="69"/>
  <c r="S92" i="69"/>
  <c r="S93" i="69"/>
  <c r="S94" i="69"/>
  <c r="S95" i="69"/>
  <c r="S96" i="69"/>
  <c r="S97" i="69"/>
  <c r="S98" i="69"/>
  <c r="S99" i="69"/>
  <c r="S100" i="69"/>
  <c r="S101" i="69"/>
  <c r="S102" i="69"/>
  <c r="S103" i="69"/>
  <c r="S104" i="69"/>
  <c r="S105" i="69"/>
  <c r="S106" i="69"/>
  <c r="S107" i="69"/>
  <c r="S108" i="69"/>
  <c r="S109" i="69"/>
  <c r="S110" i="69"/>
  <c r="S111" i="69"/>
  <c r="S112" i="69"/>
  <c r="S113" i="69"/>
  <c r="S114" i="69"/>
  <c r="S115" i="69"/>
  <c r="S116" i="69"/>
  <c r="S117" i="69"/>
  <c r="S118" i="69"/>
  <c r="S119" i="69"/>
  <c r="S120" i="69"/>
  <c r="S121" i="69"/>
  <c r="S122" i="69"/>
  <c r="S123" i="69"/>
  <c r="S124" i="69"/>
  <c r="S125" i="69"/>
  <c r="S126" i="69"/>
  <c r="S127" i="69"/>
  <c r="S128" i="69"/>
  <c r="S129" i="69"/>
  <c r="S130" i="69"/>
  <c r="S131" i="69"/>
  <c r="S132" i="69"/>
  <c r="S133" i="69"/>
  <c r="S134" i="69"/>
  <c r="S135" i="69"/>
  <c r="S136" i="69"/>
  <c r="S137" i="69"/>
  <c r="S138" i="69"/>
  <c r="S139" i="69"/>
  <c r="S140" i="69"/>
  <c r="S141" i="69"/>
  <c r="S142" i="69"/>
  <c r="S143" i="69"/>
  <c r="S144" i="69"/>
  <c r="S145" i="69"/>
  <c r="S146" i="69"/>
  <c r="S147" i="69"/>
  <c r="S148" i="69"/>
  <c r="S149" i="69"/>
  <c r="S150" i="69"/>
  <c r="S151" i="69"/>
  <c r="S152" i="69"/>
  <c r="S153" i="69"/>
  <c r="S154" i="69"/>
  <c r="S155" i="69"/>
  <c r="S156" i="69"/>
  <c r="S157" i="69"/>
  <c r="S158" i="69"/>
  <c r="S159" i="69"/>
  <c r="S160" i="69"/>
  <c r="S161" i="69"/>
  <c r="S162" i="69"/>
  <c r="S163" i="69"/>
  <c r="S164" i="69"/>
  <c r="S165" i="69"/>
  <c r="S166" i="69"/>
  <c r="S167" i="69"/>
  <c r="S168" i="69"/>
  <c r="S169" i="69"/>
  <c r="S170" i="69"/>
  <c r="S171" i="69"/>
  <c r="S172" i="69"/>
  <c r="S173" i="69"/>
  <c r="S174" i="69"/>
  <c r="S175" i="69"/>
  <c r="S176" i="69"/>
  <c r="S177" i="69"/>
  <c r="S178" i="69"/>
  <c r="S179" i="69"/>
  <c r="S180" i="69"/>
  <c r="S181" i="69"/>
  <c r="S182" i="69"/>
  <c r="S183" i="69"/>
  <c r="S184" i="69"/>
  <c r="S185" i="69"/>
  <c r="S186" i="69"/>
  <c r="S187" i="69"/>
  <c r="S188" i="69"/>
  <c r="S189" i="69"/>
  <c r="S190" i="69"/>
  <c r="S191" i="69"/>
  <c r="S192" i="69"/>
  <c r="S193" i="69"/>
  <c r="S194" i="69"/>
  <c r="S195" i="69"/>
  <c r="S196" i="69"/>
  <c r="S197" i="69"/>
  <c r="S198" i="69"/>
  <c r="S199" i="69"/>
  <c r="S200" i="69"/>
  <c r="S201" i="69"/>
  <c r="S202" i="69"/>
  <c r="S203" i="69"/>
  <c r="S204" i="69"/>
  <c r="S205" i="69"/>
  <c r="S206" i="69"/>
  <c r="S207" i="69"/>
  <c r="S208" i="69"/>
  <c r="S209" i="69"/>
  <c r="S210" i="69"/>
  <c r="S211" i="69"/>
  <c r="S212" i="69"/>
  <c r="S213" i="69"/>
  <c r="S214" i="69"/>
  <c r="S215" i="69"/>
  <c r="S216" i="69"/>
  <c r="S217" i="69"/>
  <c r="S218" i="69"/>
  <c r="S219" i="69"/>
  <c r="S220" i="69"/>
  <c r="S221" i="69"/>
  <c r="S222" i="69"/>
  <c r="S223" i="69"/>
  <c r="S224" i="69"/>
  <c r="S225" i="69"/>
  <c r="S226" i="69"/>
  <c r="S227" i="69"/>
  <c r="S228" i="69"/>
  <c r="S229" i="69"/>
  <c r="S230" i="69"/>
  <c r="S231" i="69"/>
  <c r="S232" i="69"/>
  <c r="S233" i="69"/>
  <c r="S234" i="69"/>
  <c r="S235" i="69"/>
  <c r="S236" i="69"/>
  <c r="S237" i="69"/>
  <c r="S238" i="69"/>
  <c r="S239" i="69"/>
  <c r="S240" i="69"/>
  <c r="S241" i="69"/>
  <c r="S242" i="69"/>
  <c r="S243" i="69"/>
  <c r="S244" i="69"/>
  <c r="S245" i="69"/>
  <c r="S246" i="69"/>
  <c r="S247" i="69"/>
  <c r="S248" i="69"/>
  <c r="S249" i="69"/>
  <c r="S250" i="69"/>
  <c r="S251" i="69"/>
  <c r="S252" i="69"/>
  <c r="S253" i="69"/>
  <c r="S254" i="69"/>
  <c r="S255" i="69"/>
  <c r="S256" i="69"/>
  <c r="S257" i="69"/>
  <c r="S258" i="69"/>
  <c r="S259" i="69"/>
  <c r="S260" i="69"/>
  <c r="S261" i="69"/>
  <c r="S262" i="69"/>
  <c r="S263" i="69"/>
  <c r="S264" i="69"/>
  <c r="S265" i="69"/>
  <c r="S266" i="69"/>
  <c r="S267" i="69"/>
  <c r="S268" i="69"/>
  <c r="S269" i="69"/>
  <c r="S270" i="69"/>
  <c r="S271" i="69"/>
  <c r="S272" i="69"/>
  <c r="S273" i="69"/>
  <c r="S274" i="69"/>
  <c r="S275" i="69"/>
  <c r="S276" i="69"/>
  <c r="S277" i="69"/>
  <c r="S278" i="69"/>
  <c r="S279" i="69"/>
  <c r="S280" i="69"/>
  <c r="S281" i="69"/>
  <c r="S282" i="69"/>
  <c r="S283" i="69"/>
  <c r="S284" i="69"/>
  <c r="S285" i="69"/>
  <c r="S286" i="69"/>
  <c r="S287" i="69"/>
  <c r="S288" i="69"/>
  <c r="S289" i="69"/>
  <c r="S290" i="69"/>
  <c r="S291" i="69"/>
  <c r="S292" i="69"/>
  <c r="S293" i="69"/>
  <c r="S294" i="69"/>
  <c r="S295" i="69"/>
  <c r="S296" i="69"/>
  <c r="S297" i="69"/>
  <c r="S298" i="69"/>
  <c r="S299" i="69"/>
  <c r="S300" i="69"/>
  <c r="S301" i="69"/>
  <c r="S302" i="69"/>
  <c r="S303" i="69"/>
  <c r="S304" i="69"/>
  <c r="S305" i="69"/>
  <c r="S306" i="69"/>
  <c r="S307" i="69"/>
  <c r="S308" i="69"/>
  <c r="S309" i="69"/>
  <c r="S310" i="69"/>
  <c r="S311" i="69"/>
  <c r="S312" i="69"/>
  <c r="S313" i="69"/>
  <c r="S314" i="69"/>
  <c r="S315" i="69"/>
  <c r="S316" i="69"/>
  <c r="S317" i="69"/>
  <c r="S318" i="69"/>
  <c r="S319" i="69"/>
  <c r="S320" i="69"/>
  <c r="S321" i="69"/>
  <c r="S322" i="69"/>
  <c r="S323" i="69"/>
  <c r="S324" i="69"/>
  <c r="S325" i="69"/>
  <c r="S326" i="69"/>
  <c r="S327" i="69"/>
  <c r="S328" i="69"/>
  <c r="S329" i="69"/>
  <c r="S330" i="69"/>
  <c r="S331" i="69"/>
  <c r="S332" i="69"/>
  <c r="S333" i="69"/>
  <c r="S334" i="69"/>
  <c r="S335" i="69"/>
  <c r="S336" i="69"/>
  <c r="S337" i="69"/>
  <c r="S338" i="69"/>
  <c r="S339" i="69"/>
  <c r="S340" i="69"/>
  <c r="S341" i="69"/>
  <c r="S342" i="69"/>
  <c r="S343" i="69"/>
  <c r="S344" i="69"/>
  <c r="S345" i="69"/>
  <c r="S346" i="69"/>
  <c r="S347" i="69"/>
  <c r="S348" i="69"/>
  <c r="S349" i="69"/>
  <c r="S350" i="69"/>
  <c r="S351" i="69"/>
  <c r="S352" i="69"/>
  <c r="S353" i="69"/>
  <c r="S354" i="69"/>
  <c r="S355" i="69"/>
  <c r="S356" i="69"/>
  <c r="S357" i="69"/>
  <c r="S358" i="69"/>
  <c r="S359" i="69"/>
  <c r="S360" i="69"/>
  <c r="S361" i="69"/>
  <c r="S362" i="69"/>
  <c r="S363" i="69"/>
  <c r="S364" i="69"/>
  <c r="S365" i="69"/>
  <c r="S366" i="69"/>
  <c r="S367" i="69"/>
  <c r="S368" i="69"/>
  <c r="S369" i="69"/>
  <c r="S370" i="69"/>
  <c r="S371" i="69"/>
  <c r="S372" i="69"/>
  <c r="S373" i="69"/>
  <c r="S374" i="69"/>
  <c r="S375" i="69"/>
  <c r="S376" i="69"/>
  <c r="S377" i="69"/>
  <c r="S378" i="69"/>
  <c r="S379" i="69"/>
  <c r="S380" i="69"/>
  <c r="S381" i="69"/>
  <c r="S382" i="69"/>
  <c r="S383" i="69"/>
  <c r="S384" i="69"/>
  <c r="S385" i="69"/>
  <c r="S386" i="69"/>
  <c r="S387" i="69"/>
  <c r="S388" i="69"/>
  <c r="S389" i="69"/>
  <c r="S390" i="69"/>
  <c r="S391" i="69"/>
  <c r="S392" i="69"/>
  <c r="S393" i="69"/>
  <c r="S394" i="69"/>
  <c r="S395" i="69"/>
  <c r="S396" i="69"/>
  <c r="S397" i="69"/>
  <c r="S398" i="69"/>
  <c r="S399" i="69"/>
  <c r="S400" i="69"/>
  <c r="S401" i="69"/>
  <c r="S402" i="69"/>
  <c r="S403" i="69"/>
  <c r="S404" i="69"/>
  <c r="S405" i="69"/>
  <c r="S406" i="69"/>
  <c r="S407" i="69"/>
  <c r="S408" i="69"/>
  <c r="S409" i="69"/>
  <c r="S410" i="69"/>
  <c r="S411" i="69"/>
  <c r="S412" i="69"/>
  <c r="S413" i="69"/>
  <c r="S414" i="69"/>
  <c r="S415" i="69"/>
  <c r="S416" i="69"/>
  <c r="S417" i="69"/>
  <c r="S418" i="69"/>
  <c r="S419" i="69"/>
  <c r="S420" i="69"/>
  <c r="S421" i="69"/>
  <c r="S422" i="69"/>
  <c r="S423" i="69"/>
  <c r="S424" i="69"/>
  <c r="S425" i="69"/>
  <c r="S426" i="69"/>
  <c r="S427" i="69"/>
  <c r="S428" i="69"/>
  <c r="S429" i="69"/>
  <c r="S430" i="69"/>
  <c r="S431" i="69"/>
  <c r="S432" i="69"/>
  <c r="S433" i="69"/>
  <c r="S434" i="69"/>
  <c r="S435" i="69"/>
  <c r="S436" i="69"/>
  <c r="S437" i="69"/>
  <c r="S438" i="69"/>
  <c r="S439" i="69"/>
  <c r="S440" i="69"/>
  <c r="S441" i="69"/>
  <c r="S442" i="69"/>
  <c r="S443" i="69"/>
  <c r="S444" i="69"/>
  <c r="S445" i="69"/>
  <c r="S446" i="69"/>
  <c r="S447" i="69"/>
  <c r="S448" i="69"/>
  <c r="S449" i="69"/>
  <c r="S450" i="69"/>
  <c r="S451" i="69"/>
  <c r="S452" i="69"/>
  <c r="S453" i="69"/>
  <c r="S454" i="69"/>
  <c r="S455" i="69"/>
  <c r="S456" i="69"/>
  <c r="S457" i="69"/>
  <c r="S458" i="69"/>
  <c r="S459" i="69"/>
  <c r="S460" i="69"/>
  <c r="S461" i="69"/>
  <c r="S462" i="69"/>
  <c r="S463" i="69"/>
  <c r="S464" i="69"/>
  <c r="S465" i="69"/>
  <c r="S466" i="69"/>
  <c r="S467" i="69"/>
  <c r="S468" i="69"/>
  <c r="S469" i="69"/>
  <c r="S470" i="69"/>
  <c r="S471" i="69"/>
  <c r="S472" i="69"/>
  <c r="S473" i="69"/>
  <c r="S474" i="69"/>
  <c r="S475" i="69"/>
  <c r="S476" i="69"/>
  <c r="S477" i="69"/>
  <c r="S478" i="69"/>
  <c r="S479" i="69"/>
  <c r="S480" i="69"/>
  <c r="S481" i="69"/>
  <c r="S482" i="69"/>
  <c r="S483" i="69"/>
  <c r="S484" i="69"/>
  <c r="S485" i="69"/>
  <c r="S486" i="69"/>
  <c r="S487" i="69"/>
  <c r="S488" i="69"/>
  <c r="S489" i="69"/>
  <c r="S490" i="69"/>
  <c r="S491" i="69"/>
  <c r="S492" i="69"/>
  <c r="S493" i="69"/>
  <c r="S494" i="69"/>
  <c r="S495" i="69"/>
  <c r="S496" i="69"/>
  <c r="S497" i="69"/>
  <c r="S498" i="69"/>
  <c r="S499" i="69"/>
  <c r="S500" i="69"/>
  <c r="S501" i="69"/>
  <c r="S2" i="69" l="1"/>
  <c r="S16" i="69"/>
  <c r="S6" i="69"/>
  <c r="S8" i="69"/>
  <c r="S9" i="69"/>
  <c r="S4" i="69"/>
  <c r="S11" i="69"/>
  <c r="S5" i="69"/>
  <c r="S3" i="69"/>
  <c r="S13" i="69"/>
  <c r="S14" i="69"/>
  <c r="S10" i="69"/>
  <c r="S15" i="69"/>
  <c r="S7" i="69"/>
  <c r="S12" i="69"/>
  <c r="N55" i="69"/>
  <c r="N90" i="69"/>
  <c r="N108" i="69"/>
  <c r="N127" i="69"/>
  <c r="N202" i="69"/>
  <c r="N203" i="69"/>
  <c r="N351" i="69"/>
  <c r="N3" i="69"/>
  <c r="N4" i="69"/>
  <c r="U51" i="69"/>
  <c r="U52" i="69"/>
  <c r="U53" i="69"/>
  <c r="U54" i="69"/>
  <c r="U55" i="69"/>
  <c r="U57" i="69"/>
  <c r="U56" i="69"/>
  <c r="U58" i="69"/>
  <c r="U59" i="69"/>
  <c r="U60" i="69"/>
  <c r="U61" i="69"/>
  <c r="U62" i="69"/>
  <c r="U63" i="69"/>
  <c r="U64" i="69"/>
  <c r="U65" i="69"/>
  <c r="U66" i="69"/>
  <c r="U67" i="69"/>
  <c r="U68" i="69"/>
  <c r="U69" i="69"/>
  <c r="U70" i="69"/>
  <c r="U71" i="69"/>
  <c r="U72" i="69"/>
  <c r="U73" i="69"/>
  <c r="U74" i="69"/>
  <c r="U75" i="69"/>
  <c r="U76" i="69"/>
  <c r="U77" i="69"/>
  <c r="U80" i="69"/>
  <c r="U78" i="69"/>
  <c r="U79" i="69"/>
  <c r="U81" i="69"/>
  <c r="U82" i="69"/>
  <c r="U83" i="69"/>
  <c r="U84" i="69"/>
  <c r="U85" i="69"/>
  <c r="U86" i="69"/>
  <c r="U87" i="69"/>
  <c r="U88" i="69"/>
  <c r="U89" i="69"/>
  <c r="U91" i="69"/>
  <c r="U92" i="69"/>
  <c r="U93" i="69"/>
  <c r="U94" i="69"/>
  <c r="U95" i="69"/>
  <c r="U96" i="69"/>
  <c r="U97" i="69"/>
  <c r="U98" i="69"/>
  <c r="U99" i="69"/>
  <c r="U100" i="69"/>
  <c r="U101" i="69"/>
  <c r="U102" i="69"/>
  <c r="U103" i="69"/>
  <c r="U104" i="69"/>
  <c r="U105" i="69"/>
  <c r="U106" i="69"/>
  <c r="U107" i="69"/>
  <c r="U108" i="69"/>
  <c r="U109" i="69"/>
  <c r="U113" i="69"/>
  <c r="U110" i="69"/>
  <c r="U111" i="69"/>
  <c r="U112" i="69"/>
  <c r="U114" i="69"/>
  <c r="U115" i="69"/>
  <c r="U119" i="69"/>
  <c r="U117" i="69"/>
  <c r="U118" i="69"/>
  <c r="U116" i="69"/>
  <c r="U120" i="69"/>
  <c r="U121" i="69"/>
  <c r="U122" i="69"/>
  <c r="U123" i="69"/>
  <c r="U124" i="69"/>
  <c r="U125" i="69"/>
  <c r="U126" i="69"/>
  <c r="U127" i="69"/>
  <c r="U128" i="69"/>
  <c r="U129" i="69"/>
  <c r="U130" i="69"/>
  <c r="U131" i="69"/>
  <c r="U132" i="69"/>
  <c r="U133" i="69"/>
  <c r="U134" i="69"/>
  <c r="U135" i="69"/>
  <c r="U137" i="69"/>
  <c r="U136" i="69"/>
  <c r="U138" i="69"/>
  <c r="U139" i="69"/>
  <c r="U140" i="69"/>
  <c r="U141" i="69"/>
  <c r="U230" i="69"/>
  <c r="U143" i="69"/>
  <c r="U144" i="69"/>
  <c r="U145" i="69"/>
  <c r="U146" i="69"/>
  <c r="U147" i="69"/>
  <c r="U148" i="69"/>
  <c r="U149" i="69"/>
  <c r="U150" i="69"/>
  <c r="U151" i="69"/>
  <c r="U152" i="69"/>
  <c r="U154" i="69"/>
  <c r="U153" i="69"/>
  <c r="U155" i="69"/>
  <c r="U156" i="69"/>
  <c r="U157" i="69"/>
  <c r="U159" i="69"/>
  <c r="U158" i="69"/>
  <c r="U160" i="69"/>
  <c r="U163" i="69"/>
  <c r="U162" i="69"/>
  <c r="U161" i="69"/>
  <c r="U164" i="69"/>
  <c r="U166" i="69"/>
  <c r="U165" i="69"/>
  <c r="U167" i="69"/>
  <c r="U168" i="69"/>
  <c r="U169" i="69"/>
  <c r="U170" i="69"/>
  <c r="U171" i="69"/>
  <c r="U172" i="69"/>
  <c r="U177" i="69"/>
  <c r="U178" i="69"/>
  <c r="U173" i="69"/>
  <c r="U174" i="69"/>
  <c r="U175" i="69"/>
  <c r="U176" i="69"/>
  <c r="U179" i="69"/>
  <c r="U180" i="69"/>
  <c r="U181" i="69"/>
  <c r="U182" i="69"/>
  <c r="U185" i="69"/>
  <c r="U184" i="69"/>
  <c r="U183" i="69"/>
  <c r="U186" i="69"/>
  <c r="U187" i="69"/>
  <c r="U188" i="69"/>
  <c r="U189" i="69"/>
  <c r="U190" i="69"/>
  <c r="U191" i="69"/>
  <c r="U192" i="69"/>
  <c r="U193" i="69"/>
  <c r="U195" i="69"/>
  <c r="U194" i="69"/>
  <c r="U196" i="69"/>
  <c r="U197" i="69"/>
  <c r="U198" i="69"/>
  <c r="U199" i="69"/>
  <c r="U200" i="69"/>
  <c r="U201" i="69"/>
  <c r="U202" i="69"/>
  <c r="U203" i="69"/>
  <c r="U204" i="69"/>
  <c r="U205" i="69"/>
  <c r="U206" i="69"/>
  <c r="U207" i="69"/>
  <c r="U208" i="69"/>
  <c r="U209" i="69"/>
  <c r="U210" i="69"/>
  <c r="U211" i="69"/>
  <c r="U212" i="69"/>
  <c r="U213" i="69"/>
  <c r="U214" i="69"/>
  <c r="U215" i="69"/>
  <c r="U216" i="69"/>
  <c r="U217" i="69"/>
  <c r="U220" i="69"/>
  <c r="U219" i="69"/>
  <c r="U218" i="69"/>
  <c r="U221" i="69"/>
  <c r="U224" i="69"/>
  <c r="U225" i="69"/>
  <c r="U222" i="69"/>
  <c r="U223" i="69"/>
  <c r="U226" i="69"/>
  <c r="U228" i="69"/>
  <c r="U227" i="69"/>
  <c r="U229" i="69"/>
  <c r="U142" i="69"/>
  <c r="U231" i="69"/>
  <c r="U232" i="69"/>
  <c r="U233" i="69"/>
  <c r="U234" i="69"/>
  <c r="U235" i="69"/>
  <c r="U237" i="69"/>
  <c r="U236" i="69"/>
  <c r="U238" i="69"/>
  <c r="U239" i="69"/>
  <c r="U240" i="69"/>
  <c r="U241" i="69"/>
  <c r="U242" i="69"/>
  <c r="U243" i="69"/>
  <c r="U244" i="69"/>
  <c r="U245" i="69"/>
  <c r="U246" i="69"/>
  <c r="U247" i="69"/>
  <c r="U248" i="69"/>
  <c r="U249" i="69"/>
  <c r="U250" i="69"/>
  <c r="U251" i="69"/>
  <c r="U252" i="69"/>
  <c r="U253" i="69"/>
  <c r="U254" i="69"/>
  <c r="U255" i="69"/>
  <c r="U256" i="69"/>
  <c r="U257" i="69"/>
  <c r="U258" i="69"/>
  <c r="U259" i="69"/>
  <c r="U264" i="69"/>
  <c r="U263" i="69"/>
  <c r="U262" i="69"/>
  <c r="U265" i="69"/>
  <c r="U266" i="69"/>
  <c r="U260" i="69"/>
  <c r="U261" i="69"/>
  <c r="U267" i="69"/>
  <c r="U268" i="69"/>
  <c r="U269" i="69"/>
  <c r="U270" i="69"/>
  <c r="U271" i="69"/>
  <c r="U272" i="69"/>
  <c r="U274" i="69"/>
  <c r="U273" i="69"/>
  <c r="U275" i="69"/>
  <c r="U276" i="69"/>
  <c r="U277" i="69"/>
  <c r="U278" i="69"/>
  <c r="U279" i="69"/>
  <c r="U280" i="69"/>
  <c r="U281" i="69"/>
  <c r="U284" i="69"/>
  <c r="U283" i="69"/>
  <c r="U282" i="69"/>
  <c r="U285" i="69"/>
  <c r="U286" i="69"/>
  <c r="U287" i="69"/>
  <c r="U288" i="69"/>
  <c r="U289" i="69"/>
  <c r="U290" i="69"/>
  <c r="U291" i="69"/>
  <c r="U292" i="69"/>
  <c r="U293" i="69"/>
  <c r="U294" i="69"/>
  <c r="U295" i="69"/>
  <c r="U296" i="69"/>
  <c r="U297" i="69"/>
  <c r="U298" i="69"/>
  <c r="U299" i="69"/>
  <c r="U301" i="69"/>
  <c r="U300" i="69"/>
  <c r="U302" i="69"/>
  <c r="U303" i="69"/>
  <c r="U304" i="69"/>
  <c r="U305" i="69"/>
  <c r="U306" i="69"/>
  <c r="U307" i="69"/>
  <c r="U310" i="69"/>
  <c r="U311" i="69"/>
  <c r="U309" i="69"/>
  <c r="U312" i="69"/>
  <c r="U313" i="69"/>
  <c r="U314" i="69"/>
  <c r="U315" i="69"/>
  <c r="U317" i="69"/>
  <c r="U316" i="69"/>
  <c r="U318" i="69"/>
  <c r="U319" i="69"/>
  <c r="U322" i="69"/>
  <c r="U321" i="69"/>
  <c r="U323" i="69"/>
  <c r="U320" i="69"/>
  <c r="U325" i="69"/>
  <c r="U324" i="69"/>
  <c r="U326" i="69"/>
  <c r="U327" i="69"/>
  <c r="U328" i="69"/>
  <c r="U329" i="69"/>
  <c r="U330" i="69"/>
  <c r="U331" i="69"/>
  <c r="U332" i="69"/>
  <c r="U333" i="69"/>
  <c r="U335" i="69"/>
  <c r="U336" i="69"/>
  <c r="U334" i="69"/>
  <c r="U337" i="69"/>
  <c r="U338" i="69"/>
  <c r="U339" i="69"/>
  <c r="U340" i="69"/>
  <c r="U341" i="69"/>
  <c r="U342" i="69"/>
  <c r="U343" i="69"/>
  <c r="U344" i="69"/>
  <c r="U345" i="69"/>
  <c r="U346" i="69"/>
  <c r="U347" i="69"/>
  <c r="U348" i="69"/>
  <c r="U349" i="69"/>
  <c r="U350" i="69"/>
  <c r="U351" i="69"/>
  <c r="U353" i="69"/>
  <c r="U354" i="69"/>
  <c r="U352" i="69"/>
  <c r="U355" i="69"/>
  <c r="U356" i="69"/>
  <c r="U357" i="69"/>
  <c r="U9" i="69"/>
  <c r="U8" i="69"/>
  <c r="U358" i="69"/>
  <c r="U359" i="69"/>
  <c r="U361" i="69"/>
  <c r="U362" i="69"/>
  <c r="U363" i="69"/>
  <c r="U364" i="69"/>
  <c r="U360" i="69"/>
  <c r="U365" i="69"/>
  <c r="U366" i="69"/>
  <c r="U367" i="69"/>
  <c r="U368" i="69"/>
  <c r="U369" i="69"/>
  <c r="U370" i="69"/>
  <c r="U374" i="69"/>
  <c r="U371" i="69"/>
  <c r="U372" i="69"/>
  <c r="U373" i="69"/>
  <c r="U380" i="69"/>
  <c r="U381" i="69"/>
  <c r="U375" i="69"/>
  <c r="U376" i="69"/>
  <c r="U382" i="69"/>
  <c r="U378" i="69"/>
  <c r="U379" i="69"/>
  <c r="U377" i="69"/>
  <c r="U385" i="69"/>
  <c r="U383" i="69"/>
  <c r="U384" i="69"/>
  <c r="U386" i="69"/>
  <c r="U387" i="69"/>
  <c r="U391" i="69"/>
  <c r="U392" i="69"/>
  <c r="U390" i="69"/>
  <c r="U388" i="69"/>
  <c r="U389" i="69"/>
  <c r="U393" i="69"/>
  <c r="U394" i="69"/>
  <c r="U395" i="69"/>
  <c r="U396" i="69"/>
  <c r="U397" i="69"/>
  <c r="U398" i="69"/>
  <c r="U399" i="69"/>
  <c r="U400" i="69"/>
  <c r="U401" i="69"/>
  <c r="U402" i="69"/>
  <c r="U403" i="69"/>
  <c r="U404" i="69"/>
  <c r="U405" i="69"/>
  <c r="U406" i="69"/>
  <c r="U407" i="69"/>
  <c r="U408" i="69"/>
  <c r="U409" i="69"/>
  <c r="U410" i="69"/>
  <c r="U411" i="69"/>
  <c r="U412" i="69"/>
  <c r="U413" i="69"/>
  <c r="U414" i="69"/>
  <c r="U415" i="69"/>
  <c r="U416" i="69"/>
  <c r="U417" i="69"/>
  <c r="U418" i="69"/>
  <c r="U419" i="69"/>
  <c r="U420" i="69"/>
  <c r="U421" i="69"/>
  <c r="U422" i="69"/>
  <c r="U423" i="69"/>
  <c r="U424" i="69"/>
  <c r="U428" i="69"/>
  <c r="U425" i="69"/>
  <c r="U427" i="69"/>
  <c r="U426" i="69"/>
  <c r="U429" i="69"/>
  <c r="U430" i="69"/>
  <c r="U432" i="69"/>
  <c r="U431" i="69"/>
  <c r="U433" i="69"/>
  <c r="U434" i="69"/>
  <c r="U435" i="69"/>
  <c r="U436" i="69"/>
  <c r="U437" i="69"/>
  <c r="U438" i="69"/>
  <c r="U439" i="69"/>
  <c r="U440" i="69"/>
  <c r="U441" i="69"/>
  <c r="U442" i="69"/>
  <c r="U443" i="69"/>
  <c r="U444" i="69"/>
  <c r="U447" i="69"/>
  <c r="U448" i="69"/>
  <c r="U449" i="69"/>
  <c r="U450" i="69"/>
  <c r="U451" i="69"/>
  <c r="U453" i="69"/>
  <c r="U452" i="69"/>
  <c r="U454" i="69"/>
  <c r="U455" i="69"/>
  <c r="U456" i="69"/>
  <c r="U457" i="69"/>
  <c r="U458" i="69"/>
  <c r="U459" i="69"/>
  <c r="U460" i="69"/>
  <c r="U461" i="69"/>
  <c r="U462" i="69"/>
  <c r="U463" i="69"/>
  <c r="U464" i="69"/>
  <c r="U465" i="69"/>
  <c r="U466" i="69"/>
  <c r="U467" i="69"/>
  <c r="U468" i="69"/>
  <c r="U469" i="69"/>
  <c r="U470" i="69"/>
  <c r="U471" i="69"/>
  <c r="U472" i="69"/>
  <c r="U473" i="69"/>
  <c r="U477" i="69"/>
  <c r="U476" i="69"/>
  <c r="U474" i="69"/>
  <c r="U475" i="69"/>
  <c r="U478" i="69"/>
  <c r="U479" i="69"/>
  <c r="U480" i="69"/>
  <c r="U481" i="69"/>
  <c r="U482" i="69"/>
  <c r="U483" i="69"/>
  <c r="U484" i="69"/>
  <c r="U485" i="69"/>
  <c r="U486" i="69"/>
  <c r="U487" i="69"/>
  <c r="U488" i="69"/>
  <c r="U489" i="69"/>
  <c r="U490" i="69"/>
  <c r="U491" i="69"/>
  <c r="U492" i="69"/>
  <c r="U445" i="69"/>
  <c r="U446" i="69"/>
  <c r="U493" i="69"/>
  <c r="U494" i="69"/>
  <c r="U495" i="69"/>
  <c r="U496" i="69"/>
  <c r="U497" i="69"/>
  <c r="U498" i="69"/>
  <c r="U499" i="69"/>
  <c r="U500" i="69"/>
  <c r="U501" i="69"/>
  <c r="U6" i="69"/>
  <c r="U3" i="69"/>
  <c r="U7" i="69"/>
  <c r="U5" i="69"/>
  <c r="U4" i="69"/>
  <c r="U10" i="69"/>
  <c r="U11" i="69"/>
  <c r="U12" i="69"/>
  <c r="U13" i="69"/>
  <c r="U14" i="69"/>
  <c r="U15" i="69"/>
  <c r="U16" i="69"/>
  <c r="U17" i="69"/>
  <c r="U18" i="69"/>
  <c r="U19" i="69"/>
  <c r="U20" i="69"/>
  <c r="U21" i="69"/>
  <c r="U22" i="69"/>
  <c r="U23" i="69"/>
  <c r="U24" i="69"/>
  <c r="U25" i="69"/>
  <c r="U26" i="69"/>
  <c r="U27" i="69"/>
  <c r="U28" i="69"/>
  <c r="U29" i="69"/>
  <c r="U30" i="69"/>
  <c r="U31" i="69"/>
  <c r="U32" i="69"/>
  <c r="U33" i="69"/>
  <c r="U34" i="69"/>
  <c r="U35" i="69"/>
  <c r="U36" i="69"/>
  <c r="U37" i="69"/>
  <c r="U38" i="69"/>
  <c r="U39" i="69"/>
  <c r="U40" i="69"/>
  <c r="U41" i="69"/>
  <c r="U42" i="69"/>
  <c r="U43" i="69"/>
  <c r="U44" i="69"/>
  <c r="U45" i="69"/>
  <c r="U46" i="69"/>
  <c r="U47" i="69"/>
  <c r="U48" i="69"/>
  <c r="U49" i="69"/>
  <c r="U50" i="69"/>
  <c r="U90" i="69"/>
  <c r="U308" i="69"/>
  <c r="U2" i="69"/>
  <c r="Q3" i="69"/>
  <c r="R3" i="69"/>
  <c r="Q7" i="69"/>
  <c r="R7" i="69"/>
  <c r="Q5" i="69"/>
  <c r="R5" i="69"/>
  <c r="Q4" i="69"/>
  <c r="R4" i="69"/>
  <c r="Q10" i="69"/>
  <c r="R10" i="69"/>
  <c r="Q11" i="69"/>
  <c r="R11" i="69"/>
  <c r="Q12" i="69"/>
  <c r="R12" i="69"/>
  <c r="Q13" i="69"/>
  <c r="R13" i="69"/>
  <c r="Q14" i="69"/>
  <c r="R14" i="69"/>
  <c r="Q15" i="69"/>
  <c r="R15" i="69"/>
  <c r="Q16" i="69"/>
  <c r="R16" i="69"/>
  <c r="Q17" i="69"/>
  <c r="R17" i="69"/>
  <c r="Q18" i="69"/>
  <c r="R18" i="69"/>
  <c r="Q19" i="69"/>
  <c r="R19" i="69"/>
  <c r="Q20" i="69"/>
  <c r="R20" i="69"/>
  <c r="Q21" i="69"/>
  <c r="R21" i="69"/>
  <c r="Q22" i="69"/>
  <c r="R22" i="69"/>
  <c r="Q23" i="69"/>
  <c r="R23" i="69"/>
  <c r="Q24" i="69"/>
  <c r="R24" i="69"/>
  <c r="Q25" i="69"/>
  <c r="R25" i="69"/>
  <c r="Q26" i="69"/>
  <c r="R26" i="69"/>
  <c r="Q27" i="69"/>
  <c r="R27" i="69"/>
  <c r="Q28" i="69"/>
  <c r="R28" i="69"/>
  <c r="Q29" i="69"/>
  <c r="R29" i="69"/>
  <c r="Q30" i="69"/>
  <c r="R30" i="69"/>
  <c r="Q31" i="69"/>
  <c r="R31" i="69"/>
  <c r="Q32" i="69"/>
  <c r="R32" i="69"/>
  <c r="Q33" i="69"/>
  <c r="R33" i="69"/>
  <c r="Q34" i="69"/>
  <c r="R34" i="69"/>
  <c r="Q35" i="69"/>
  <c r="R35" i="69"/>
  <c r="Q36" i="69"/>
  <c r="R36" i="69"/>
  <c r="Q37" i="69"/>
  <c r="R37" i="69"/>
  <c r="Q38" i="69"/>
  <c r="R38" i="69"/>
  <c r="Q39" i="69"/>
  <c r="R39" i="69"/>
  <c r="Q40" i="69"/>
  <c r="R40" i="69"/>
  <c r="Q41" i="69"/>
  <c r="R41" i="69"/>
  <c r="Q42" i="69"/>
  <c r="R42" i="69"/>
  <c r="Q43" i="69"/>
  <c r="R43" i="69"/>
  <c r="Q44" i="69"/>
  <c r="R44" i="69"/>
  <c r="Q45" i="69"/>
  <c r="R45" i="69"/>
  <c r="Q46" i="69"/>
  <c r="R46" i="69"/>
  <c r="Q47" i="69"/>
  <c r="R47" i="69"/>
  <c r="Q48" i="69"/>
  <c r="R48" i="69"/>
  <c r="Q49" i="69"/>
  <c r="R49" i="69"/>
  <c r="Q50" i="69"/>
  <c r="R50" i="69"/>
  <c r="Q51" i="69"/>
  <c r="R51" i="69"/>
  <c r="Q52" i="69"/>
  <c r="R52" i="69"/>
  <c r="Q53" i="69"/>
  <c r="R53" i="69"/>
  <c r="Q54" i="69"/>
  <c r="R54" i="69"/>
  <c r="Q55" i="69"/>
  <c r="R55" i="69"/>
  <c r="Q57" i="69"/>
  <c r="R57" i="69"/>
  <c r="Q56" i="69"/>
  <c r="R56" i="69"/>
  <c r="Q58" i="69"/>
  <c r="R58" i="69"/>
  <c r="Q59" i="69"/>
  <c r="R59" i="69"/>
  <c r="Q60" i="69"/>
  <c r="R60" i="69"/>
  <c r="Q61" i="69"/>
  <c r="R61" i="69"/>
  <c r="Q62" i="69"/>
  <c r="R62" i="69"/>
  <c r="Q63" i="69"/>
  <c r="R63" i="69"/>
  <c r="Q64" i="69"/>
  <c r="R64" i="69"/>
  <c r="Q65" i="69"/>
  <c r="R65" i="69"/>
  <c r="Q66" i="69"/>
  <c r="R66" i="69"/>
  <c r="Q67" i="69"/>
  <c r="R67" i="69"/>
  <c r="Q69" i="69"/>
  <c r="R69" i="69"/>
  <c r="Q70" i="69"/>
  <c r="R70" i="69"/>
  <c r="Q71" i="69"/>
  <c r="R71" i="69"/>
  <c r="Q72" i="69"/>
  <c r="R72" i="69"/>
  <c r="Q73" i="69"/>
  <c r="R73" i="69"/>
  <c r="Q74" i="69"/>
  <c r="R74" i="69"/>
  <c r="Q75" i="69"/>
  <c r="R75" i="69"/>
  <c r="Q76" i="69"/>
  <c r="R76" i="69"/>
  <c r="Q77" i="69"/>
  <c r="R77" i="69"/>
  <c r="Q80" i="69"/>
  <c r="R80" i="69"/>
  <c r="Q78" i="69"/>
  <c r="R78" i="69"/>
  <c r="Q79" i="69"/>
  <c r="R79" i="69"/>
  <c r="Q81" i="69"/>
  <c r="R81" i="69"/>
  <c r="Q82" i="69"/>
  <c r="R82" i="69"/>
  <c r="Q83" i="69"/>
  <c r="R83" i="69"/>
  <c r="Q84" i="69"/>
  <c r="R84" i="69"/>
  <c r="Q85" i="69"/>
  <c r="R85" i="69"/>
  <c r="Q86" i="69"/>
  <c r="R86" i="69"/>
  <c r="Q87" i="69"/>
  <c r="R87" i="69"/>
  <c r="Q88" i="69"/>
  <c r="R88" i="69"/>
  <c r="Q89" i="69"/>
  <c r="R89" i="69"/>
  <c r="Q90" i="69"/>
  <c r="R90" i="69"/>
  <c r="Q91" i="69"/>
  <c r="R91" i="69"/>
  <c r="Q92" i="69"/>
  <c r="R92" i="69"/>
  <c r="Q93" i="69"/>
  <c r="R93" i="69"/>
  <c r="Q94" i="69"/>
  <c r="R94" i="69"/>
  <c r="Q95" i="69"/>
  <c r="R95" i="69"/>
  <c r="Q96" i="69"/>
  <c r="R96" i="69"/>
  <c r="Q97" i="69"/>
  <c r="R97" i="69"/>
  <c r="Q98" i="69"/>
  <c r="R98" i="69"/>
  <c r="Q99" i="69"/>
  <c r="R99" i="69"/>
  <c r="Q100" i="69"/>
  <c r="R100" i="69"/>
  <c r="Q101" i="69"/>
  <c r="R101" i="69"/>
  <c r="Q102" i="69"/>
  <c r="R102" i="69"/>
  <c r="Q103" i="69"/>
  <c r="R103" i="69"/>
  <c r="Q104" i="69"/>
  <c r="R104" i="69"/>
  <c r="Q105" i="69"/>
  <c r="R105" i="69"/>
  <c r="Q106" i="69"/>
  <c r="R106" i="69"/>
  <c r="Q107" i="69"/>
  <c r="R107" i="69"/>
  <c r="Q109" i="69"/>
  <c r="R109" i="69"/>
  <c r="Q113" i="69"/>
  <c r="R113" i="69"/>
  <c r="Q110" i="69"/>
  <c r="R110" i="69"/>
  <c r="Q111" i="69"/>
  <c r="R111" i="69"/>
  <c r="Q112" i="69"/>
  <c r="R112" i="69"/>
  <c r="Q114" i="69"/>
  <c r="R114" i="69"/>
  <c r="Q115" i="69"/>
  <c r="R115" i="69"/>
  <c r="Q119" i="69"/>
  <c r="R119" i="69"/>
  <c r="Q117" i="69"/>
  <c r="R117" i="69"/>
  <c r="Q118" i="69"/>
  <c r="R118" i="69"/>
  <c r="Q116" i="69"/>
  <c r="R116" i="69"/>
  <c r="Q120" i="69"/>
  <c r="R120" i="69"/>
  <c r="Q121" i="69"/>
  <c r="R121" i="69"/>
  <c r="Q122" i="69"/>
  <c r="R122" i="69"/>
  <c r="Q123" i="69"/>
  <c r="R123" i="69"/>
  <c r="Q124" i="69"/>
  <c r="R124" i="69"/>
  <c r="Q125" i="69"/>
  <c r="R125" i="69"/>
  <c r="Q126" i="69"/>
  <c r="R126" i="69"/>
  <c r="Q128" i="69"/>
  <c r="R128" i="69"/>
  <c r="Q129" i="69"/>
  <c r="R129" i="69"/>
  <c r="Q130" i="69"/>
  <c r="R130" i="69"/>
  <c r="Q131" i="69"/>
  <c r="R131" i="69"/>
  <c r="Q132" i="69"/>
  <c r="R132" i="69"/>
  <c r="Q133" i="69"/>
  <c r="R133" i="69"/>
  <c r="Q134" i="69"/>
  <c r="R134" i="69"/>
  <c r="Q135" i="69"/>
  <c r="R135" i="69"/>
  <c r="Q137" i="69"/>
  <c r="R137" i="69"/>
  <c r="Q136" i="69"/>
  <c r="R136" i="69"/>
  <c r="Q138" i="69"/>
  <c r="R138" i="69"/>
  <c r="Q139" i="69"/>
  <c r="R139" i="69"/>
  <c r="Q140" i="69"/>
  <c r="R140" i="69"/>
  <c r="Q141" i="69"/>
  <c r="R141" i="69"/>
  <c r="Q230" i="69"/>
  <c r="R230" i="69"/>
  <c r="Q143" i="69"/>
  <c r="R143" i="69"/>
  <c r="Q144" i="69"/>
  <c r="R144" i="69"/>
  <c r="Q145" i="69"/>
  <c r="R145" i="69"/>
  <c r="Q146" i="69"/>
  <c r="R146" i="69"/>
  <c r="Q147" i="69"/>
  <c r="R147" i="69"/>
  <c r="Q148" i="69"/>
  <c r="R148" i="69"/>
  <c r="Q149" i="69"/>
  <c r="R149" i="69"/>
  <c r="Q150" i="69"/>
  <c r="R150" i="69"/>
  <c r="Q151" i="69"/>
  <c r="R151" i="69"/>
  <c r="Q152" i="69"/>
  <c r="R152" i="69"/>
  <c r="Q154" i="69"/>
  <c r="R154" i="69"/>
  <c r="Q153" i="69"/>
  <c r="R153" i="69"/>
  <c r="Q155" i="69"/>
  <c r="R155" i="69"/>
  <c r="Q156" i="69"/>
  <c r="R156" i="69"/>
  <c r="Q157" i="69"/>
  <c r="R157" i="69"/>
  <c r="Q159" i="69"/>
  <c r="R159" i="69"/>
  <c r="Q158" i="69"/>
  <c r="R158" i="69"/>
  <c r="Q160" i="69"/>
  <c r="R160" i="69"/>
  <c r="Q163" i="69"/>
  <c r="R163" i="69"/>
  <c r="Q162" i="69"/>
  <c r="R162" i="69"/>
  <c r="Q161" i="69"/>
  <c r="R161" i="69"/>
  <c r="Q164" i="69"/>
  <c r="R164" i="69"/>
  <c r="Q166" i="69"/>
  <c r="R166" i="69"/>
  <c r="Q165" i="69"/>
  <c r="R165" i="69"/>
  <c r="Q167" i="69"/>
  <c r="R167" i="69"/>
  <c r="Q168" i="69"/>
  <c r="R168" i="69"/>
  <c r="Q169" i="69"/>
  <c r="R169" i="69"/>
  <c r="Q170" i="69"/>
  <c r="R170" i="69"/>
  <c r="Q171" i="69"/>
  <c r="R171" i="69"/>
  <c r="Q172" i="69"/>
  <c r="R172" i="69"/>
  <c r="Q177" i="69"/>
  <c r="R177" i="69"/>
  <c r="Q178" i="69"/>
  <c r="R178" i="69"/>
  <c r="Q173" i="69"/>
  <c r="R173" i="69"/>
  <c r="Q174" i="69"/>
  <c r="R174" i="69"/>
  <c r="Q175" i="69"/>
  <c r="R175" i="69"/>
  <c r="Q176" i="69"/>
  <c r="R176" i="69"/>
  <c r="Q179" i="69"/>
  <c r="R179" i="69"/>
  <c r="Q180" i="69"/>
  <c r="R180" i="69"/>
  <c r="Q181" i="69"/>
  <c r="R181" i="69"/>
  <c r="Q182" i="69"/>
  <c r="R182" i="69"/>
  <c r="Q185" i="69"/>
  <c r="R185" i="69"/>
  <c r="Q184" i="69"/>
  <c r="R184" i="69"/>
  <c r="Q183" i="69"/>
  <c r="R183" i="69"/>
  <c r="Q186" i="69"/>
  <c r="R186" i="69"/>
  <c r="Q187" i="69"/>
  <c r="R187" i="69"/>
  <c r="Q188" i="69"/>
  <c r="R188" i="69"/>
  <c r="Q189" i="69"/>
  <c r="R189" i="69"/>
  <c r="Q190" i="69"/>
  <c r="R190" i="69"/>
  <c r="Q191" i="69"/>
  <c r="R191" i="69"/>
  <c r="Q192" i="69"/>
  <c r="R192" i="69"/>
  <c r="Q193" i="69"/>
  <c r="R193" i="69"/>
  <c r="Q195" i="69"/>
  <c r="R195" i="69"/>
  <c r="Q194" i="69"/>
  <c r="R194" i="69"/>
  <c r="Q196" i="69"/>
  <c r="R196" i="69"/>
  <c r="Q197" i="69"/>
  <c r="R197" i="69"/>
  <c r="Q198" i="69"/>
  <c r="R198" i="69"/>
  <c r="Q199" i="69"/>
  <c r="R199" i="69"/>
  <c r="Q200" i="69"/>
  <c r="R200" i="69"/>
  <c r="Q201" i="69"/>
  <c r="R201" i="69"/>
  <c r="Q204" i="69"/>
  <c r="R204" i="69"/>
  <c r="Q205" i="69"/>
  <c r="R205" i="69"/>
  <c r="Q206" i="69"/>
  <c r="R206" i="69"/>
  <c r="Q207" i="69"/>
  <c r="R207" i="69"/>
  <c r="Q208" i="69"/>
  <c r="R208" i="69"/>
  <c r="Q209" i="69"/>
  <c r="R209" i="69"/>
  <c r="Q210" i="69"/>
  <c r="R210" i="69"/>
  <c r="Q211" i="69"/>
  <c r="R211" i="69"/>
  <c r="Q212" i="69"/>
  <c r="R212" i="69"/>
  <c r="Q213" i="69"/>
  <c r="R213" i="69"/>
  <c r="Q214" i="69"/>
  <c r="R214" i="69"/>
  <c r="Q215" i="69"/>
  <c r="R215" i="69"/>
  <c r="Q216" i="69"/>
  <c r="R216" i="69"/>
  <c r="Q217" i="69"/>
  <c r="R217" i="69"/>
  <c r="Q220" i="69"/>
  <c r="R220" i="69"/>
  <c r="Q219" i="69"/>
  <c r="R219" i="69"/>
  <c r="Q218" i="69"/>
  <c r="R218" i="69"/>
  <c r="Q221" i="69"/>
  <c r="R221" i="69"/>
  <c r="Q224" i="69"/>
  <c r="R224" i="69"/>
  <c r="Q225" i="69"/>
  <c r="R225" i="69"/>
  <c r="Q222" i="69"/>
  <c r="R222" i="69"/>
  <c r="Q223" i="69"/>
  <c r="R223" i="69"/>
  <c r="Q226" i="69"/>
  <c r="R226" i="69"/>
  <c r="Q228" i="69"/>
  <c r="R228" i="69"/>
  <c r="Q227" i="69"/>
  <c r="R227" i="69"/>
  <c r="Q229" i="69"/>
  <c r="R229" i="69"/>
  <c r="Q142" i="69"/>
  <c r="R142" i="69"/>
  <c r="Q231" i="69"/>
  <c r="R231" i="69"/>
  <c r="Q232" i="69"/>
  <c r="R232" i="69"/>
  <c r="Q233" i="69"/>
  <c r="R233" i="69"/>
  <c r="Q234" i="69"/>
  <c r="R234" i="69"/>
  <c r="Q235" i="69"/>
  <c r="R235" i="69"/>
  <c r="Q237" i="69"/>
  <c r="R237" i="69"/>
  <c r="Q236" i="69"/>
  <c r="R236" i="69"/>
  <c r="Q238" i="69"/>
  <c r="R238" i="69"/>
  <c r="Q239" i="69"/>
  <c r="R239" i="69"/>
  <c r="Q240" i="69"/>
  <c r="R240" i="69"/>
  <c r="Q241" i="69"/>
  <c r="R241" i="69"/>
  <c r="Q242" i="69"/>
  <c r="R242" i="69"/>
  <c r="Q243" i="69"/>
  <c r="R243" i="69"/>
  <c r="Q244" i="69"/>
  <c r="R244" i="69"/>
  <c r="Q245" i="69"/>
  <c r="R245" i="69"/>
  <c r="Q246" i="69"/>
  <c r="R246" i="69"/>
  <c r="Q247" i="69"/>
  <c r="R247" i="69"/>
  <c r="Q248" i="69"/>
  <c r="R248" i="69"/>
  <c r="Q249" i="69"/>
  <c r="R249" i="69"/>
  <c r="Q250" i="69"/>
  <c r="R250" i="69"/>
  <c r="Q251" i="69"/>
  <c r="R251" i="69"/>
  <c r="Q252" i="69"/>
  <c r="R252" i="69"/>
  <c r="Q253" i="69"/>
  <c r="R253" i="69"/>
  <c r="Q254" i="69"/>
  <c r="R254" i="69"/>
  <c r="Q255" i="69"/>
  <c r="R255" i="69"/>
  <c r="Q256" i="69"/>
  <c r="R256" i="69"/>
  <c r="Q257" i="69"/>
  <c r="R257" i="69"/>
  <c r="Q258" i="69"/>
  <c r="R258" i="69"/>
  <c r="Q259" i="69"/>
  <c r="R259" i="69"/>
  <c r="Q264" i="69"/>
  <c r="R264" i="69"/>
  <c r="Q263" i="69"/>
  <c r="R263" i="69"/>
  <c r="Q262" i="69"/>
  <c r="R262" i="69"/>
  <c r="Q265" i="69"/>
  <c r="R265" i="69"/>
  <c r="Q266" i="69"/>
  <c r="R266" i="69"/>
  <c r="Q260" i="69"/>
  <c r="R260" i="69"/>
  <c r="Q261" i="69"/>
  <c r="R261" i="69"/>
  <c r="Q267" i="69"/>
  <c r="R267" i="69"/>
  <c r="Q268" i="69"/>
  <c r="R268" i="69"/>
  <c r="Q269" i="69"/>
  <c r="R269" i="69"/>
  <c r="Q270" i="69"/>
  <c r="R270" i="69"/>
  <c r="Q271" i="69"/>
  <c r="R271" i="69"/>
  <c r="Q272" i="69"/>
  <c r="R272" i="69"/>
  <c r="Q274" i="69"/>
  <c r="R274" i="69"/>
  <c r="Q273" i="69"/>
  <c r="R273" i="69"/>
  <c r="Q275" i="69"/>
  <c r="R275" i="69"/>
  <c r="Q276" i="69"/>
  <c r="R276" i="69"/>
  <c r="Q277" i="69"/>
  <c r="R277" i="69"/>
  <c r="Q278" i="69"/>
  <c r="R278" i="69"/>
  <c r="Q279" i="69"/>
  <c r="R279" i="69"/>
  <c r="Q280" i="69"/>
  <c r="R280" i="69"/>
  <c r="Q281" i="69"/>
  <c r="R281" i="69"/>
  <c r="Q284" i="69"/>
  <c r="R284" i="69"/>
  <c r="Q283" i="69"/>
  <c r="R283" i="69"/>
  <c r="Q282" i="69"/>
  <c r="R282" i="69"/>
  <c r="Q285" i="69"/>
  <c r="R285" i="69"/>
  <c r="Q286" i="69"/>
  <c r="R286" i="69"/>
  <c r="Q287" i="69"/>
  <c r="R287" i="69"/>
  <c r="Q288" i="69"/>
  <c r="R288" i="69"/>
  <c r="Q289" i="69"/>
  <c r="R289" i="69"/>
  <c r="Q290" i="69"/>
  <c r="R290" i="69"/>
  <c r="Q291" i="69"/>
  <c r="R291" i="69"/>
  <c r="Q292" i="69"/>
  <c r="R292" i="69"/>
  <c r="Q293" i="69"/>
  <c r="R293" i="69"/>
  <c r="Q294" i="69"/>
  <c r="R294" i="69"/>
  <c r="Q295" i="69"/>
  <c r="R295" i="69"/>
  <c r="Q296" i="69"/>
  <c r="R296" i="69"/>
  <c r="Q297" i="69"/>
  <c r="R297" i="69"/>
  <c r="Q298" i="69"/>
  <c r="R298" i="69"/>
  <c r="Q299" i="69"/>
  <c r="R299" i="69"/>
  <c r="Q301" i="69"/>
  <c r="R301" i="69"/>
  <c r="Q300" i="69"/>
  <c r="R300" i="69"/>
  <c r="Q302" i="69"/>
  <c r="R302" i="69"/>
  <c r="Q303" i="69"/>
  <c r="R303" i="69"/>
  <c r="Q304" i="69"/>
  <c r="R304" i="69"/>
  <c r="Q305" i="69"/>
  <c r="R305" i="69"/>
  <c r="Q306" i="69"/>
  <c r="R306" i="69"/>
  <c r="Q307" i="69"/>
  <c r="R307" i="69"/>
  <c r="Q310" i="69"/>
  <c r="R310" i="69"/>
  <c r="Q311" i="69"/>
  <c r="R311" i="69"/>
  <c r="Q309" i="69"/>
  <c r="R309" i="69"/>
  <c r="Q312" i="69"/>
  <c r="R312" i="69"/>
  <c r="Q313" i="69"/>
  <c r="R313" i="69"/>
  <c r="Q314" i="69"/>
  <c r="R314" i="69"/>
  <c r="Q315" i="69"/>
  <c r="R315" i="69"/>
  <c r="Q317" i="69"/>
  <c r="R317" i="69"/>
  <c r="Q316" i="69"/>
  <c r="R316" i="69"/>
  <c r="Q318" i="69"/>
  <c r="R318" i="69"/>
  <c r="Q319" i="69"/>
  <c r="R319" i="69"/>
  <c r="Q322" i="69"/>
  <c r="R322" i="69"/>
  <c r="Q321" i="69"/>
  <c r="R321" i="69"/>
  <c r="Q323" i="69"/>
  <c r="R323" i="69"/>
  <c r="Q320" i="69"/>
  <c r="R320" i="69"/>
  <c r="Q325" i="69"/>
  <c r="R325" i="69"/>
  <c r="Q324" i="69"/>
  <c r="R324" i="69"/>
  <c r="Q326" i="69"/>
  <c r="R326" i="69"/>
  <c r="Q327" i="69"/>
  <c r="R327" i="69"/>
  <c r="Q328" i="69"/>
  <c r="R328" i="69"/>
  <c r="Q329" i="69"/>
  <c r="R329" i="69"/>
  <c r="Q330" i="69"/>
  <c r="R330" i="69"/>
  <c r="Q331" i="69"/>
  <c r="R331" i="69"/>
  <c r="Q332" i="69"/>
  <c r="R332" i="69"/>
  <c r="Q333" i="69"/>
  <c r="R333" i="69"/>
  <c r="Q335" i="69"/>
  <c r="R335" i="69"/>
  <c r="Q336" i="69"/>
  <c r="R336" i="69"/>
  <c r="Q334" i="69"/>
  <c r="R334" i="69"/>
  <c r="Q337" i="69"/>
  <c r="R337" i="69"/>
  <c r="Q338" i="69"/>
  <c r="R338" i="69"/>
  <c r="Q339" i="69"/>
  <c r="R339" i="69"/>
  <c r="Q340" i="69"/>
  <c r="R340" i="69"/>
  <c r="Q341" i="69"/>
  <c r="R341" i="69"/>
  <c r="Q342" i="69"/>
  <c r="R342" i="69"/>
  <c r="Q343" i="69"/>
  <c r="R343" i="69"/>
  <c r="Q344" i="69"/>
  <c r="R344" i="69"/>
  <c r="Q345" i="69"/>
  <c r="R345" i="69"/>
  <c r="Q346" i="69"/>
  <c r="R346" i="69"/>
  <c r="Q347" i="69"/>
  <c r="R347" i="69"/>
  <c r="Q348" i="69"/>
  <c r="R348" i="69"/>
  <c r="Q349" i="69"/>
  <c r="R349" i="69"/>
  <c r="Q350" i="69"/>
  <c r="R350" i="69"/>
  <c r="Q353" i="69"/>
  <c r="R353" i="69"/>
  <c r="Q354" i="69"/>
  <c r="R354" i="69"/>
  <c r="Q352" i="69"/>
  <c r="R352" i="69"/>
  <c r="Q355" i="69"/>
  <c r="R355" i="69"/>
  <c r="Q356" i="69"/>
  <c r="R356" i="69"/>
  <c r="Q357" i="69"/>
  <c r="R357" i="69"/>
  <c r="Q9" i="69"/>
  <c r="R9" i="69"/>
  <c r="Q308" i="69"/>
  <c r="R308" i="69"/>
  <c r="Q2" i="69"/>
  <c r="R2" i="69"/>
  <c r="Q8" i="69"/>
  <c r="R8" i="69"/>
  <c r="Q358" i="69"/>
  <c r="R358" i="69"/>
  <c r="Q359" i="69"/>
  <c r="R359" i="69"/>
  <c r="Q361" i="69"/>
  <c r="R361" i="69"/>
  <c r="Q362" i="69"/>
  <c r="R362" i="69"/>
  <c r="Q363" i="69"/>
  <c r="R363" i="69"/>
  <c r="Q364" i="69"/>
  <c r="R364" i="69"/>
  <c r="Q360" i="69"/>
  <c r="R360" i="69"/>
  <c r="Q365" i="69"/>
  <c r="R365" i="69"/>
  <c r="Q366" i="69"/>
  <c r="R366" i="69"/>
  <c r="Q367" i="69"/>
  <c r="R367" i="69"/>
  <c r="Q368" i="69"/>
  <c r="R368" i="69"/>
  <c r="Q369" i="69"/>
  <c r="R369" i="69"/>
  <c r="Q370" i="69"/>
  <c r="R370" i="69"/>
  <c r="Q374" i="69"/>
  <c r="R374" i="69"/>
  <c r="Q371" i="69"/>
  <c r="R371" i="69"/>
  <c r="Q372" i="69"/>
  <c r="R372" i="69"/>
  <c r="Q373" i="69"/>
  <c r="R373" i="69"/>
  <c r="Q380" i="69"/>
  <c r="R380" i="69"/>
  <c r="Q381" i="69"/>
  <c r="R381" i="69"/>
  <c r="Q375" i="69"/>
  <c r="R375" i="69"/>
  <c r="Q376" i="69"/>
  <c r="R376" i="69"/>
  <c r="Q382" i="69"/>
  <c r="R382" i="69"/>
  <c r="Q378" i="69"/>
  <c r="R378" i="69"/>
  <c r="Q379" i="69"/>
  <c r="R379" i="69"/>
  <c r="Q377" i="69"/>
  <c r="R377" i="69"/>
  <c r="Q385" i="69"/>
  <c r="R385" i="69"/>
  <c r="Q383" i="69"/>
  <c r="R383" i="69"/>
  <c r="Q384" i="69"/>
  <c r="R384" i="69"/>
  <c r="Q386" i="69"/>
  <c r="R386" i="69"/>
  <c r="Q387" i="69"/>
  <c r="R387" i="69"/>
  <c r="Q391" i="69"/>
  <c r="R391" i="69"/>
  <c r="Q392" i="69"/>
  <c r="R392" i="69"/>
  <c r="Q390" i="69"/>
  <c r="R390" i="69"/>
  <c r="Q388" i="69"/>
  <c r="R388" i="69"/>
  <c r="Q389" i="69"/>
  <c r="R389" i="69"/>
  <c r="Q393" i="69"/>
  <c r="R393" i="69"/>
  <c r="Q394" i="69"/>
  <c r="R394" i="69"/>
  <c r="Q395" i="69"/>
  <c r="R395" i="69"/>
  <c r="Q396" i="69"/>
  <c r="R396" i="69"/>
  <c r="Q397" i="69"/>
  <c r="R397" i="69"/>
  <c r="Q398" i="69"/>
  <c r="R398" i="69"/>
  <c r="Q399" i="69"/>
  <c r="R399" i="69"/>
  <c r="Q400" i="69"/>
  <c r="R400" i="69"/>
  <c r="Q401" i="69"/>
  <c r="R401" i="69"/>
  <c r="Q402" i="69"/>
  <c r="R402" i="69"/>
  <c r="Q403" i="69"/>
  <c r="R403" i="69"/>
  <c r="Q404" i="69"/>
  <c r="R404" i="69"/>
  <c r="Q405" i="69"/>
  <c r="R405" i="69"/>
  <c r="Q406" i="69"/>
  <c r="R406" i="69"/>
  <c r="Q407" i="69"/>
  <c r="R407" i="69"/>
  <c r="Q408" i="69"/>
  <c r="R408" i="69"/>
  <c r="Q409" i="69"/>
  <c r="R409" i="69"/>
  <c r="Q410" i="69"/>
  <c r="R410" i="69"/>
  <c r="Q411" i="69"/>
  <c r="R411" i="69"/>
  <c r="Q412" i="69"/>
  <c r="R412" i="69"/>
  <c r="Q413" i="69"/>
  <c r="R413" i="69"/>
  <c r="Q414" i="69"/>
  <c r="R414" i="69"/>
  <c r="Q415" i="69"/>
  <c r="R415" i="69"/>
  <c r="Q416" i="69"/>
  <c r="R416" i="69"/>
  <c r="Q417" i="69"/>
  <c r="R417" i="69"/>
  <c r="Q418" i="69"/>
  <c r="R418" i="69"/>
  <c r="Q419" i="69"/>
  <c r="R419" i="69"/>
  <c r="Q420" i="69"/>
  <c r="R420" i="69"/>
  <c r="Q421" i="69"/>
  <c r="R421" i="69"/>
  <c r="Q422" i="69"/>
  <c r="R422" i="69"/>
  <c r="Q423" i="69"/>
  <c r="R423" i="69"/>
  <c r="Q424" i="69"/>
  <c r="R424" i="69"/>
  <c r="Q428" i="69"/>
  <c r="R428" i="69"/>
  <c r="Q425" i="69"/>
  <c r="R425" i="69"/>
  <c r="Q427" i="69"/>
  <c r="R427" i="69"/>
  <c r="Q426" i="69"/>
  <c r="R426" i="69"/>
  <c r="Q429" i="69"/>
  <c r="R429" i="69"/>
  <c r="Q430" i="69"/>
  <c r="R430" i="69"/>
  <c r="Q432" i="69"/>
  <c r="R432" i="69"/>
  <c r="Q431" i="69"/>
  <c r="R431" i="69"/>
  <c r="Q433" i="69"/>
  <c r="R433" i="69"/>
  <c r="Q434" i="69"/>
  <c r="R434" i="69"/>
  <c r="Q435" i="69"/>
  <c r="R435" i="69"/>
  <c r="Q436" i="69"/>
  <c r="R436" i="69"/>
  <c r="Q437" i="69"/>
  <c r="R437" i="69"/>
  <c r="Q438" i="69"/>
  <c r="R438" i="69"/>
  <c r="Q439" i="69"/>
  <c r="R439" i="69"/>
  <c r="Q440" i="69"/>
  <c r="R440" i="69"/>
  <c r="Q441" i="69"/>
  <c r="R441" i="69"/>
  <c r="Q442" i="69"/>
  <c r="R442" i="69"/>
  <c r="Q443" i="69"/>
  <c r="R443" i="69"/>
  <c r="Q444" i="69"/>
  <c r="R444" i="69"/>
  <c r="Q447" i="69"/>
  <c r="R447" i="69"/>
  <c r="Q448" i="69"/>
  <c r="R448" i="69"/>
  <c r="Q449" i="69"/>
  <c r="R449" i="69"/>
  <c r="Q450" i="69"/>
  <c r="R450" i="69"/>
  <c r="Q451" i="69"/>
  <c r="R451" i="69"/>
  <c r="Q453" i="69"/>
  <c r="R453" i="69"/>
  <c r="Q452" i="69"/>
  <c r="R452" i="69"/>
  <c r="Q454" i="69"/>
  <c r="R454" i="69"/>
  <c r="Q455" i="69"/>
  <c r="R455" i="69"/>
  <c r="Q456" i="69"/>
  <c r="R456" i="69"/>
  <c r="Q457" i="69"/>
  <c r="R457" i="69"/>
  <c r="Q458" i="69"/>
  <c r="R458" i="69"/>
  <c r="Q459" i="69"/>
  <c r="R459" i="69"/>
  <c r="Q460" i="69"/>
  <c r="R460" i="69"/>
  <c r="Q461" i="69"/>
  <c r="R461" i="69"/>
  <c r="Q462" i="69"/>
  <c r="R462" i="69"/>
  <c r="Q463" i="69"/>
  <c r="R463" i="69"/>
  <c r="Q464" i="69"/>
  <c r="R464" i="69"/>
  <c r="Q465" i="69"/>
  <c r="R465" i="69"/>
  <c r="Q466" i="69"/>
  <c r="R466" i="69"/>
  <c r="Q467" i="69"/>
  <c r="R467" i="69"/>
  <c r="Q468" i="69"/>
  <c r="R468" i="69"/>
  <c r="Q469" i="69"/>
  <c r="R469" i="69"/>
  <c r="Q470" i="69"/>
  <c r="R470" i="69"/>
  <c r="Q471" i="69"/>
  <c r="R471" i="69"/>
  <c r="Q472" i="69"/>
  <c r="R472" i="69"/>
  <c r="Q473" i="69"/>
  <c r="R473" i="69"/>
  <c r="Q477" i="69"/>
  <c r="R477" i="69"/>
  <c r="Q476" i="69"/>
  <c r="R476" i="69"/>
  <c r="Q474" i="69"/>
  <c r="R474" i="69"/>
  <c r="Q475" i="69"/>
  <c r="R475" i="69"/>
  <c r="Q478" i="69"/>
  <c r="R478" i="69"/>
  <c r="Q479" i="69"/>
  <c r="R479" i="69"/>
  <c r="Q480" i="69"/>
  <c r="R480" i="69"/>
  <c r="Q481" i="69"/>
  <c r="R481" i="69"/>
  <c r="Q482" i="69"/>
  <c r="R482" i="69"/>
  <c r="Q483" i="69"/>
  <c r="R483" i="69"/>
  <c r="Q484" i="69"/>
  <c r="R484" i="69"/>
  <c r="Q485" i="69"/>
  <c r="R485" i="69"/>
  <c r="Q486" i="69"/>
  <c r="R486" i="69"/>
  <c r="Q487" i="69"/>
  <c r="R487" i="69"/>
  <c r="Q488" i="69"/>
  <c r="R488" i="69"/>
  <c r="Q489" i="69"/>
  <c r="R489" i="69"/>
  <c r="Q490" i="69"/>
  <c r="R490" i="69"/>
  <c r="Q491" i="69"/>
  <c r="R491" i="69"/>
  <c r="Q492" i="69"/>
  <c r="R492" i="69"/>
  <c r="Q445" i="69"/>
  <c r="R445" i="69"/>
  <c r="Q446" i="69"/>
  <c r="R446" i="69"/>
  <c r="Q493" i="69"/>
  <c r="R493" i="69"/>
  <c r="Q494" i="69"/>
  <c r="R494" i="69"/>
  <c r="Q495" i="69"/>
  <c r="R495" i="69"/>
  <c r="Q496" i="69"/>
  <c r="R496" i="69"/>
  <c r="Q497" i="69"/>
  <c r="R497" i="69"/>
  <c r="Q498" i="69"/>
  <c r="R498" i="69"/>
  <c r="Q499" i="69"/>
  <c r="R499" i="69"/>
  <c r="Q500" i="69"/>
  <c r="R500" i="69"/>
  <c r="Q501" i="69"/>
  <c r="R501" i="69"/>
  <c r="Q68" i="69"/>
  <c r="R68" i="69"/>
  <c r="Q108" i="69"/>
  <c r="R108" i="69"/>
  <c r="Q127" i="69"/>
  <c r="R127" i="69"/>
  <c r="Q202" i="69"/>
  <c r="R202" i="69"/>
  <c r="Q203" i="69"/>
  <c r="R203" i="69"/>
  <c r="Q351" i="69"/>
  <c r="R351" i="69"/>
  <c r="R6" i="69"/>
  <c r="Q6" i="69"/>
  <c r="N6" i="69" l="1"/>
  <c r="N7" i="69"/>
  <c r="N5" i="69"/>
  <c r="N10" i="69"/>
  <c r="N11" i="69"/>
  <c r="N12" i="69"/>
  <c r="N13" i="69"/>
  <c r="N14" i="69"/>
  <c r="N15" i="69"/>
  <c r="N16" i="69"/>
  <c r="N17" i="69"/>
  <c r="N18" i="69"/>
  <c r="N19" i="69"/>
  <c r="N20" i="69"/>
  <c r="N21" i="69"/>
  <c r="N22" i="69"/>
  <c r="N23" i="69"/>
  <c r="N24" i="69"/>
  <c r="N25" i="69"/>
  <c r="N26" i="69"/>
  <c r="N27" i="69"/>
  <c r="N28" i="69"/>
  <c r="N29" i="69"/>
  <c r="N30" i="69"/>
  <c r="N31" i="69"/>
  <c r="N32" i="69"/>
  <c r="N33" i="69"/>
  <c r="N34" i="69"/>
  <c r="N35" i="69"/>
  <c r="N36" i="69"/>
  <c r="N37" i="69"/>
  <c r="N38" i="69"/>
  <c r="N39" i="69"/>
  <c r="N40" i="69"/>
  <c r="N41" i="69"/>
  <c r="N42" i="69"/>
  <c r="N43" i="69"/>
  <c r="N44" i="69"/>
  <c r="N45" i="69"/>
  <c r="N46" i="69"/>
  <c r="N47" i="69"/>
  <c r="N48" i="69"/>
  <c r="N49" i="69"/>
  <c r="N50" i="69"/>
  <c r="N51" i="69"/>
  <c r="N52" i="69"/>
  <c r="N53" i="69"/>
  <c r="N54" i="69"/>
  <c r="N57" i="69"/>
  <c r="N56" i="69"/>
  <c r="N58" i="69"/>
  <c r="N59" i="69"/>
  <c r="N60" i="69"/>
  <c r="N61" i="69"/>
  <c r="N62" i="69"/>
  <c r="N63" i="69"/>
  <c r="N64" i="69"/>
  <c r="N65" i="69"/>
  <c r="N66" i="69"/>
  <c r="N67" i="69"/>
  <c r="N69" i="69"/>
  <c r="N70" i="69"/>
  <c r="N71" i="69"/>
  <c r="N72" i="69"/>
  <c r="N73" i="69"/>
  <c r="N74" i="69"/>
  <c r="N75" i="69"/>
  <c r="N76" i="69"/>
  <c r="N77" i="69"/>
  <c r="N80" i="69"/>
  <c r="N78" i="69"/>
  <c r="N79" i="69"/>
  <c r="N81" i="69"/>
  <c r="N82" i="69"/>
  <c r="N83" i="69"/>
  <c r="N84" i="69"/>
  <c r="N85" i="69"/>
  <c r="N86" i="69"/>
  <c r="N87" i="69"/>
  <c r="N88" i="69"/>
  <c r="N89" i="69"/>
  <c r="N91" i="69"/>
  <c r="N92" i="69"/>
  <c r="N93" i="69"/>
  <c r="N94" i="69"/>
  <c r="N95" i="69"/>
  <c r="N96" i="69"/>
  <c r="N97" i="69"/>
  <c r="N98" i="69"/>
  <c r="N99" i="69"/>
  <c r="N100" i="69"/>
  <c r="N101" i="69"/>
  <c r="N102" i="69"/>
  <c r="N103" i="69"/>
  <c r="N104" i="69"/>
  <c r="N105" i="69"/>
  <c r="N106" i="69"/>
  <c r="N107" i="69"/>
  <c r="N109" i="69"/>
  <c r="N113" i="69"/>
  <c r="N110" i="69"/>
  <c r="N111" i="69"/>
  <c r="N112" i="69"/>
  <c r="N114" i="69"/>
  <c r="N115" i="69"/>
  <c r="N119" i="69"/>
  <c r="N117" i="69"/>
  <c r="N118" i="69"/>
  <c r="N116" i="69"/>
  <c r="N120" i="69"/>
  <c r="N121" i="69"/>
  <c r="N122" i="69"/>
  <c r="N123" i="69"/>
  <c r="N124" i="69"/>
  <c r="N125" i="69"/>
  <c r="N126" i="69"/>
  <c r="N128" i="69"/>
  <c r="N129" i="69"/>
  <c r="N130" i="69"/>
  <c r="N131" i="69"/>
  <c r="N132" i="69"/>
  <c r="N133" i="69"/>
  <c r="N134" i="69"/>
  <c r="N135" i="69"/>
  <c r="N137" i="69"/>
  <c r="N136" i="69"/>
  <c r="N138" i="69"/>
  <c r="N139" i="69"/>
  <c r="N140" i="69"/>
  <c r="N141" i="69"/>
  <c r="N230" i="69"/>
  <c r="N143" i="69"/>
  <c r="N144" i="69"/>
  <c r="N145" i="69"/>
  <c r="N146" i="69"/>
  <c r="N147" i="69"/>
  <c r="N148" i="69"/>
  <c r="N149" i="69"/>
  <c r="N150" i="69"/>
  <c r="N151" i="69"/>
  <c r="N152" i="69"/>
  <c r="N154" i="69"/>
  <c r="N153" i="69"/>
  <c r="N155" i="69"/>
  <c r="N156" i="69"/>
  <c r="N157" i="69"/>
  <c r="N159" i="69"/>
  <c r="N158" i="69"/>
  <c r="N160" i="69"/>
  <c r="N163" i="69"/>
  <c r="N162" i="69"/>
  <c r="N161" i="69"/>
  <c r="N164" i="69"/>
  <c r="N166" i="69"/>
  <c r="N165" i="69"/>
  <c r="N167" i="69"/>
  <c r="N168" i="69"/>
  <c r="N169" i="69"/>
  <c r="N170" i="69"/>
  <c r="N171" i="69"/>
  <c r="N172" i="69"/>
  <c r="N177" i="69"/>
  <c r="N178" i="69"/>
  <c r="N173" i="69"/>
  <c r="N174" i="69"/>
  <c r="N175" i="69"/>
  <c r="N176" i="69"/>
  <c r="N179" i="69"/>
  <c r="N180" i="69"/>
  <c r="N181" i="69"/>
  <c r="N182" i="69"/>
  <c r="N185" i="69"/>
  <c r="N184" i="69"/>
  <c r="N183" i="69"/>
  <c r="N186" i="69"/>
  <c r="N187" i="69"/>
  <c r="N188" i="69"/>
  <c r="N189" i="69"/>
  <c r="N190" i="69"/>
  <c r="N191" i="69"/>
  <c r="N192" i="69"/>
  <c r="N193" i="69"/>
  <c r="N195" i="69"/>
  <c r="N194" i="69"/>
  <c r="N196" i="69"/>
  <c r="N197" i="69"/>
  <c r="N198" i="69"/>
  <c r="N199" i="69"/>
  <c r="N200" i="69"/>
  <c r="N201" i="69"/>
  <c r="N204" i="69"/>
  <c r="N205" i="69"/>
  <c r="N206" i="69"/>
  <c r="N207" i="69"/>
  <c r="N208" i="69"/>
  <c r="N209" i="69"/>
  <c r="N210" i="69"/>
  <c r="N211" i="69"/>
  <c r="N212" i="69"/>
  <c r="N213" i="69"/>
  <c r="N214" i="69"/>
  <c r="N215" i="69"/>
  <c r="N216" i="69"/>
  <c r="N217" i="69"/>
  <c r="N220" i="69"/>
  <c r="N219" i="69"/>
  <c r="N218" i="69"/>
  <c r="N221" i="69"/>
  <c r="N224" i="69"/>
  <c r="N225" i="69"/>
  <c r="N222" i="69"/>
  <c r="N223" i="69"/>
  <c r="N226" i="69"/>
  <c r="N228" i="69"/>
  <c r="N227" i="69"/>
  <c r="N229" i="69"/>
  <c r="N142" i="69"/>
  <c r="N231" i="69"/>
  <c r="N232" i="69"/>
  <c r="N233" i="69"/>
  <c r="N234" i="69"/>
  <c r="N235" i="69"/>
  <c r="N237" i="69"/>
  <c r="N236" i="69"/>
  <c r="N238" i="69"/>
  <c r="N239" i="69"/>
  <c r="N240" i="69"/>
  <c r="N241" i="69"/>
  <c r="N242" i="69"/>
  <c r="N243" i="69"/>
  <c r="N244" i="69"/>
  <c r="N245" i="69"/>
  <c r="N246" i="69"/>
  <c r="N247" i="69"/>
  <c r="N248" i="69"/>
  <c r="N249" i="69"/>
  <c r="N250" i="69"/>
  <c r="N251" i="69"/>
  <c r="N252" i="69"/>
  <c r="N253" i="69"/>
  <c r="N254" i="69"/>
  <c r="N255" i="69"/>
  <c r="N256" i="69"/>
  <c r="N257" i="69"/>
  <c r="N258" i="69"/>
  <c r="N259" i="69"/>
  <c r="N264" i="69"/>
  <c r="N263" i="69"/>
  <c r="N262" i="69"/>
  <c r="N265" i="69"/>
  <c r="N266" i="69"/>
  <c r="N260" i="69"/>
  <c r="N261" i="69"/>
  <c r="N267" i="69"/>
  <c r="N268" i="69"/>
  <c r="N269" i="69"/>
  <c r="N270" i="69"/>
  <c r="N271" i="69"/>
  <c r="N272" i="69"/>
  <c r="N274" i="69"/>
  <c r="N273" i="69"/>
  <c r="N275" i="69"/>
  <c r="N276" i="69"/>
  <c r="N277" i="69"/>
  <c r="N278" i="69"/>
  <c r="N279" i="69"/>
  <c r="N280" i="69"/>
  <c r="N281" i="69"/>
  <c r="N284" i="69"/>
  <c r="N283" i="69"/>
  <c r="N282" i="69"/>
  <c r="N285" i="69"/>
  <c r="N286" i="69"/>
  <c r="N287" i="69"/>
  <c r="N288" i="69"/>
  <c r="N289" i="69"/>
  <c r="N290" i="69"/>
  <c r="N291" i="69"/>
  <c r="N292" i="69"/>
  <c r="N293" i="69"/>
  <c r="N294" i="69"/>
  <c r="N295" i="69"/>
  <c r="N296" i="69"/>
  <c r="N297" i="69"/>
  <c r="N298" i="69"/>
  <c r="N299" i="69"/>
  <c r="N301" i="69"/>
  <c r="N300" i="69"/>
  <c r="N302" i="69"/>
  <c r="N303" i="69"/>
  <c r="N304" i="69"/>
  <c r="N305" i="69"/>
  <c r="N306" i="69"/>
  <c r="N307" i="69"/>
  <c r="N310" i="69"/>
  <c r="N311" i="69"/>
  <c r="N309" i="69"/>
  <c r="N312" i="69"/>
  <c r="N313" i="69"/>
  <c r="N314" i="69"/>
  <c r="N315" i="69"/>
  <c r="N317" i="69"/>
  <c r="N316" i="69"/>
  <c r="N318" i="69"/>
  <c r="N319" i="69"/>
  <c r="N322" i="69"/>
  <c r="N321" i="69"/>
  <c r="N323" i="69"/>
  <c r="N320" i="69"/>
  <c r="N325" i="69"/>
  <c r="N324" i="69"/>
  <c r="N326" i="69"/>
  <c r="N327" i="69"/>
  <c r="N328" i="69"/>
  <c r="N329" i="69"/>
  <c r="N330" i="69"/>
  <c r="N331" i="69"/>
  <c r="N332" i="69"/>
  <c r="N333" i="69"/>
  <c r="N335" i="69"/>
  <c r="N336" i="69"/>
  <c r="N334" i="69"/>
  <c r="N337" i="69"/>
  <c r="N338" i="69"/>
  <c r="N339" i="69"/>
  <c r="N340" i="69"/>
  <c r="N341" i="69"/>
  <c r="N342" i="69"/>
  <c r="N343" i="69"/>
  <c r="N344" i="69"/>
  <c r="N345" i="69"/>
  <c r="N346" i="69"/>
  <c r="N347" i="69"/>
  <c r="N348" i="69"/>
  <c r="N349" i="69"/>
  <c r="N350" i="69"/>
  <c r="N353" i="69"/>
  <c r="N354" i="69"/>
  <c r="N352" i="69"/>
  <c r="N355" i="69"/>
  <c r="N356" i="69"/>
  <c r="N357" i="69"/>
  <c r="N9" i="69"/>
  <c r="N308" i="69"/>
  <c r="N8" i="69"/>
  <c r="N358" i="69"/>
  <c r="N359" i="69"/>
  <c r="N361" i="69"/>
  <c r="N362" i="69"/>
  <c r="N363" i="69"/>
  <c r="N364" i="69"/>
  <c r="N360" i="69"/>
  <c r="N365" i="69"/>
  <c r="N366" i="69"/>
  <c r="N367" i="69"/>
  <c r="N368" i="69"/>
  <c r="N369" i="69"/>
  <c r="N370" i="69"/>
  <c r="N374" i="69"/>
  <c r="N371" i="69"/>
  <c r="N372" i="69"/>
  <c r="N373" i="69"/>
  <c r="N380" i="69"/>
  <c r="N381" i="69"/>
  <c r="N375" i="69"/>
  <c r="N376" i="69"/>
  <c r="N382" i="69"/>
  <c r="N378" i="69"/>
  <c r="N379" i="69"/>
  <c r="N377" i="69"/>
  <c r="N385" i="69"/>
  <c r="N383" i="69"/>
  <c r="N384" i="69"/>
  <c r="N386" i="69"/>
  <c r="N387" i="69"/>
  <c r="N391" i="69"/>
  <c r="N392" i="69"/>
  <c r="N390" i="69"/>
  <c r="N388" i="69"/>
  <c r="N389" i="69"/>
  <c r="N393" i="69"/>
  <c r="N394" i="69"/>
  <c r="N395" i="69"/>
  <c r="N396" i="69"/>
  <c r="N397" i="69"/>
  <c r="N398" i="69"/>
  <c r="N399" i="69"/>
  <c r="N400" i="69"/>
  <c r="N401" i="69"/>
  <c r="N402" i="69"/>
  <c r="N403" i="69"/>
  <c r="N404" i="69"/>
  <c r="N405" i="69"/>
  <c r="N406" i="69"/>
  <c r="N407" i="69"/>
  <c r="N408" i="69"/>
  <c r="N409" i="69"/>
  <c r="N410" i="69"/>
  <c r="N411" i="69"/>
  <c r="N412" i="69"/>
  <c r="N413" i="69"/>
  <c r="N414" i="69"/>
  <c r="N415" i="69"/>
  <c r="N416" i="69"/>
  <c r="N417" i="69"/>
  <c r="N418" i="69"/>
  <c r="N419" i="69"/>
  <c r="N420" i="69"/>
  <c r="N421" i="69"/>
  <c r="N422" i="69"/>
  <c r="N423" i="69"/>
  <c r="N424" i="69"/>
  <c r="N428" i="69"/>
  <c r="N425" i="69"/>
  <c r="N427" i="69"/>
  <c r="N426" i="69"/>
  <c r="N429" i="69"/>
  <c r="N430" i="69"/>
  <c r="N432" i="69"/>
  <c r="N431" i="69"/>
  <c r="N433" i="69"/>
  <c r="N434" i="69"/>
  <c r="N435" i="69"/>
  <c r="N436" i="69"/>
  <c r="N437" i="69"/>
  <c r="N438" i="69"/>
  <c r="N439" i="69"/>
  <c r="N440" i="69"/>
  <c r="N441" i="69"/>
  <c r="N442" i="69"/>
  <c r="N443" i="69"/>
  <c r="N444" i="69"/>
  <c r="N447" i="69"/>
  <c r="N448" i="69"/>
  <c r="N449" i="69"/>
  <c r="N450" i="69"/>
  <c r="N451" i="69"/>
  <c r="N453" i="69"/>
  <c r="N452" i="69"/>
  <c r="N454" i="69"/>
  <c r="N455" i="69"/>
  <c r="N456" i="69"/>
  <c r="N457" i="69"/>
  <c r="N458" i="69"/>
  <c r="N459" i="69"/>
  <c r="N460" i="69"/>
  <c r="N461" i="69"/>
  <c r="N462" i="69"/>
  <c r="N463" i="69"/>
  <c r="N464" i="69"/>
  <c r="N465" i="69"/>
  <c r="N466" i="69"/>
  <c r="N467" i="69"/>
  <c r="N468" i="69"/>
  <c r="N469" i="69"/>
  <c r="N470" i="69"/>
  <c r="N471" i="69"/>
  <c r="N472" i="69"/>
  <c r="N473" i="69"/>
  <c r="N477" i="69"/>
  <c r="N476" i="69"/>
  <c r="N474" i="69"/>
  <c r="N475" i="69"/>
  <c r="N478" i="69"/>
  <c r="N479" i="69"/>
  <c r="N480" i="69"/>
  <c r="N481" i="69"/>
  <c r="N482" i="69"/>
  <c r="N483" i="69"/>
  <c r="N484" i="69"/>
  <c r="N485" i="69"/>
  <c r="N486" i="69"/>
  <c r="N487" i="69"/>
  <c r="N488" i="69"/>
  <c r="N489" i="69"/>
  <c r="N490" i="69"/>
  <c r="N491" i="69"/>
  <c r="N492" i="69"/>
  <c r="N445" i="69"/>
  <c r="N446" i="69"/>
  <c r="N493" i="69"/>
  <c r="N494" i="69"/>
  <c r="N495" i="69"/>
  <c r="N496" i="69"/>
  <c r="N497" i="69"/>
  <c r="N498" i="69"/>
  <c r="N499" i="69"/>
  <c r="N500" i="69"/>
  <c r="N501" i="69"/>
  <c r="B62" i="67" a="1"/>
  <c r="B62" i="67" s="1"/>
  <c r="B63" i="67" a="1"/>
  <c r="B63" i="67" s="1"/>
  <c r="B64" i="67" a="1"/>
  <c r="B64" i="67" s="1"/>
  <c r="B65" i="67" a="1"/>
  <c r="B65" i="67" s="1"/>
  <c r="B66" i="67" a="1"/>
  <c r="B66" i="67" s="1"/>
  <c r="J116" i="3" l="1"/>
  <c r="O116" i="3" s="1"/>
  <c r="J117" i="3"/>
  <c r="O117" i="3" s="1"/>
  <c r="J118" i="3"/>
  <c r="O118" i="3" s="1"/>
  <c r="J119" i="3"/>
  <c r="O119" i="3" s="1"/>
  <c r="J4" i="3"/>
  <c r="O4" i="3" s="1"/>
  <c r="J5" i="3"/>
  <c r="O5" i="3" s="1"/>
  <c r="J6" i="3"/>
  <c r="O6" i="3" s="1"/>
  <c r="J102" i="3"/>
  <c r="O102" i="3" s="1"/>
  <c r="J195" i="3"/>
  <c r="O195" i="3" s="1"/>
  <c r="J196" i="3"/>
  <c r="O196" i="3" s="1"/>
  <c r="J197" i="3"/>
  <c r="O197" i="3" s="1"/>
  <c r="J7" i="3"/>
  <c r="O7" i="3" s="1"/>
  <c r="J9" i="3"/>
  <c r="O9" i="3" s="1"/>
  <c r="J10" i="3"/>
  <c r="O10" i="3" s="1"/>
  <c r="J11" i="3"/>
  <c r="O11" i="3" s="1"/>
  <c r="J13" i="3"/>
  <c r="O13" i="3" s="1"/>
  <c r="J12" i="3"/>
  <c r="O12" i="3" s="1"/>
  <c r="J107" i="3"/>
  <c r="O107" i="3" s="1"/>
  <c r="J155" i="3"/>
  <c r="O155" i="3" s="1"/>
  <c r="J228" i="3"/>
  <c r="O228" i="3" s="1"/>
  <c r="J14" i="3"/>
  <c r="O14" i="3" s="1"/>
  <c r="J16" i="3"/>
  <c r="O16" i="3" s="1"/>
  <c r="J18" i="3"/>
  <c r="O18" i="3" s="1"/>
  <c r="J19" i="3"/>
  <c r="O19" i="3" s="1"/>
  <c r="J21" i="3"/>
  <c r="O21" i="3" s="1"/>
  <c r="J22" i="3"/>
  <c r="O22" i="3" s="1"/>
  <c r="J23" i="3"/>
  <c r="O23" i="3" s="1"/>
  <c r="J24" i="3"/>
  <c r="O24" i="3" s="1"/>
  <c r="J25" i="3"/>
  <c r="O25" i="3" s="1"/>
  <c r="J26" i="3"/>
  <c r="O26" i="3" s="1"/>
  <c r="J27" i="3"/>
  <c r="O27" i="3" s="1"/>
  <c r="J28" i="3"/>
  <c r="O28" i="3" s="1"/>
  <c r="J29" i="3"/>
  <c r="O29" i="3" s="1"/>
  <c r="J31" i="3"/>
  <c r="O31" i="3" s="1"/>
  <c r="J32" i="3"/>
  <c r="O32" i="3" s="1"/>
  <c r="J33" i="3"/>
  <c r="O33" i="3" s="1"/>
  <c r="J30" i="3"/>
  <c r="O30" i="3" s="1"/>
  <c r="J34" i="3"/>
  <c r="O34" i="3" s="1"/>
  <c r="J35" i="3"/>
  <c r="O35" i="3" s="1"/>
  <c r="J36" i="3"/>
  <c r="O36" i="3" s="1"/>
  <c r="J37" i="3"/>
  <c r="O37" i="3" s="1"/>
  <c r="J42" i="3"/>
  <c r="O42" i="3" s="1"/>
  <c r="J43" i="3"/>
  <c r="O43" i="3" s="1"/>
  <c r="J44" i="3"/>
  <c r="O44"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175" i="3"/>
  <c r="O175" i="3" s="1"/>
  <c r="J64" i="3"/>
  <c r="O64" i="3" s="1"/>
  <c r="J65" i="3"/>
  <c r="O65" i="3" s="1"/>
  <c r="J67" i="3"/>
  <c r="O67" i="3" s="1"/>
  <c r="J68" i="3"/>
  <c r="O68" i="3" s="1"/>
  <c r="J69" i="3"/>
  <c r="O69" i="3" s="1"/>
  <c r="J148" i="3"/>
  <c r="O148" i="3" s="1"/>
  <c r="J72" i="3"/>
  <c r="O72" i="3" s="1"/>
  <c r="J71" i="3"/>
  <c r="O71" i="3" s="1"/>
  <c r="J224" i="3"/>
  <c r="O224" i="3" s="1"/>
  <c r="J223" i="3"/>
  <c r="O223" i="3" s="1"/>
  <c r="J74" i="3"/>
  <c r="O74" i="3" s="1"/>
  <c r="J76" i="3"/>
  <c r="O76" i="3" s="1"/>
  <c r="J75" i="3"/>
  <c r="O75" i="3" s="1"/>
  <c r="J77" i="3"/>
  <c r="O77" i="3" s="1"/>
  <c r="J79" i="3"/>
  <c r="O79" i="3" s="1"/>
  <c r="J81" i="3"/>
  <c r="O81" i="3" s="1"/>
  <c r="J80" i="3"/>
  <c r="O80" i="3" s="1"/>
  <c r="J82" i="3"/>
  <c r="O82" i="3" s="1"/>
  <c r="J83" i="3"/>
  <c r="O83" i="3" s="1"/>
  <c r="J84" i="3"/>
  <c r="O84" i="3" s="1"/>
  <c r="J85" i="3"/>
  <c r="O85" i="3" s="1"/>
  <c r="J91" i="3"/>
  <c r="O91" i="3" s="1"/>
  <c r="J92" i="3"/>
  <c r="O92" i="3" s="1"/>
  <c r="J86" i="3"/>
  <c r="O86" i="3" s="1"/>
  <c r="J87" i="3"/>
  <c r="O87" i="3" s="1"/>
  <c r="J88" i="3"/>
  <c r="O88" i="3" s="1"/>
  <c r="J89" i="3"/>
  <c r="O89" i="3" s="1"/>
  <c r="J90" i="3"/>
  <c r="O90" i="3" s="1"/>
  <c r="J93" i="3"/>
  <c r="O93" i="3" s="1"/>
  <c r="J94" i="3"/>
  <c r="O94" i="3" s="1"/>
  <c r="J95" i="3"/>
  <c r="O95" i="3" s="1"/>
  <c r="J100" i="3"/>
  <c r="O100" i="3" s="1"/>
  <c r="J103" i="3"/>
  <c r="O103" i="3" s="1"/>
  <c r="J104" i="3"/>
  <c r="O104" i="3" s="1"/>
  <c r="J105" i="3"/>
  <c r="O105" i="3" s="1"/>
  <c r="J106" i="3"/>
  <c r="O106" i="3" s="1"/>
  <c r="J110" i="3"/>
  <c r="O110" i="3" s="1"/>
  <c r="J172" i="3"/>
  <c r="O172" i="3" s="1"/>
  <c r="J112" i="3"/>
  <c r="O112" i="3" s="1"/>
  <c r="J111" i="3"/>
  <c r="O111" i="3" s="1"/>
  <c r="J39" i="3"/>
  <c r="O39" i="3" s="1"/>
  <c r="J38" i="3"/>
  <c r="O38" i="3" s="1"/>
  <c r="J8" i="3"/>
  <c r="O8" i="3" s="1"/>
  <c r="J17" i="3"/>
  <c r="O17" i="3" s="1"/>
  <c r="J176" i="3"/>
  <c r="O176" i="3" s="1"/>
  <c r="J177" i="3"/>
  <c r="O177" i="3" s="1"/>
  <c r="J73" i="3"/>
  <c r="O73" i="3" s="1"/>
  <c r="J66" i="3"/>
  <c r="O66" i="3" s="1"/>
  <c r="J122" i="3"/>
  <c r="O122" i="3" s="1"/>
  <c r="J181" i="3"/>
  <c r="O181" i="3" s="1"/>
  <c r="J182" i="3"/>
  <c r="O182" i="3" s="1"/>
  <c r="J183" i="3"/>
  <c r="O183" i="3" s="1"/>
  <c r="J63" i="3"/>
  <c r="O63" i="3" s="1"/>
  <c r="J101" i="3"/>
  <c r="O101" i="3" s="1"/>
  <c r="J97" i="3"/>
  <c r="O97" i="3" s="1"/>
  <c r="J109" i="3"/>
  <c r="O109" i="3" s="1"/>
  <c r="J120" i="3"/>
  <c r="O120" i="3" s="1"/>
  <c r="J125" i="3"/>
  <c r="O125" i="3" s="1"/>
  <c r="J126" i="3"/>
  <c r="O126" i="3" s="1"/>
  <c r="J78" i="3"/>
  <c r="O78" i="3" s="1"/>
  <c r="J114" i="3"/>
  <c r="O114" i="3" s="1"/>
  <c r="J130" i="3"/>
  <c r="O130" i="3" s="1"/>
  <c r="J150" i="3"/>
  <c r="O150" i="3" s="1"/>
  <c r="J234" i="3"/>
  <c r="O234" i="3" s="1"/>
  <c r="J235" i="3"/>
  <c r="O235" i="3" s="1"/>
  <c r="J144" i="3"/>
  <c r="O144" i="3" s="1"/>
  <c r="J143" i="3"/>
  <c r="O143" i="3" s="1"/>
  <c r="J152" i="3"/>
  <c r="O152" i="3" s="1"/>
  <c r="J170" i="3"/>
  <c r="O170" i="3" s="1"/>
  <c r="J173" i="3"/>
  <c r="O173" i="3" s="1"/>
  <c r="J171" i="3"/>
  <c r="O171" i="3" s="1"/>
  <c r="J168" i="3"/>
  <c r="O168" i="3" s="1"/>
  <c r="J210" i="3"/>
  <c r="O210" i="3" s="1"/>
  <c r="J212" i="3"/>
  <c r="O212" i="3" s="1"/>
  <c r="J236" i="3"/>
  <c r="O236" i="3" s="1"/>
  <c r="J121" i="3"/>
  <c r="O121" i="3" s="1"/>
  <c r="J2" i="3"/>
  <c r="O2" i="3" s="1"/>
  <c r="J3" i="3"/>
  <c r="O3" i="3" s="1"/>
  <c r="J15" i="3"/>
  <c r="O15" i="3" s="1"/>
  <c r="J45" i="3"/>
  <c r="O45" i="3" s="1"/>
  <c r="J178" i="3"/>
  <c r="O178" i="3" s="1"/>
  <c r="J179" i="3"/>
  <c r="O179" i="3" s="1"/>
  <c r="J124" i="3"/>
  <c r="O124" i="3" s="1"/>
  <c r="J123" i="3"/>
  <c r="O123" i="3" s="1"/>
  <c r="J149" i="3"/>
  <c r="O149" i="3" s="1"/>
  <c r="J229" i="3"/>
  <c r="O229" i="3" s="1"/>
  <c r="J132" i="3"/>
  <c r="O132" i="3" s="1"/>
  <c r="J136" i="3"/>
  <c r="O136" i="3" s="1"/>
  <c r="J135" i="3"/>
  <c r="O135" i="3" s="1"/>
  <c r="J137" i="3"/>
  <c r="O137" i="3" s="1"/>
  <c r="J138" i="3"/>
  <c r="O138" i="3" s="1"/>
  <c r="J134" i="3"/>
  <c r="O134" i="3" s="1"/>
  <c r="J139" i="3"/>
  <c r="O139" i="3" s="1"/>
  <c r="J140" i="3"/>
  <c r="O140" i="3" s="1"/>
  <c r="J145" i="3"/>
  <c r="O145" i="3" s="1"/>
  <c r="J146" i="3"/>
  <c r="O146" i="3" s="1"/>
  <c r="J151" i="3"/>
  <c r="O151" i="3" s="1"/>
  <c r="J154" i="3"/>
  <c r="O154" i="3" s="1"/>
  <c r="J153" i="3"/>
  <c r="O153" i="3" s="1"/>
  <c r="J40" i="3"/>
  <c r="O40" i="3" s="1"/>
  <c r="J41" i="3"/>
  <c r="O41" i="3" s="1"/>
  <c r="J127" i="3"/>
  <c r="O127" i="3" s="1"/>
  <c r="J142" i="3"/>
  <c r="O142" i="3" s="1"/>
  <c r="J190" i="3"/>
  <c r="O190" i="3" s="1"/>
  <c r="J189" i="3"/>
  <c r="O189" i="3" s="1"/>
  <c r="J204" i="3"/>
  <c r="O204" i="3" s="1"/>
  <c r="J203" i="3"/>
  <c r="O203" i="3" s="1"/>
  <c r="J207" i="3"/>
  <c r="O207" i="3" s="1"/>
  <c r="J156" i="3"/>
  <c r="O156" i="3" s="1"/>
  <c r="J157" i="3"/>
  <c r="O157" i="3" s="1"/>
  <c r="J158" i="3"/>
  <c r="O158" i="3" s="1"/>
  <c r="J159" i="3"/>
  <c r="O159" i="3" s="1"/>
  <c r="J161" i="3"/>
  <c r="O161" i="3" s="1"/>
  <c r="J160" i="3"/>
  <c r="O160" i="3" s="1"/>
  <c r="J163" i="3"/>
  <c r="O163" i="3" s="1"/>
  <c r="J164" i="3"/>
  <c r="O164" i="3" s="1"/>
  <c r="J165" i="3"/>
  <c r="O165" i="3" s="1"/>
  <c r="J162" i="3"/>
  <c r="O162" i="3" s="1"/>
  <c r="J166" i="3"/>
  <c r="O166" i="3" s="1"/>
  <c r="J70" i="3"/>
  <c r="O70" i="3" s="1"/>
  <c r="J96" i="3"/>
  <c r="O96" i="3" s="1"/>
  <c r="J113" i="3"/>
  <c r="O113" i="3" s="1"/>
  <c r="J129" i="3"/>
  <c r="O129" i="3" s="1"/>
  <c r="J141" i="3"/>
  <c r="O141" i="3" s="1"/>
  <c r="J215" i="3"/>
  <c r="O215" i="3" s="1"/>
  <c r="J216" i="3"/>
  <c r="O216" i="3" s="1"/>
  <c r="J219" i="3"/>
  <c r="O219" i="3" s="1"/>
  <c r="J222" i="3"/>
  <c r="O222" i="3" s="1"/>
  <c r="J167" i="3"/>
  <c r="O167" i="3" s="1"/>
  <c r="J184" i="3"/>
  <c r="O184" i="3" s="1"/>
  <c r="J180" i="3"/>
  <c r="O180" i="3" s="1"/>
  <c r="J185" i="3"/>
  <c r="O185" i="3" s="1"/>
  <c r="J169" i="3"/>
  <c r="O169" i="3" s="1"/>
  <c r="J174" i="3"/>
  <c r="O174" i="3" s="1"/>
  <c r="J186" i="3"/>
  <c r="O186" i="3" s="1"/>
  <c r="J187" i="3"/>
  <c r="O187" i="3" s="1"/>
  <c r="J188" i="3"/>
  <c r="O188" i="3" s="1"/>
  <c r="J191" i="3"/>
  <c r="O191" i="3" s="1"/>
  <c r="J193" i="3"/>
  <c r="O193" i="3" s="1"/>
  <c r="J194" i="3"/>
  <c r="O194" i="3" s="1"/>
  <c r="J192" i="3"/>
  <c r="O192" i="3" s="1"/>
  <c r="J200" i="3"/>
  <c r="O200" i="3" s="1"/>
  <c r="J199" i="3"/>
  <c r="O199" i="3" s="1"/>
  <c r="J201" i="3"/>
  <c r="O201" i="3" s="1"/>
  <c r="J202" i="3"/>
  <c r="O202" i="3" s="1"/>
  <c r="J198" i="3"/>
  <c r="O198" i="3" s="1"/>
  <c r="J205" i="3"/>
  <c r="O205" i="3" s="1"/>
  <c r="J206" i="3"/>
  <c r="O206" i="3" s="1"/>
  <c r="J209" i="3"/>
  <c r="O209" i="3" s="1"/>
  <c r="J208" i="3"/>
  <c r="O208" i="3" s="1"/>
  <c r="J211" i="3"/>
  <c r="O211" i="3" s="1"/>
  <c r="J213" i="3"/>
  <c r="O213" i="3" s="1"/>
  <c r="J214" i="3"/>
  <c r="O214" i="3" s="1"/>
  <c r="J217" i="3"/>
  <c r="O217" i="3" s="1"/>
  <c r="J108" i="3"/>
  <c r="O108" i="3" s="1"/>
  <c r="J128" i="3"/>
  <c r="O128" i="3" s="1"/>
  <c r="J218" i="3"/>
  <c r="O218" i="3" s="1"/>
  <c r="J99" i="3"/>
  <c r="O99" i="3" s="1"/>
  <c r="J98" i="3"/>
  <c r="O98" i="3" s="1"/>
  <c r="J133" i="3"/>
  <c r="O133" i="3" s="1"/>
  <c r="J220" i="3"/>
  <c r="O220" i="3" s="1"/>
  <c r="J221" i="3"/>
  <c r="O221" i="3" s="1"/>
  <c r="J226" i="3"/>
  <c r="O226" i="3" s="1"/>
  <c r="J227" i="3"/>
  <c r="O227" i="3" s="1"/>
  <c r="J225" i="3"/>
  <c r="O225" i="3" s="1"/>
  <c r="J231" i="3"/>
  <c r="O231" i="3" s="1"/>
  <c r="J232" i="3"/>
  <c r="O232" i="3" s="1"/>
  <c r="J233" i="3"/>
  <c r="O233" i="3" s="1"/>
  <c r="J230" i="3"/>
  <c r="O230" i="3" s="1"/>
  <c r="J20" i="3"/>
  <c r="O20" i="3" s="1"/>
  <c r="J147" i="3"/>
  <c r="O147" i="3" s="1"/>
  <c r="J131" i="3"/>
  <c r="O131" i="3" s="1"/>
  <c r="J115" i="3"/>
  <c r="O115" i="3" s="1"/>
  <c r="Y20" i="3" l="1"/>
  <c r="Y147" i="3"/>
  <c r="Y131" i="3"/>
  <c r="Y3" i="3"/>
  <c r="Y4" i="3"/>
  <c r="Y5" i="3"/>
  <c r="Y6" i="3"/>
  <c r="Y7" i="3"/>
  <c r="Y8" i="3"/>
  <c r="Y9" i="3"/>
  <c r="Y10" i="3"/>
  <c r="Y11" i="3"/>
  <c r="Y12" i="3"/>
  <c r="Y13" i="3"/>
  <c r="Y14" i="3"/>
  <c r="Y16" i="3"/>
  <c r="Y15" i="3"/>
  <c r="Y17" i="3"/>
  <c r="Y18" i="3"/>
  <c r="Y19"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4" i="3"/>
  <c r="Y123" i="3"/>
  <c r="Y125" i="3"/>
  <c r="Y126" i="3"/>
  <c r="Y127" i="3"/>
  <c r="Y128" i="3"/>
  <c r="Y129" i="3"/>
  <c r="Y130" i="3"/>
  <c r="Y132" i="3"/>
  <c r="Y133" i="3"/>
  <c r="Y134" i="3"/>
  <c r="Y135" i="3"/>
  <c r="Y136" i="3"/>
  <c r="Y137" i="3"/>
  <c r="Y138" i="3"/>
  <c r="Y139" i="3"/>
  <c r="Y140" i="3"/>
  <c r="Y141" i="3"/>
  <c r="Y142" i="3"/>
  <c r="Y143" i="3"/>
  <c r="Y144" i="3"/>
  <c r="Y145" i="3"/>
  <c r="Y146"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 i="3"/>
  <c r="P2" i="3"/>
  <c r="P3" i="3"/>
  <c r="P4" i="3"/>
  <c r="P5" i="3"/>
  <c r="P6" i="3"/>
  <c r="P7" i="3"/>
  <c r="P8" i="3"/>
  <c r="P9" i="3"/>
  <c r="P10" i="3"/>
  <c r="P11" i="3"/>
  <c r="P12" i="3"/>
  <c r="P13" i="3"/>
  <c r="P14" i="3"/>
  <c r="P16" i="3"/>
  <c r="P15" i="3"/>
  <c r="P17" i="3"/>
  <c r="P18" i="3"/>
  <c r="P19"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4" i="3"/>
  <c r="P123" i="3"/>
  <c r="P125" i="3"/>
  <c r="P126" i="3"/>
  <c r="P127" i="3"/>
  <c r="P128" i="3"/>
  <c r="P129" i="3"/>
  <c r="P130" i="3"/>
  <c r="P132" i="3"/>
  <c r="P133" i="3"/>
  <c r="P134" i="3"/>
  <c r="P135" i="3"/>
  <c r="P136" i="3"/>
  <c r="P137" i="3"/>
  <c r="P138" i="3"/>
  <c r="P139" i="3"/>
  <c r="P140" i="3"/>
  <c r="P141" i="3"/>
  <c r="P142" i="3"/>
  <c r="P143" i="3"/>
  <c r="P144" i="3"/>
  <c r="P145" i="3"/>
  <c r="P146"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0" i="3"/>
  <c r="P147" i="3"/>
  <c r="P131" i="3"/>
  <c r="P236" i="3"/>
  <c r="L234" i="3"/>
  <c r="L235" i="3"/>
  <c r="L236" i="3"/>
  <c r="L20" i="3"/>
  <c r="L147" i="3"/>
  <c r="L131" i="3"/>
  <c r="R328" i="57" l="1" a="1"/>
  <c r="R328" i="57" s="1"/>
  <c r="K328" i="57"/>
  <c r="I328" i="57"/>
  <c r="G328" i="57"/>
  <c r="R326" i="57" a="1"/>
  <c r="R326" i="57" s="1"/>
  <c r="K326" i="57"/>
  <c r="I326" i="57"/>
  <c r="M326" i="57" s="1"/>
  <c r="G326" i="57"/>
  <c r="R324" i="57" a="1"/>
  <c r="R324" i="57" s="1"/>
  <c r="K324" i="57"/>
  <c r="I324" i="57"/>
  <c r="M324" i="57" s="1"/>
  <c r="G324" i="57"/>
  <c r="R322" i="57" a="1"/>
  <c r="R322" i="57" s="1"/>
  <c r="K322" i="57"/>
  <c r="I322" i="57"/>
  <c r="M322" i="57" s="1"/>
  <c r="G322" i="57"/>
  <c r="I335" i="57"/>
  <c r="R335" i="57" a="1"/>
  <c r="R335" i="57" s="1"/>
  <c r="K335" i="57"/>
  <c r="G335" i="57"/>
  <c r="B53" i="67" a="1"/>
  <c r="B53" i="67" s="1"/>
  <c r="Q324" i="57" l="1"/>
  <c r="Q322" i="57"/>
  <c r="Q328" i="57"/>
  <c r="Q335" i="57"/>
  <c r="Q326" i="57"/>
  <c r="M328" i="57"/>
  <c r="M335" i="57"/>
  <c r="Q311" i="57"/>
  <c r="B46" i="67" a="1"/>
  <c r="B46" i="67" s="1"/>
  <c r="B49" i="67" a="1"/>
  <c r="B49" i="67" s="1"/>
  <c r="B50" i="67" a="1"/>
  <c r="B50" i="67" s="1"/>
  <c r="K146" i="57"/>
  <c r="I145" i="57" l="1"/>
  <c r="I146" i="57"/>
  <c r="I147" i="57"/>
  <c r="I148" i="57"/>
  <c r="I149" i="57"/>
  <c r="I150" i="57"/>
  <c r="I151" i="57"/>
  <c r="I152" i="57"/>
  <c r="I155" i="57"/>
  <c r="I156" i="57"/>
  <c r="I153" i="57"/>
  <c r="I154" i="57"/>
  <c r="I157" i="57"/>
  <c r="I158" i="57"/>
  <c r="I144" i="57"/>
  <c r="I30" i="49" l="1"/>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K282" i="57" l="1"/>
  <c r="K283" i="57"/>
  <c r="B30" i="67" a="1"/>
  <c r="B30" i="67" s="1"/>
  <c r="R7" i="57" a="1"/>
  <c r="R7" i="57" s="1"/>
  <c r="K7" i="57"/>
  <c r="I7" i="57"/>
  <c r="M7" i="57" s="1"/>
  <c r="G7" i="57"/>
  <c r="R5" i="57" a="1"/>
  <c r="R5" i="57" s="1"/>
  <c r="K5" i="57"/>
  <c r="I5" i="57"/>
  <c r="M5" i="57" s="1"/>
  <c r="G5" i="57"/>
  <c r="B15" i="67" a="1"/>
  <c r="B15" i="67" s="1"/>
  <c r="B5" i="67" a="1"/>
  <c r="B5" i="67" s="1"/>
  <c r="B27" i="67" a="1"/>
  <c r="B27" i="67" s="1"/>
  <c r="R361" i="57" a="1"/>
  <c r="R361" i="57" s="1"/>
  <c r="K361" i="57"/>
  <c r="I361" i="57"/>
  <c r="M361" i="57" s="1"/>
  <c r="G361" i="57"/>
  <c r="R359" i="57" a="1"/>
  <c r="R359" i="57" s="1"/>
  <c r="K359" i="57"/>
  <c r="I359" i="57"/>
  <c r="B55" i="67" s="1" a="1"/>
  <c r="B55" i="67" s="1"/>
  <c r="G359" i="57"/>
  <c r="R353" i="57" a="1"/>
  <c r="R353" i="57" s="1"/>
  <c r="K353" i="57"/>
  <c r="I353" i="57"/>
  <c r="M353" i="57" s="1"/>
  <c r="G353" i="57"/>
  <c r="R351" i="57" a="1"/>
  <c r="R351" i="57" s="1"/>
  <c r="K351" i="57"/>
  <c r="I351" i="57"/>
  <c r="M351" i="57" s="1"/>
  <c r="G351" i="57"/>
  <c r="R357" i="57" a="1"/>
  <c r="R357" i="57" s="1"/>
  <c r="K357" i="57"/>
  <c r="I357" i="57"/>
  <c r="M357" i="57" s="1"/>
  <c r="G357" i="57"/>
  <c r="R355" i="57" a="1"/>
  <c r="R355" i="57" s="1"/>
  <c r="K355" i="57"/>
  <c r="I355" i="57"/>
  <c r="G355" i="57"/>
  <c r="R345" i="57" a="1"/>
  <c r="R345" i="57" s="1"/>
  <c r="K345" i="57"/>
  <c r="I345" i="57"/>
  <c r="M345" i="57" s="1"/>
  <c r="G345" i="57"/>
  <c r="R343" i="57" a="1"/>
  <c r="R343" i="57" s="1"/>
  <c r="K343" i="57"/>
  <c r="I343" i="57"/>
  <c r="M343" i="57" s="1"/>
  <c r="G343" i="57"/>
  <c r="R349" i="57" a="1"/>
  <c r="R349" i="57" s="1"/>
  <c r="K349" i="57"/>
  <c r="I349" i="57"/>
  <c r="M349" i="57" s="1"/>
  <c r="G349" i="57"/>
  <c r="R347" i="57" a="1"/>
  <c r="R347" i="57" s="1"/>
  <c r="K347" i="57"/>
  <c r="I347" i="57"/>
  <c r="B51" i="67" s="1" a="1"/>
  <c r="B51" i="67" s="1"/>
  <c r="G347" i="57"/>
  <c r="G346" i="57"/>
  <c r="I346" i="57"/>
  <c r="M346" i="57" s="1"/>
  <c r="K346" i="57"/>
  <c r="R346" i="57" a="1"/>
  <c r="R346" i="57" s="1"/>
  <c r="G348" i="57"/>
  <c r="I348" i="57"/>
  <c r="M348" i="57" s="1"/>
  <c r="K348" i="57"/>
  <c r="R348" i="57" a="1"/>
  <c r="R348" i="57" s="1"/>
  <c r="G342" i="57"/>
  <c r="I342" i="57"/>
  <c r="M342" i="57" s="1"/>
  <c r="K342" i="57"/>
  <c r="R342" i="57" a="1"/>
  <c r="R342" i="57" s="1"/>
  <c r="G344" i="57"/>
  <c r="I344" i="57"/>
  <c r="M344" i="57" s="1"/>
  <c r="K344" i="57"/>
  <c r="Q344" i="57" s="1"/>
  <c r="R344" i="57" a="1"/>
  <c r="R344" i="57" s="1"/>
  <c r="G354" i="57"/>
  <c r="I354" i="57"/>
  <c r="M354" i="57" s="1"/>
  <c r="K354" i="57"/>
  <c r="R354" i="57" a="1"/>
  <c r="R354" i="57" s="1"/>
  <c r="G356" i="57"/>
  <c r="I356" i="57"/>
  <c r="K356" i="57"/>
  <c r="R356" i="57" a="1"/>
  <c r="R356" i="57" s="1"/>
  <c r="G350" i="57"/>
  <c r="I350" i="57"/>
  <c r="M350" i="57" s="1"/>
  <c r="K350" i="57"/>
  <c r="Q350" i="57" s="1"/>
  <c r="R350" i="57" a="1"/>
  <c r="R350" i="57" s="1"/>
  <c r="G352" i="57"/>
  <c r="I352" i="57"/>
  <c r="M352" i="57" s="1"/>
  <c r="K352" i="57"/>
  <c r="R352" i="57" a="1"/>
  <c r="R352" i="57" s="1"/>
  <c r="G358" i="57"/>
  <c r="I358" i="57"/>
  <c r="M358" i="57" s="1"/>
  <c r="K358" i="57"/>
  <c r="R358" i="57" a="1"/>
  <c r="R358" i="57" s="1"/>
  <c r="G360" i="57"/>
  <c r="I360" i="57"/>
  <c r="B60" i="67" s="1" a="1"/>
  <c r="B60" i="67" s="1"/>
  <c r="K360" i="57"/>
  <c r="Q360" i="57" s="1"/>
  <c r="M360" i="57"/>
  <c r="R360" i="57" a="1"/>
  <c r="R360" i="57" s="1"/>
  <c r="R331" i="57" a="1"/>
  <c r="R331" i="57" s="1"/>
  <c r="K331" i="57"/>
  <c r="I331" i="57"/>
  <c r="M331" i="57" s="1"/>
  <c r="G331" i="57"/>
  <c r="R329" i="57" a="1"/>
  <c r="R329" i="57" s="1"/>
  <c r="K329" i="57"/>
  <c r="I329" i="57"/>
  <c r="M329" i="57" s="1"/>
  <c r="G329" i="57"/>
  <c r="R201" i="57" a="1"/>
  <c r="R201" i="57" s="1"/>
  <c r="K201" i="57"/>
  <c r="I201" i="57"/>
  <c r="M201" i="57" s="1"/>
  <c r="G201" i="57"/>
  <c r="R39" i="57" a="1"/>
  <c r="R39" i="57" s="1"/>
  <c r="K39" i="57"/>
  <c r="I39" i="57"/>
  <c r="M39" i="57" s="1"/>
  <c r="G39" i="57"/>
  <c r="R43" i="57" a="1"/>
  <c r="R43" i="57" s="1"/>
  <c r="K43" i="57"/>
  <c r="I43" i="57"/>
  <c r="M43" i="57" s="1"/>
  <c r="G43" i="57"/>
  <c r="G2" i="57"/>
  <c r="I2" i="57"/>
  <c r="M2" i="57" s="1"/>
  <c r="K2" i="57"/>
  <c r="R2" i="57" a="1"/>
  <c r="R2" i="57" s="1"/>
  <c r="G294" i="57"/>
  <c r="R294" i="57" a="1"/>
  <c r="R294" i="57" s="1"/>
  <c r="K294" i="57"/>
  <c r="I294" i="57"/>
  <c r="M294" i="57" s="1"/>
  <c r="R297" i="57" a="1"/>
  <c r="R297" i="57" s="1"/>
  <c r="K297" i="57"/>
  <c r="I297" i="57"/>
  <c r="M297" i="57" s="1"/>
  <c r="G297" i="57"/>
  <c r="B8" i="67" a="1"/>
  <c r="B8" i="67" s="1"/>
  <c r="B42" i="67" a="1"/>
  <c r="B42" i="67" s="1"/>
  <c r="L76" i="3"/>
  <c r="B39" i="67" a="1"/>
  <c r="B39" i="67" s="1"/>
  <c r="B40" i="67" a="1"/>
  <c r="B40" i="67" s="1"/>
  <c r="B22" i="67" a="1"/>
  <c r="B22" i="67" s="1"/>
  <c r="Q346" i="57" l="1"/>
  <c r="Q347" i="57"/>
  <c r="Q345" i="57"/>
  <c r="Q351" i="57"/>
  <c r="Q349" i="57"/>
  <c r="Q355" i="57"/>
  <c r="Q353" i="57"/>
  <c r="Q43" i="57"/>
  <c r="Q297" i="57"/>
  <c r="Q358" i="57"/>
  <c r="Q356" i="57"/>
  <c r="Q331" i="57"/>
  <c r="Q5" i="57"/>
  <c r="Q329" i="57"/>
  <c r="Q361" i="57"/>
  <c r="Q343" i="57"/>
  <c r="Q357" i="57"/>
  <c r="Q359" i="57"/>
  <c r="Q201" i="57"/>
  <c r="Q348" i="57"/>
  <c r="Q2" i="57"/>
  <c r="Q342" i="57"/>
  <c r="Q7" i="57"/>
  <c r="Q294" i="57"/>
  <c r="Q39" i="57"/>
  <c r="Q352" i="57"/>
  <c r="Q354" i="57"/>
  <c r="M355" i="57"/>
  <c r="B52" i="67" a="1"/>
  <c r="B52" i="67" s="1"/>
  <c r="M359" i="57"/>
  <c r="M356" i="57"/>
  <c r="M347" i="57"/>
  <c r="K293" i="57"/>
  <c r="K296" i="57"/>
  <c r="Q61" i="57" l="1"/>
  <c r="G225" i="57"/>
  <c r="G402" i="57"/>
  <c r="G403" i="57"/>
  <c r="G413" i="57"/>
  <c r="G415" i="57"/>
  <c r="G414" i="57"/>
  <c r="G416" i="57"/>
  <c r="G272" i="57"/>
  <c r="G241" i="57"/>
  <c r="G274" i="57"/>
  <c r="G277" i="57"/>
  <c r="G275" i="57"/>
  <c r="G273" i="57"/>
  <c r="G276" i="57"/>
  <c r="G11" i="57"/>
  <c r="G9" i="57"/>
  <c r="G10" i="57"/>
  <c r="G210" i="57"/>
  <c r="G211" i="57"/>
  <c r="G16" i="57"/>
  <c r="G49" i="57"/>
  <c r="G51" i="57"/>
  <c r="G17" i="57"/>
  <c r="G191" i="57"/>
  <c r="G198" i="57"/>
  <c r="G199" i="57"/>
  <c r="G18" i="57"/>
  <c r="G19" i="57"/>
  <c r="G24" i="57"/>
  <c r="G20" i="57"/>
  <c r="G22" i="57"/>
  <c r="G21" i="57"/>
  <c r="G23" i="57"/>
  <c r="G33" i="57"/>
  <c r="G278" i="57"/>
  <c r="G279" i="57"/>
  <c r="G34" i="57"/>
  <c r="G35" i="57"/>
  <c r="G212" i="57"/>
  <c r="G213" i="57"/>
  <c r="G46" i="57"/>
  <c r="G47" i="57"/>
  <c r="G48" i="57"/>
  <c r="G50" i="57"/>
  <c r="G52" i="57"/>
  <c r="G53" i="57"/>
  <c r="G54" i="57"/>
  <c r="G55" i="57"/>
  <c r="G57" i="57"/>
  <c r="G56" i="57"/>
  <c r="G59" i="57"/>
  <c r="G58" i="57"/>
  <c r="G60" i="57"/>
  <c r="G66" i="57"/>
  <c r="G67" i="57"/>
  <c r="G68" i="57"/>
  <c r="G69" i="57"/>
  <c r="G64" i="57"/>
  <c r="G62" i="57"/>
  <c r="G63" i="57"/>
  <c r="G65" i="57"/>
  <c r="G71" i="57"/>
  <c r="G75" i="57"/>
  <c r="G78" i="57"/>
  <c r="G81" i="57"/>
  <c r="G82" i="57"/>
  <c r="G206" i="57"/>
  <c r="G207" i="57"/>
  <c r="G209" i="57"/>
  <c r="G204" i="57"/>
  <c r="G203" i="57"/>
  <c r="G321" i="57"/>
  <c r="G323" i="57"/>
  <c r="G205" i="57"/>
  <c r="G325" i="57"/>
  <c r="G327" i="57"/>
  <c r="G208" i="57"/>
  <c r="G83" i="57"/>
  <c r="G84" i="57"/>
  <c r="G85" i="57"/>
  <c r="G86" i="57"/>
  <c r="G280" i="57"/>
  <c r="G281" i="57"/>
  <c r="G91" i="57"/>
  <c r="G94" i="57"/>
  <c r="G92" i="57"/>
  <c r="G93" i="57"/>
  <c r="G95" i="57"/>
  <c r="G96" i="57"/>
  <c r="G98" i="57"/>
  <c r="G97" i="57"/>
  <c r="G99" i="57"/>
  <c r="G100" i="57"/>
  <c r="G101" i="57"/>
  <c r="G102" i="57"/>
  <c r="G104" i="57"/>
  <c r="G103" i="57"/>
  <c r="G105" i="57"/>
  <c r="G106" i="57"/>
  <c r="G89" i="57"/>
  <c r="G90" i="57"/>
  <c r="G112" i="57"/>
  <c r="G107" i="57"/>
  <c r="G108" i="57"/>
  <c r="G109" i="57"/>
  <c r="G110" i="57"/>
  <c r="G114" i="57"/>
  <c r="G113" i="57"/>
  <c r="G116" i="57"/>
  <c r="G111" i="57"/>
  <c r="G115" i="57"/>
  <c r="G117" i="57"/>
  <c r="G119" i="57"/>
  <c r="G118" i="57"/>
  <c r="G120" i="57"/>
  <c r="G121" i="57"/>
  <c r="G122" i="57"/>
  <c r="G226" i="57"/>
  <c r="G125" i="57"/>
  <c r="G126" i="57"/>
  <c r="G127" i="57"/>
  <c r="G128" i="57"/>
  <c r="G129" i="57"/>
  <c r="G131" i="57"/>
  <c r="G130" i="57"/>
  <c r="G132" i="57"/>
  <c r="G133" i="57"/>
  <c r="G381" i="57"/>
  <c r="G382" i="57"/>
  <c r="G139" i="57"/>
  <c r="G138" i="57"/>
  <c r="G137" i="57"/>
  <c r="G134" i="57"/>
  <c r="G216" i="57"/>
  <c r="G217" i="57"/>
  <c r="G145" i="57"/>
  <c r="G144" i="57"/>
  <c r="G150" i="57"/>
  <c r="G244" i="57"/>
  <c r="G155" i="57"/>
  <c r="G156" i="57"/>
  <c r="G153" i="57"/>
  <c r="G154" i="57"/>
  <c r="G157" i="57"/>
  <c r="G158" i="57"/>
  <c r="G159" i="57"/>
  <c r="G160" i="57"/>
  <c r="G161" i="57"/>
  <c r="G162" i="57"/>
  <c r="G167" i="57"/>
  <c r="G166" i="57"/>
  <c r="G169" i="57"/>
  <c r="G168" i="57"/>
  <c r="G170" i="57"/>
  <c r="G171" i="57"/>
  <c r="G172" i="57"/>
  <c r="G173" i="57"/>
  <c r="G163" i="57"/>
  <c r="G165" i="57"/>
  <c r="G164" i="57"/>
  <c r="G151" i="57"/>
  <c r="G152" i="57"/>
  <c r="G174" i="57"/>
  <c r="G175" i="57"/>
  <c r="G176" i="57"/>
  <c r="G178" i="57"/>
  <c r="G179" i="57"/>
  <c r="G383" i="57"/>
  <c r="G384" i="57"/>
  <c r="G229" i="57"/>
  <c r="G474" i="57"/>
  <c r="G476" i="57"/>
  <c r="G473" i="57"/>
  <c r="G475" i="57"/>
  <c r="G180" i="57"/>
  <c r="G181" i="57"/>
  <c r="G227" i="57"/>
  <c r="G228" i="57"/>
  <c r="G12" i="57"/>
  <c r="G182" i="57"/>
  <c r="G183" i="57"/>
  <c r="G184" i="57"/>
  <c r="G185" i="57"/>
  <c r="G186" i="57"/>
  <c r="G25" i="57"/>
  <c r="G26" i="57"/>
  <c r="G70" i="57"/>
  <c r="G72" i="57"/>
  <c r="G460" i="57"/>
  <c r="G463" i="57"/>
  <c r="G459" i="57"/>
  <c r="G462" i="57"/>
  <c r="G230" i="57"/>
  <c r="G187" i="57"/>
  <c r="G188" i="57"/>
  <c r="G197" i="57"/>
  <c r="G200" i="57"/>
  <c r="G202" i="57"/>
  <c r="G74" i="57"/>
  <c r="G76" i="57"/>
  <c r="G192" i="57"/>
  <c r="G195" i="57"/>
  <c r="G190" i="57"/>
  <c r="G194" i="57"/>
  <c r="G196" i="57"/>
  <c r="G193" i="57"/>
  <c r="G386" i="57"/>
  <c r="G385" i="57"/>
  <c r="G245" i="57"/>
  <c r="G61" i="57"/>
  <c r="G73" i="57"/>
  <c r="G77" i="57"/>
  <c r="G80" i="57"/>
  <c r="G366" i="57"/>
  <c r="G232" i="57"/>
  <c r="G234" i="57"/>
  <c r="G231" i="57"/>
  <c r="G233" i="57"/>
  <c r="G271" i="57"/>
  <c r="G431" i="57"/>
  <c r="G435" i="57"/>
  <c r="G432" i="57"/>
  <c r="G436" i="57"/>
  <c r="G237" i="57"/>
  <c r="G236" i="57"/>
  <c r="G235" i="57"/>
  <c r="G286" i="57"/>
  <c r="G287" i="57"/>
  <c r="G238" i="57"/>
  <c r="G239" i="57"/>
  <c r="G330" i="57"/>
  <c r="G332" i="57"/>
  <c r="G466" i="57"/>
  <c r="G468" i="57"/>
  <c r="G465" i="57"/>
  <c r="G467" i="57"/>
  <c r="G387" i="57"/>
  <c r="G246" i="57"/>
  <c r="G247" i="57"/>
  <c r="G248" i="57"/>
  <c r="G477" i="57"/>
  <c r="G478" i="57"/>
  <c r="G303" i="57"/>
  <c r="G302" i="57"/>
  <c r="G304" i="57"/>
  <c r="G305" i="57"/>
  <c r="G298" i="57"/>
  <c r="G300" i="57"/>
  <c r="G299" i="57"/>
  <c r="G301" i="57"/>
  <c r="G306" i="57"/>
  <c r="G307" i="57"/>
  <c r="G308" i="57"/>
  <c r="G389" i="57"/>
  <c r="G388" i="57"/>
  <c r="G338" i="57"/>
  <c r="G341" i="57"/>
  <c r="G333" i="57"/>
  <c r="G337" i="57"/>
  <c r="G340" i="57"/>
  <c r="G256" i="57"/>
  <c r="G254" i="57"/>
  <c r="G334" i="57"/>
  <c r="G339" i="57"/>
  <c r="G336" i="57"/>
  <c r="G312" i="57"/>
  <c r="G313" i="57"/>
  <c r="G135" i="57"/>
  <c r="G136" i="57"/>
  <c r="G243" i="57"/>
  <c r="G288" i="57"/>
  <c r="G289" i="57"/>
  <c r="G253" i="57"/>
  <c r="G314" i="57"/>
  <c r="G255" i="57"/>
  <c r="G257" i="57"/>
  <c r="G320" i="57"/>
  <c r="G316" i="57"/>
  <c r="G318" i="57"/>
  <c r="G317" i="57"/>
  <c r="G319" i="57"/>
  <c r="G258" i="57"/>
  <c r="G27" i="57"/>
  <c r="G29" i="57"/>
  <c r="G28" i="57"/>
  <c r="G30" i="57"/>
  <c r="G261" i="57"/>
  <c r="G362" i="57"/>
  <c r="G363" i="57"/>
  <c r="G365" i="57"/>
  <c r="G364" i="57"/>
  <c r="G263" i="57"/>
  <c r="G367" i="57"/>
  <c r="G372" i="57"/>
  <c r="G368" i="57"/>
  <c r="G370" i="57"/>
  <c r="G369" i="57"/>
  <c r="G371" i="57"/>
  <c r="G79" i="57"/>
  <c r="G375" i="57"/>
  <c r="G376" i="57"/>
  <c r="G377" i="57"/>
  <c r="G378" i="57"/>
  <c r="G379" i="57"/>
  <c r="G380" i="57"/>
  <c r="G373" i="57"/>
  <c r="G374" i="57"/>
  <c r="G396" i="57"/>
  <c r="G397" i="57"/>
  <c r="G264" i="57"/>
  <c r="G266" i="57"/>
  <c r="G404" i="57"/>
  <c r="G405" i="57"/>
  <c r="G259" i="57"/>
  <c r="G265" i="57"/>
  <c r="G189" i="57"/>
  <c r="G260" i="57"/>
  <c r="G262" i="57"/>
  <c r="G282" i="57"/>
  <c r="G283" i="57"/>
  <c r="G214" i="57"/>
  <c r="G215" i="57"/>
  <c r="G284" i="57"/>
  <c r="G285" i="57"/>
  <c r="G218" i="57"/>
  <c r="G219" i="57"/>
  <c r="G406" i="57"/>
  <c r="G408" i="57"/>
  <c r="G407" i="57"/>
  <c r="G409" i="57"/>
  <c r="G411" i="57"/>
  <c r="G410" i="57"/>
  <c r="G412" i="57"/>
  <c r="G421" i="57"/>
  <c r="G422" i="57"/>
  <c r="G417" i="57"/>
  <c r="G419" i="57"/>
  <c r="G418" i="57"/>
  <c r="G420" i="57"/>
  <c r="G433" i="57"/>
  <c r="G14" i="57"/>
  <c r="G15" i="57"/>
  <c r="G13" i="57"/>
  <c r="G429" i="57"/>
  <c r="G427" i="57"/>
  <c r="G428" i="57"/>
  <c r="G430" i="57"/>
  <c r="G434" i="57"/>
  <c r="G437" i="57"/>
  <c r="G423" i="57"/>
  <c r="G425" i="57"/>
  <c r="G424" i="57"/>
  <c r="G426" i="57"/>
  <c r="G438" i="57"/>
  <c r="G440" i="57"/>
  <c r="G439" i="57"/>
  <c r="G441" i="57"/>
  <c r="G442" i="57"/>
  <c r="G447" i="57"/>
  <c r="G443" i="57"/>
  <c r="G445" i="57"/>
  <c r="G444" i="57"/>
  <c r="G446" i="57"/>
  <c r="G267" i="57"/>
  <c r="G448" i="57"/>
  <c r="G450" i="57"/>
  <c r="G449" i="57"/>
  <c r="G451" i="57"/>
  <c r="G268" i="57"/>
  <c r="G452" i="57"/>
  <c r="G453" i="57"/>
  <c r="G454" i="57"/>
  <c r="G456" i="57"/>
  <c r="G390" i="57"/>
  <c r="G391" i="57"/>
  <c r="G457" i="57"/>
  <c r="G458" i="57"/>
  <c r="G455" i="57"/>
  <c r="G470" i="57"/>
  <c r="G472" i="57"/>
  <c r="G469" i="57"/>
  <c r="G471" i="57"/>
  <c r="G392" i="57"/>
  <c r="G393" i="57"/>
  <c r="G479" i="57"/>
  <c r="G395" i="57"/>
  <c r="G394" i="57"/>
  <c r="G142" i="57"/>
  <c r="G143" i="57"/>
  <c r="G140" i="57"/>
  <c r="G141" i="57"/>
  <c r="G486" i="57"/>
  <c r="G487" i="57"/>
  <c r="G488" i="57"/>
  <c r="G482" i="57"/>
  <c r="G484" i="57"/>
  <c r="G483" i="57"/>
  <c r="G485" i="57"/>
  <c r="G31" i="57"/>
  <c r="G32" i="57"/>
  <c r="G290" i="57"/>
  <c r="G291" i="57"/>
  <c r="G491" i="57"/>
  <c r="G493" i="57"/>
  <c r="G492" i="57"/>
  <c r="G495" i="57"/>
  <c r="G494" i="57"/>
  <c r="G489" i="57"/>
  <c r="G490" i="57"/>
  <c r="G250" i="57"/>
  <c r="G252" i="57"/>
  <c r="G269" i="57"/>
  <c r="G270" i="57"/>
  <c r="G249" i="57"/>
  <c r="G251" i="57"/>
  <c r="G6" i="57"/>
  <c r="G8" i="57"/>
  <c r="G3" i="57"/>
  <c r="G4" i="57"/>
  <c r="G36" i="57"/>
  <c r="G37" i="57"/>
  <c r="G38" i="57"/>
  <c r="G40" i="57"/>
  <c r="G41" i="57"/>
  <c r="G42" i="57"/>
  <c r="G44" i="57"/>
  <c r="G45" i="57"/>
  <c r="G87" i="57"/>
  <c r="G88" i="57"/>
  <c r="G123" i="57"/>
  <c r="G124" i="57"/>
  <c r="G146" i="57"/>
  <c r="Q146" i="57" s="1"/>
  <c r="G147" i="57"/>
  <c r="G148" i="57"/>
  <c r="G149" i="57"/>
  <c r="G177" i="57"/>
  <c r="G220" i="57"/>
  <c r="G221" i="57"/>
  <c r="G222" i="57"/>
  <c r="G223" i="57"/>
  <c r="G240" i="57"/>
  <c r="G242" i="57"/>
  <c r="G292" i="57"/>
  <c r="G295" i="57"/>
  <c r="G293" i="57"/>
  <c r="G296" i="57"/>
  <c r="G309" i="57"/>
  <c r="G310" i="57"/>
  <c r="G311" i="57"/>
  <c r="G315" i="57"/>
  <c r="G398" i="57"/>
  <c r="G399" i="57"/>
  <c r="G400" i="57"/>
  <c r="G401" i="57"/>
  <c r="G461" i="57"/>
  <c r="G464" i="57"/>
  <c r="G480" i="57"/>
  <c r="G481" i="57"/>
  <c r="G224" i="57"/>
  <c r="K224" i="57"/>
  <c r="R8" i="57" a="1"/>
  <c r="R8" i="57" s="1"/>
  <c r="K8" i="57"/>
  <c r="I8" i="57"/>
  <c r="R6" i="57" a="1"/>
  <c r="R6" i="57" s="1"/>
  <c r="K6" i="57"/>
  <c r="I6" i="57"/>
  <c r="Q8" i="57" l="1"/>
  <c r="Q6" i="57"/>
  <c r="Q224" i="57"/>
  <c r="M6" i="57"/>
  <c r="B23" i="67" a="1"/>
  <c r="B23" i="67" s="1"/>
  <c r="M8" i="57"/>
  <c r="B4" i="67" a="1"/>
  <c r="B4" i="67" s="1"/>
  <c r="I296" i="57"/>
  <c r="M296" i="57" s="1"/>
  <c r="I293" i="57"/>
  <c r="M293" i="57" s="1"/>
  <c r="R293" i="57" a="1"/>
  <c r="R293" i="57" s="1"/>
  <c r="Q296" i="57" l="1"/>
  <c r="Q293" i="57"/>
  <c r="B28" i="67" a="1"/>
  <c r="B28" i="67" s="1"/>
  <c r="Q315" i="57" l="1"/>
  <c r="R275" i="57" a="1"/>
  <c r="R275" i="57" s="1"/>
  <c r="R274" i="57" a="1"/>
  <c r="R274" i="57" s="1"/>
  <c r="R277" i="57" a="1"/>
  <c r="R277" i="57" s="1"/>
  <c r="R273" i="57" a="1"/>
  <c r="R273" i="57" s="1"/>
  <c r="R276" i="57" a="1"/>
  <c r="R276" i="57" s="1"/>
  <c r="R3" i="57" a="1"/>
  <c r="R3" i="57" s="1"/>
  <c r="R4" i="57" a="1"/>
  <c r="R4" i="57" s="1"/>
  <c r="R11" i="57" a="1"/>
  <c r="R11" i="57" s="1"/>
  <c r="R9" i="57" a="1"/>
  <c r="R9" i="57" s="1"/>
  <c r="R10" i="57" a="1"/>
  <c r="R10" i="57" s="1"/>
  <c r="R210" i="57" a="1"/>
  <c r="R210" i="57" s="1"/>
  <c r="R211" i="57" a="1"/>
  <c r="R211" i="57" s="1"/>
  <c r="R16" i="57" a="1"/>
  <c r="R16" i="57" s="1"/>
  <c r="R49" i="57" a="1"/>
  <c r="R49" i="57" s="1"/>
  <c r="R51" i="57" a="1"/>
  <c r="R51" i="57" s="1"/>
  <c r="R17" i="57" a="1"/>
  <c r="R17" i="57" s="1"/>
  <c r="R191" i="57" a="1"/>
  <c r="R191" i="57" s="1"/>
  <c r="R198" i="57" a="1"/>
  <c r="R198" i="57" s="1"/>
  <c r="R199" i="57" a="1"/>
  <c r="R199" i="57" s="1"/>
  <c r="R18" i="57" a="1"/>
  <c r="R18" i="57" s="1"/>
  <c r="R19" i="57" a="1"/>
  <c r="R19" i="57" s="1"/>
  <c r="R20" i="57" a="1"/>
  <c r="R20" i="57" s="1"/>
  <c r="R22" i="57" a="1"/>
  <c r="R22" i="57" s="1"/>
  <c r="R24" i="57" a="1"/>
  <c r="R24" i="57" s="1"/>
  <c r="R21" i="57" a="1"/>
  <c r="R21" i="57" s="1"/>
  <c r="R23" i="57" a="1"/>
  <c r="R23" i="57" s="1"/>
  <c r="R33" i="57" a="1"/>
  <c r="R33" i="57" s="1"/>
  <c r="R278" i="57" a="1"/>
  <c r="R278" i="57" s="1"/>
  <c r="R279" i="57" a="1"/>
  <c r="R279" i="57" s="1"/>
  <c r="R34" i="57" a="1"/>
  <c r="R34" i="57" s="1"/>
  <c r="R35" i="57" a="1"/>
  <c r="R35" i="57" s="1"/>
  <c r="R212" i="57" a="1"/>
  <c r="R212" i="57" s="1"/>
  <c r="R213" i="57" a="1"/>
  <c r="R213" i="57" s="1"/>
  <c r="R36" i="57" a="1"/>
  <c r="R36" i="57" s="1"/>
  <c r="R40" i="57" a="1"/>
  <c r="R40" i="57" s="1"/>
  <c r="R37" i="57" a="1"/>
  <c r="R37" i="57" s="1"/>
  <c r="R41" i="57" a="1"/>
  <c r="R41" i="57" s="1"/>
  <c r="R38" i="57" a="1"/>
  <c r="R38" i="57" s="1"/>
  <c r="R42" i="57" a="1"/>
  <c r="R42" i="57" s="1"/>
  <c r="R44" i="57" a="1"/>
  <c r="R44" i="57" s="1"/>
  <c r="R45" i="57" a="1"/>
  <c r="R45" i="57" s="1"/>
  <c r="R46" i="57" a="1"/>
  <c r="R46" i="57" s="1"/>
  <c r="R47" i="57" a="1"/>
  <c r="R47" i="57" s="1"/>
  <c r="R48" i="57" a="1"/>
  <c r="R48" i="57" s="1"/>
  <c r="R50" i="57" a="1"/>
  <c r="R50" i="57" s="1"/>
  <c r="R52" i="57" a="1"/>
  <c r="R52" i="57" s="1"/>
  <c r="R53" i="57" a="1"/>
  <c r="R53" i="57" s="1"/>
  <c r="R55" i="57" a="1"/>
  <c r="R55" i="57" s="1"/>
  <c r="R54" i="57" a="1"/>
  <c r="R54" i="57" s="1"/>
  <c r="R56" i="57" a="1"/>
  <c r="R56" i="57" s="1"/>
  <c r="R57" i="57" a="1"/>
  <c r="R57" i="57" s="1"/>
  <c r="R58" i="57" a="1"/>
  <c r="R58" i="57" s="1"/>
  <c r="R59" i="57" a="1"/>
  <c r="R59" i="57" s="1"/>
  <c r="R60" i="57" a="1"/>
  <c r="R60" i="57" s="1"/>
  <c r="R62" i="57" a="1"/>
  <c r="R62" i="57" s="1"/>
  <c r="R64" i="57" a="1"/>
  <c r="R64" i="57" s="1"/>
  <c r="R66" i="57" a="1"/>
  <c r="R66" i="57" s="1"/>
  <c r="R67" i="57" a="1"/>
  <c r="R67" i="57" s="1"/>
  <c r="R68" i="57" a="1"/>
  <c r="R68" i="57" s="1"/>
  <c r="R69" i="57" a="1"/>
  <c r="R69" i="57" s="1"/>
  <c r="R63" i="57" a="1"/>
  <c r="R63" i="57" s="1"/>
  <c r="R65" i="57" a="1"/>
  <c r="R65" i="57" s="1"/>
  <c r="R71" i="57" a="1"/>
  <c r="R71" i="57" s="1"/>
  <c r="R75" i="57" a="1"/>
  <c r="R75" i="57" s="1"/>
  <c r="R78" i="57" a="1"/>
  <c r="R78" i="57" s="1"/>
  <c r="R81" i="57" a="1"/>
  <c r="R81" i="57" s="1"/>
  <c r="R82" i="57" a="1"/>
  <c r="R82" i="57" s="1"/>
  <c r="R207" i="57" a="1"/>
  <c r="R207" i="57" s="1"/>
  <c r="R209" i="57" a="1"/>
  <c r="R209" i="57" s="1"/>
  <c r="R206" i="57" a="1"/>
  <c r="R206" i="57" s="1"/>
  <c r="R204" i="57" a="1"/>
  <c r="R204" i="57" s="1"/>
  <c r="R203" i="57" a="1"/>
  <c r="R203" i="57" s="1"/>
  <c r="R321" i="57" a="1"/>
  <c r="R321" i="57" s="1"/>
  <c r="R323" i="57" a="1"/>
  <c r="R323" i="57" s="1"/>
  <c r="R205" i="57" a="1"/>
  <c r="R205" i="57" s="1"/>
  <c r="R325" i="57" a="1"/>
  <c r="R325" i="57" s="1"/>
  <c r="R327" i="57" a="1"/>
  <c r="R327" i="57" s="1"/>
  <c r="R208" i="57" a="1"/>
  <c r="R208" i="57" s="1"/>
  <c r="R83" i="57" a="1"/>
  <c r="R83" i="57" s="1"/>
  <c r="R84" i="57" a="1"/>
  <c r="R84" i="57" s="1"/>
  <c r="R85" i="57" a="1"/>
  <c r="R85" i="57" s="1"/>
  <c r="R86" i="57" a="1"/>
  <c r="R86" i="57" s="1"/>
  <c r="R87" i="57" a="1"/>
  <c r="R87" i="57" s="1"/>
  <c r="R88" i="57" a="1"/>
  <c r="R88" i="57" s="1"/>
  <c r="R280" i="57" a="1"/>
  <c r="R280" i="57" s="1"/>
  <c r="R281" i="57" a="1"/>
  <c r="R281" i="57" s="1"/>
  <c r="R89" i="57" a="1"/>
  <c r="R89" i="57" s="1"/>
  <c r="R90" i="57" a="1"/>
  <c r="R90" i="57" s="1"/>
  <c r="R91" i="57" a="1"/>
  <c r="R91"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12" i="57" a="1"/>
  <c r="R112" i="57" s="1"/>
  <c r="R107" i="57" a="1"/>
  <c r="R107" i="57" s="1"/>
  <c r="R108" i="57" a="1"/>
  <c r="R108" i="57" s="1"/>
  <c r="R109" i="57" a="1"/>
  <c r="R109" i="57" s="1"/>
  <c r="R110" i="57" a="1"/>
  <c r="R110" i="57" s="1"/>
  <c r="R114" i="57" a="1"/>
  <c r="R114" i="57" s="1"/>
  <c r="R111" i="57" a="1"/>
  <c r="R111" i="57" s="1"/>
  <c r="R115" i="57" a="1"/>
  <c r="R115" i="57" s="1"/>
  <c r="R113" i="57" a="1"/>
  <c r="R113" i="57" s="1"/>
  <c r="R116" i="57" a="1"/>
  <c r="R116" i="57" s="1"/>
  <c r="R117" i="57" a="1"/>
  <c r="R117" i="57" s="1"/>
  <c r="R119" i="57" a="1"/>
  <c r="R119" i="57" s="1"/>
  <c r="R118" i="57" a="1"/>
  <c r="R118" i="57" s="1"/>
  <c r="R120" i="57" a="1"/>
  <c r="R120" i="57" s="1"/>
  <c r="R121" i="57" a="1"/>
  <c r="R121" i="57" s="1"/>
  <c r="R122" i="57" a="1"/>
  <c r="R122" i="57" s="1"/>
  <c r="R177" i="57" a="1"/>
  <c r="R177" i="57" s="1"/>
  <c r="R226" i="57" a="1"/>
  <c r="R226" i="57" s="1"/>
  <c r="R125" i="57" a="1"/>
  <c r="R125" i="57" s="1"/>
  <c r="R126" i="57" a="1"/>
  <c r="R126" i="57" s="1"/>
  <c r="R127" i="57" a="1"/>
  <c r="R127" i="57" s="1"/>
  <c r="R220" i="57" a="1"/>
  <c r="R220" i="57" s="1"/>
  <c r="R221" i="57" a="1"/>
  <c r="R221" i="57" s="1"/>
  <c r="R128" i="57" a="1"/>
  <c r="R128" i="57" s="1"/>
  <c r="R129" i="57" a="1"/>
  <c r="R129" i="57" s="1"/>
  <c r="R131" i="57" a="1"/>
  <c r="R131" i="57" s="1"/>
  <c r="R130" i="57" a="1"/>
  <c r="R130" i="57" s="1"/>
  <c r="R132" i="57" a="1"/>
  <c r="R132" i="57" s="1"/>
  <c r="R133" i="57" a="1"/>
  <c r="R133" i="57" s="1"/>
  <c r="R381" i="57" a="1"/>
  <c r="R381" i="57" s="1"/>
  <c r="R382" i="57" a="1"/>
  <c r="R382" i="57" s="1"/>
  <c r="R134" i="57" a="1"/>
  <c r="R134" i="57" s="1"/>
  <c r="R137" i="57" a="1"/>
  <c r="R137" i="57" s="1"/>
  <c r="R138" i="57" a="1"/>
  <c r="R138" i="57" s="1"/>
  <c r="R139" i="57" a="1"/>
  <c r="R139" i="57" s="1"/>
  <c r="R216" i="57" a="1"/>
  <c r="R216" i="57" s="1"/>
  <c r="R217" i="57" a="1"/>
  <c r="R217" i="57" s="1"/>
  <c r="R144" i="57" a="1"/>
  <c r="R144" i="57" s="1"/>
  <c r="R145" i="57" a="1"/>
  <c r="R145" i="57" s="1"/>
  <c r="R146" i="57" a="1"/>
  <c r="R146" i="57" s="1"/>
  <c r="R148" i="57" a="1"/>
  <c r="R148" i="57" s="1"/>
  <c r="R147" i="57" a="1"/>
  <c r="R147" i="57" s="1"/>
  <c r="R149" i="57" a="1"/>
  <c r="R149" i="57" s="1"/>
  <c r="R150" i="57" a="1"/>
  <c r="R150" i="57" s="1"/>
  <c r="R244" i="57" a="1"/>
  <c r="R244" i="57" s="1"/>
  <c r="R151" i="57" a="1"/>
  <c r="R151" i="57" s="1"/>
  <c r="R152" i="57" a="1"/>
  <c r="R152" i="57" s="1"/>
  <c r="R153" i="57" a="1"/>
  <c r="R153" i="57" s="1"/>
  <c r="R154" i="57" a="1"/>
  <c r="R154" i="57" s="1"/>
  <c r="R155" i="57" a="1"/>
  <c r="R155" i="57" s="1"/>
  <c r="R156" i="57" a="1"/>
  <c r="R156" i="57" s="1"/>
  <c r="R157" i="57" a="1"/>
  <c r="R157" i="57" s="1"/>
  <c r="R158" i="57" a="1"/>
  <c r="R158" i="57" s="1"/>
  <c r="R159" i="57" a="1"/>
  <c r="R159" i="57" s="1"/>
  <c r="R160" i="57" a="1"/>
  <c r="R160" i="57" s="1"/>
  <c r="R161" i="57" a="1"/>
  <c r="R161" i="57" s="1"/>
  <c r="R162" i="57" a="1"/>
  <c r="R162" i="57" s="1"/>
  <c r="R166" i="57" a="1"/>
  <c r="R166" i="57" s="1"/>
  <c r="R167" i="57" a="1"/>
  <c r="R167" i="57" s="1"/>
  <c r="R168" i="57" a="1"/>
  <c r="R168" i="57" s="1"/>
  <c r="R169" i="57" a="1"/>
  <c r="R169" i="57" s="1"/>
  <c r="R170" i="57" a="1"/>
  <c r="R170" i="57" s="1"/>
  <c r="R171" i="57" a="1"/>
  <c r="R171" i="57" s="1"/>
  <c r="R172" i="57" a="1"/>
  <c r="R172" i="57" s="1"/>
  <c r="R173" i="57" a="1"/>
  <c r="R173" i="57" s="1"/>
  <c r="R163" i="57" a="1"/>
  <c r="R163" i="57" s="1"/>
  <c r="R164" i="57" a="1"/>
  <c r="R164" i="57" s="1"/>
  <c r="R165" i="57" a="1"/>
  <c r="R165" i="57" s="1"/>
  <c r="R174" i="57" a="1"/>
  <c r="R174" i="57" s="1"/>
  <c r="R175" i="57" a="1"/>
  <c r="R175" i="57" s="1"/>
  <c r="R176" i="57" a="1"/>
  <c r="R176" i="57" s="1"/>
  <c r="R178" i="57" a="1"/>
  <c r="R178" i="57" s="1"/>
  <c r="R179" i="57" a="1"/>
  <c r="R179" i="57" s="1"/>
  <c r="R383" i="57" a="1"/>
  <c r="R383" i="57" s="1"/>
  <c r="R384" i="57" a="1"/>
  <c r="R384" i="57" s="1"/>
  <c r="R229" i="57" a="1"/>
  <c r="R229" i="57" s="1"/>
  <c r="R473" i="57" a="1"/>
  <c r="R473" i="57" s="1"/>
  <c r="R475" i="57" a="1"/>
  <c r="R475" i="57" s="1"/>
  <c r="R474" i="57" a="1"/>
  <c r="R474" i="57" s="1"/>
  <c r="R476" i="57" a="1"/>
  <c r="R476" i="57" s="1"/>
  <c r="R180" i="57" a="1"/>
  <c r="R180" i="57" s="1"/>
  <c r="R181" i="57" a="1"/>
  <c r="R181" i="57" s="1"/>
  <c r="R227" i="57" a="1"/>
  <c r="R227" i="57" s="1"/>
  <c r="R228" i="57" a="1"/>
  <c r="R228" i="57" s="1"/>
  <c r="R12" i="57" a="1"/>
  <c r="R12" i="57" s="1"/>
  <c r="R182" i="57" a="1"/>
  <c r="R182" i="57" s="1"/>
  <c r="R183" i="57" a="1"/>
  <c r="R183" i="57" s="1"/>
  <c r="R184" i="57" a="1"/>
  <c r="R184" i="57" s="1"/>
  <c r="R185" i="57" a="1"/>
  <c r="R185" i="57" s="1"/>
  <c r="R186" i="57" a="1"/>
  <c r="R186" i="57" s="1"/>
  <c r="R25" i="57" a="1"/>
  <c r="R25" i="57" s="1"/>
  <c r="R26" i="57" a="1"/>
  <c r="R26" i="57" s="1"/>
  <c r="R70" i="57" a="1"/>
  <c r="R70" i="57" s="1"/>
  <c r="R72" i="57" a="1"/>
  <c r="R72" i="57" s="1"/>
  <c r="R459" i="57" a="1"/>
  <c r="R459" i="57" s="1"/>
  <c r="R462" i="57" a="1"/>
  <c r="R462" i="57" s="1"/>
  <c r="R460" i="57" a="1"/>
  <c r="R460" i="57" s="1"/>
  <c r="R463" i="57" a="1"/>
  <c r="R463" i="57" s="1"/>
  <c r="R461" i="57" a="1"/>
  <c r="R461" i="57" s="1"/>
  <c r="R464" i="57" a="1"/>
  <c r="R464" i="57" s="1"/>
  <c r="R230" i="57" a="1"/>
  <c r="R230" i="57" s="1"/>
  <c r="R187" i="57" a="1"/>
  <c r="R187" i="57" s="1"/>
  <c r="R188" i="57" a="1"/>
  <c r="R188" i="57" s="1"/>
  <c r="R74" i="57" a="1"/>
  <c r="R74" i="57" s="1"/>
  <c r="R76" i="57" a="1"/>
  <c r="R76" i="57" s="1"/>
  <c r="R197" i="57" a="1"/>
  <c r="R197" i="57" s="1"/>
  <c r="R200" i="57" a="1"/>
  <c r="R200" i="57" s="1"/>
  <c r="R202" i="57" a="1"/>
  <c r="R202" i="57" s="1"/>
  <c r="R190" i="57" a="1"/>
  <c r="R190" i="57" s="1"/>
  <c r="R194" i="57" a="1"/>
  <c r="R194" i="57" s="1"/>
  <c r="R192" i="57" a="1"/>
  <c r="R192" i="57" s="1"/>
  <c r="R195" i="57" a="1"/>
  <c r="R195" i="57" s="1"/>
  <c r="R196" i="57" a="1"/>
  <c r="R196" i="57" s="1"/>
  <c r="R193" i="57" a="1"/>
  <c r="R193" i="57" s="1"/>
  <c r="R385" i="57" a="1"/>
  <c r="R385" i="57" s="1"/>
  <c r="R386" i="57" a="1"/>
  <c r="R386" i="57" s="1"/>
  <c r="R245" i="57" a="1"/>
  <c r="R245" i="57" s="1"/>
  <c r="R61" i="57" a="1"/>
  <c r="R61" i="57" s="1"/>
  <c r="R73" i="57" a="1"/>
  <c r="R73" i="57" s="1"/>
  <c r="R77" i="57" a="1"/>
  <c r="R77" i="57" s="1"/>
  <c r="R80" i="57" a="1"/>
  <c r="R80" i="57" s="1"/>
  <c r="R366" i="57" a="1"/>
  <c r="R366" i="57" s="1"/>
  <c r="R231" i="57" a="1"/>
  <c r="R231" i="57" s="1"/>
  <c r="R233" i="57" a="1"/>
  <c r="R233" i="57" s="1"/>
  <c r="R232" i="57" a="1"/>
  <c r="R232" i="57" s="1"/>
  <c r="R234" i="57" a="1"/>
  <c r="R234" i="57" s="1"/>
  <c r="R271" i="57" a="1"/>
  <c r="R271" i="57" s="1"/>
  <c r="R431" i="57" a="1"/>
  <c r="R431" i="57" s="1"/>
  <c r="R435" i="57" a="1"/>
  <c r="R435" i="57" s="1"/>
  <c r="R432" i="57" a="1"/>
  <c r="R432" i="57" s="1"/>
  <c r="R436" i="57" a="1"/>
  <c r="R436" i="57" s="1"/>
  <c r="R222" i="57" a="1"/>
  <c r="R222" i="57" s="1"/>
  <c r="R223" i="57" a="1"/>
  <c r="R223" i="57" s="1"/>
  <c r="R286" i="57" a="1"/>
  <c r="R286" i="57" s="1"/>
  <c r="R287" i="57" a="1"/>
  <c r="R287" i="57" s="1"/>
  <c r="R237" i="57" a="1"/>
  <c r="R237" i="57" s="1"/>
  <c r="R235" i="57" a="1"/>
  <c r="R235" i="57" s="1"/>
  <c r="R236" i="57" a="1"/>
  <c r="R236" i="57" s="1"/>
  <c r="R238" i="57" a="1"/>
  <c r="R238" i="57" s="1"/>
  <c r="R239" i="57" a="1"/>
  <c r="R239" i="57" s="1"/>
  <c r="R330" i="57" a="1"/>
  <c r="R330" i="57" s="1"/>
  <c r="R332" i="57" a="1"/>
  <c r="R332" i="57" s="1"/>
  <c r="R465" i="57" a="1"/>
  <c r="R465" i="57" s="1"/>
  <c r="R467" i="57" a="1"/>
  <c r="R467" i="57" s="1"/>
  <c r="R466" i="57" a="1"/>
  <c r="R466" i="57" s="1"/>
  <c r="R468" i="57" a="1"/>
  <c r="R468" i="57" s="1"/>
  <c r="R387" i="57" a="1"/>
  <c r="R387" i="57" s="1"/>
  <c r="R248" i="57" a="1"/>
  <c r="R248" i="57" s="1"/>
  <c r="R246" i="57" a="1"/>
  <c r="R246" i="57" s="1"/>
  <c r="R247" i="57" a="1"/>
  <c r="R247" i="57" s="1"/>
  <c r="R292" i="57" a="1"/>
  <c r="R292" i="57" s="1"/>
  <c r="R295" i="57" a="1"/>
  <c r="R295" i="57" s="1"/>
  <c r="R477" i="57" a="1"/>
  <c r="R477" i="57" s="1"/>
  <c r="R478" i="57" a="1"/>
  <c r="R478" i="57" s="1"/>
  <c r="R298" i="57" a="1"/>
  <c r="R298" i="57" s="1"/>
  <c r="R300" i="57" a="1"/>
  <c r="R300" i="57" s="1"/>
  <c r="R302" i="57" a="1"/>
  <c r="R302" i="57" s="1"/>
  <c r="R303" i="57" a="1"/>
  <c r="R303" i="57" s="1"/>
  <c r="R304" i="57" a="1"/>
  <c r="R304" i="57" s="1"/>
  <c r="R305" i="57" a="1"/>
  <c r="R305" i="57" s="1"/>
  <c r="R299" i="57" a="1"/>
  <c r="R299" i="57" s="1"/>
  <c r="R301" i="57" a="1"/>
  <c r="R301" i="57" s="1"/>
  <c r="R306" i="57" a="1"/>
  <c r="R306" i="57" s="1"/>
  <c r="R307" i="57" a="1"/>
  <c r="R307" i="57" s="1"/>
  <c r="R308" i="57" a="1"/>
  <c r="R308" i="57" s="1"/>
  <c r="R388" i="57" a="1"/>
  <c r="R388" i="57" s="1"/>
  <c r="R389" i="57" a="1"/>
  <c r="R389" i="57" s="1"/>
  <c r="R334" i="57" a="1"/>
  <c r="R334" i="57" s="1"/>
  <c r="R339" i="57" a="1"/>
  <c r="R339" i="57" s="1"/>
  <c r="R338" i="57" a="1"/>
  <c r="R338" i="57" s="1"/>
  <c r="R341" i="57" a="1"/>
  <c r="R341" i="57" s="1"/>
  <c r="R337" i="57" a="1"/>
  <c r="R337" i="57" s="1"/>
  <c r="R333" i="57" a="1"/>
  <c r="R333" i="57" s="1"/>
  <c r="R340" i="57" a="1"/>
  <c r="R340" i="57" s="1"/>
  <c r="R256" i="57" a="1"/>
  <c r="R256" i="57" s="1"/>
  <c r="R254" i="57" a="1"/>
  <c r="R254" i="57" s="1"/>
  <c r="R336" i="57" a="1"/>
  <c r="R336" i="57" s="1"/>
  <c r="R309" i="57" a="1"/>
  <c r="R309" i="57" s="1"/>
  <c r="R310" i="57" a="1"/>
  <c r="R310" i="57" s="1"/>
  <c r="R312" i="57" a="1"/>
  <c r="R312" i="57" s="1"/>
  <c r="R313" i="57" a="1"/>
  <c r="R313" i="57" s="1"/>
  <c r="R135" i="57" a="1"/>
  <c r="R135" i="57" s="1"/>
  <c r="R136" i="57" a="1"/>
  <c r="R136" i="57" s="1"/>
  <c r="R288" i="57" a="1"/>
  <c r="R288" i="57" s="1"/>
  <c r="R289" i="57" a="1"/>
  <c r="R289" i="57" s="1"/>
  <c r="R240" i="57" a="1"/>
  <c r="R240" i="57" s="1"/>
  <c r="R242" i="57" a="1"/>
  <c r="R242" i="57" s="1"/>
  <c r="R241" i="57" a="1"/>
  <c r="R241" i="57" s="1"/>
  <c r="R243" i="57" a="1"/>
  <c r="R243" i="57" s="1"/>
  <c r="R253" i="57" a="1"/>
  <c r="R253" i="57" s="1"/>
  <c r="R314" i="57" a="1"/>
  <c r="R314" i="57" s="1"/>
  <c r="R255" i="57" a="1"/>
  <c r="R255" i="57" s="1"/>
  <c r="R257" i="57" a="1"/>
  <c r="R257" i="57" s="1"/>
  <c r="R316" i="57" a="1"/>
  <c r="R316" i="57" s="1"/>
  <c r="R318" i="57" a="1"/>
  <c r="R318" i="57" s="1"/>
  <c r="R320" i="57" a="1"/>
  <c r="R320" i="57" s="1"/>
  <c r="R317" i="57" a="1"/>
  <c r="R317" i="57" s="1"/>
  <c r="R319" i="57" a="1"/>
  <c r="R319" i="57" s="1"/>
  <c r="R258" i="57" a="1"/>
  <c r="R258" i="57" s="1"/>
  <c r="R27" i="57" a="1"/>
  <c r="R27" i="57" s="1"/>
  <c r="R29" i="57" a="1"/>
  <c r="R29" i="57" s="1"/>
  <c r="R28" i="57" a="1"/>
  <c r="R28" i="57" s="1"/>
  <c r="R30" i="57" a="1"/>
  <c r="R30" i="57" s="1"/>
  <c r="R261" i="57" a="1"/>
  <c r="R261" i="57" s="1"/>
  <c r="R362" i="57" a="1"/>
  <c r="R362" i="57" s="1"/>
  <c r="R363" i="57" a="1"/>
  <c r="R363" i="57" s="1"/>
  <c r="R364" i="57" a="1"/>
  <c r="R364" i="57" s="1"/>
  <c r="R365" i="57" a="1"/>
  <c r="R365" i="57" s="1"/>
  <c r="R263" i="57" a="1"/>
  <c r="R263" i="57" s="1"/>
  <c r="R367" i="57" a="1"/>
  <c r="R367" i="57" s="1"/>
  <c r="R368" i="57" a="1"/>
  <c r="R368" i="57" s="1"/>
  <c r="R370" i="57" a="1"/>
  <c r="R370" i="57" s="1"/>
  <c r="R372" i="57" a="1"/>
  <c r="R372" i="57" s="1"/>
  <c r="R369" i="57" a="1"/>
  <c r="R369" i="57" s="1"/>
  <c r="R371" i="57" a="1"/>
  <c r="R371" i="57" s="1"/>
  <c r="R79" i="57" a="1"/>
  <c r="R79" i="57" s="1"/>
  <c r="R373" i="57" a="1"/>
  <c r="R373" i="57" s="1"/>
  <c r="R374" i="57" a="1"/>
  <c r="R374" i="57" s="1"/>
  <c r="R375" i="57" a="1"/>
  <c r="R375" i="57" s="1"/>
  <c r="R376" i="57" a="1"/>
  <c r="R376" i="57" s="1"/>
  <c r="R377" i="57" a="1"/>
  <c r="R377" i="57" s="1"/>
  <c r="R378" i="57" a="1"/>
  <c r="R378" i="57" s="1"/>
  <c r="R379" i="57" a="1"/>
  <c r="R379" i="57" s="1"/>
  <c r="R380" i="57" a="1"/>
  <c r="R380" i="57" s="1"/>
  <c r="R396" i="57" a="1"/>
  <c r="R396" i="57" s="1"/>
  <c r="R397" i="57" a="1"/>
  <c r="R397" i="57" s="1"/>
  <c r="R264" i="57" a="1"/>
  <c r="R264" i="57" s="1"/>
  <c r="R266" i="57" a="1"/>
  <c r="R266" i="57" s="1"/>
  <c r="R404" i="57" a="1"/>
  <c r="R404" i="57" s="1"/>
  <c r="R405" i="57" a="1"/>
  <c r="R405" i="57" s="1"/>
  <c r="R259" i="57" a="1"/>
  <c r="R259" i="57" s="1"/>
  <c r="R265" i="57" a="1"/>
  <c r="R265" i="57" s="1"/>
  <c r="R189" i="57" a="1"/>
  <c r="R189" i="57" s="1"/>
  <c r="R260" i="57" a="1"/>
  <c r="R260" i="57" s="1"/>
  <c r="R262" i="57" a="1"/>
  <c r="R262" i="57" s="1"/>
  <c r="R406" i="57" a="1"/>
  <c r="R406" i="57" s="1"/>
  <c r="R123" i="57" a="1"/>
  <c r="R123" i="57" s="1"/>
  <c r="R124" i="57" a="1"/>
  <c r="R124" i="57" s="1"/>
  <c r="R214" i="57" a="1"/>
  <c r="R214" i="57" s="1"/>
  <c r="R215" i="57" a="1"/>
  <c r="R215" i="57" s="1"/>
  <c r="R282" i="57" a="1"/>
  <c r="R282" i="57" s="1"/>
  <c r="R283" i="57" a="1"/>
  <c r="R283" i="57" s="1"/>
  <c r="R284" i="57" a="1"/>
  <c r="R284" i="57" s="1"/>
  <c r="R285" i="57" a="1"/>
  <c r="R285" i="57" s="1"/>
  <c r="R400" i="57" a="1"/>
  <c r="R400" i="57" s="1"/>
  <c r="R401" i="57" a="1"/>
  <c r="R401" i="57" s="1"/>
  <c r="R224" i="57" a="1"/>
  <c r="R224" i="57" s="1"/>
  <c r="R218" i="57" a="1"/>
  <c r="R218" i="57" s="1"/>
  <c r="R398" i="57" a="1"/>
  <c r="R398" i="57" s="1"/>
  <c r="R399" i="57" a="1"/>
  <c r="R399" i="57" s="1"/>
  <c r="R402" i="57" a="1"/>
  <c r="R402" i="57" s="1"/>
  <c r="R403" i="57" a="1"/>
  <c r="R403" i="57" s="1"/>
  <c r="R407" i="57" a="1"/>
  <c r="R407" i="57" s="1"/>
  <c r="R408" i="57" a="1"/>
  <c r="R408" i="57" s="1"/>
  <c r="R409" i="57" a="1"/>
  <c r="R409" i="57" s="1"/>
  <c r="R411" i="57" a="1"/>
  <c r="R411" i="57" s="1"/>
  <c r="R410" i="57" a="1"/>
  <c r="R410" i="57" s="1"/>
  <c r="R412" i="57" a="1"/>
  <c r="R412" i="57" s="1"/>
  <c r="R413" i="57" a="1"/>
  <c r="R413" i="57" s="1"/>
  <c r="R414" i="57" a="1"/>
  <c r="R414" i="57" s="1"/>
  <c r="R415" i="57" a="1"/>
  <c r="R415" i="57" s="1"/>
  <c r="R416" i="57" a="1"/>
  <c r="R416" i="57" s="1"/>
  <c r="R417" i="57" a="1"/>
  <c r="R417" i="57" s="1"/>
  <c r="R419" i="57" a="1"/>
  <c r="R419" i="57" s="1"/>
  <c r="R421" i="57" a="1"/>
  <c r="R421" i="57" s="1"/>
  <c r="R422" i="57" a="1"/>
  <c r="R422" i="57" s="1"/>
  <c r="R418" i="57" a="1"/>
  <c r="R418" i="57" s="1"/>
  <c r="R420" i="57" a="1"/>
  <c r="R420" i="57" s="1"/>
  <c r="R13" i="57" a="1"/>
  <c r="R13" i="57" s="1"/>
  <c r="R14" i="57" a="1"/>
  <c r="R14" i="57" s="1"/>
  <c r="R15" i="57" a="1"/>
  <c r="R15" i="57" s="1"/>
  <c r="R423" i="57" a="1"/>
  <c r="R423" i="57" s="1"/>
  <c r="R425" i="57" a="1"/>
  <c r="R425" i="57" s="1"/>
  <c r="R427" i="57" a="1"/>
  <c r="R427" i="57" s="1"/>
  <c r="R429" i="57" a="1"/>
  <c r="R429" i="57" s="1"/>
  <c r="R428" i="57" a="1"/>
  <c r="R428" i="57" s="1"/>
  <c r="R430" i="57" a="1"/>
  <c r="R430" i="57" s="1"/>
  <c r="R434" i="57" a="1"/>
  <c r="R434" i="57" s="1"/>
  <c r="R437" i="57" a="1"/>
  <c r="R437" i="57" s="1"/>
  <c r="R424" i="57" a="1"/>
  <c r="R424" i="57" s="1"/>
  <c r="R426" i="57" a="1"/>
  <c r="R426" i="57" s="1"/>
  <c r="R438" i="57" a="1"/>
  <c r="R438" i="57" s="1"/>
  <c r="R440" i="57" a="1"/>
  <c r="R440" i="57" s="1"/>
  <c r="R439" i="57" a="1"/>
  <c r="R439" i="57" s="1"/>
  <c r="R441" i="57" a="1"/>
  <c r="R441" i="57" s="1"/>
  <c r="R442" i="57" a="1"/>
  <c r="R442" i="57" s="1"/>
  <c r="R443" i="57" a="1"/>
  <c r="R443" i="57" s="1"/>
  <c r="R445" i="57" a="1"/>
  <c r="R445" i="57" s="1"/>
  <c r="R447" i="57" a="1"/>
  <c r="R447" i="57" s="1"/>
  <c r="R444" i="57" a="1"/>
  <c r="R444" i="57" s="1"/>
  <c r="R446" i="57" a="1"/>
  <c r="R446" i="57" s="1"/>
  <c r="R267" i="57" a="1"/>
  <c r="R267" i="57" s="1"/>
  <c r="R448" i="57" a="1"/>
  <c r="R448" i="57" s="1"/>
  <c r="R450" i="57" a="1"/>
  <c r="R450" i="57" s="1"/>
  <c r="R449" i="57" a="1"/>
  <c r="R449" i="57" s="1"/>
  <c r="R451" i="57" a="1"/>
  <c r="R451" i="57" s="1"/>
  <c r="R268" i="57" a="1"/>
  <c r="R268" i="57" s="1"/>
  <c r="R452" i="57" a="1"/>
  <c r="R452" i="57" s="1"/>
  <c r="R453" i="57" a="1"/>
  <c r="R453" i="57" s="1"/>
  <c r="R454" i="57" a="1"/>
  <c r="R454" i="57" s="1"/>
  <c r="R456" i="57" a="1"/>
  <c r="R456" i="57" s="1"/>
  <c r="R390" i="57" a="1"/>
  <c r="R390" i="57" s="1"/>
  <c r="R391" i="57" a="1"/>
  <c r="R391" i="57" s="1"/>
  <c r="R457" i="57" a="1"/>
  <c r="R457" i="57" s="1"/>
  <c r="R458" i="57" a="1"/>
  <c r="R458" i="57" s="1"/>
  <c r="R455" i="57" a="1"/>
  <c r="R455" i="57" s="1"/>
  <c r="R469" i="57" a="1"/>
  <c r="R469" i="57" s="1"/>
  <c r="R471" i="57" a="1"/>
  <c r="R471" i="57" s="1"/>
  <c r="R470" i="57" a="1"/>
  <c r="R470" i="57" s="1"/>
  <c r="R472" i="57" a="1"/>
  <c r="R472" i="57" s="1"/>
  <c r="R392" i="57" a="1"/>
  <c r="R392" i="57" s="1"/>
  <c r="R393" i="57" a="1"/>
  <c r="R393" i="57" s="1"/>
  <c r="R479" i="57" a="1"/>
  <c r="R479" i="57" s="1"/>
  <c r="R480" i="57" a="1"/>
  <c r="R480" i="57" s="1"/>
  <c r="R481" i="57" a="1"/>
  <c r="R481" i="57" s="1"/>
  <c r="R394" i="57" a="1"/>
  <c r="R394" i="57" s="1"/>
  <c r="R395" i="57" a="1"/>
  <c r="R395" i="57" s="1"/>
  <c r="R140" i="57" a="1"/>
  <c r="R140" i="57" s="1"/>
  <c r="R141" i="57" a="1"/>
  <c r="R141" i="57" s="1"/>
  <c r="R142" i="57" a="1"/>
  <c r="R142" i="57" s="1"/>
  <c r="R143" i="57" a="1"/>
  <c r="R143" i="57" s="1"/>
  <c r="R482" i="57" a="1"/>
  <c r="R482" i="57" s="1"/>
  <c r="R484" i="57" a="1"/>
  <c r="R484" i="57" s="1"/>
  <c r="R486" i="57" a="1"/>
  <c r="R486" i="57" s="1"/>
  <c r="R487" i="57" a="1"/>
  <c r="R487" i="57" s="1"/>
  <c r="R488" i="57" a="1"/>
  <c r="R488" i="57" s="1"/>
  <c r="R483" i="57" a="1"/>
  <c r="R483" i="57" s="1"/>
  <c r="R485" i="57" a="1"/>
  <c r="R485" i="57" s="1"/>
  <c r="R31" i="57" a="1"/>
  <c r="R31" i="57" s="1"/>
  <c r="R32" i="57" a="1"/>
  <c r="R32" i="57" s="1"/>
  <c r="R290" i="57" a="1"/>
  <c r="R290" i="57" s="1"/>
  <c r="R291" i="57" a="1"/>
  <c r="R291" i="57" s="1"/>
  <c r="R489" i="57" a="1"/>
  <c r="R489" i="57" s="1"/>
  <c r="R490" i="57" a="1"/>
  <c r="R490" i="57" s="1"/>
  <c r="R491" i="57" a="1"/>
  <c r="R491" i="57" s="1"/>
  <c r="R492" i="57" a="1"/>
  <c r="R492" i="57" s="1"/>
  <c r="R493" i="57" a="1"/>
  <c r="R493" i="57" s="1"/>
  <c r="R494" i="57" a="1"/>
  <c r="R494" i="57" s="1"/>
  <c r="R495" i="57" a="1"/>
  <c r="R495" i="57" s="1"/>
  <c r="R250" i="57" a="1"/>
  <c r="R250" i="57" s="1"/>
  <c r="R252" i="57" a="1"/>
  <c r="R252" i="57" s="1"/>
  <c r="R269" i="57" a="1"/>
  <c r="R269" i="57" s="1"/>
  <c r="R270" i="57" a="1"/>
  <c r="R270" i="57" s="1"/>
  <c r="R249" i="57" a="1"/>
  <c r="R249" i="57" s="1"/>
  <c r="R251" i="57" a="1"/>
  <c r="R251" i="57" s="1"/>
  <c r="R272" i="57" a="1"/>
  <c r="R272" i="57" s="1"/>
  <c r="K242" i="57"/>
  <c r="Q242" i="57" s="1"/>
  <c r="I242" i="57"/>
  <c r="M242" i="57" s="1"/>
  <c r="K240" i="57"/>
  <c r="Q240" i="57" s="1"/>
  <c r="I240" i="57"/>
  <c r="M240" i="57" s="1"/>
  <c r="K38" i="57"/>
  <c r="Q38" i="57" s="1"/>
  <c r="I38" i="57"/>
  <c r="M38" i="57" s="1"/>
  <c r="K42" i="57"/>
  <c r="I42" i="57"/>
  <c r="M42" i="57" s="1"/>
  <c r="K37" i="57"/>
  <c r="I37" i="57"/>
  <c r="K41" i="57"/>
  <c r="I41" i="57"/>
  <c r="M41" i="57" s="1"/>
  <c r="K464" i="57"/>
  <c r="Q464" i="57" s="1"/>
  <c r="I464" i="57"/>
  <c r="M464" i="57" s="1"/>
  <c r="K461" i="57"/>
  <c r="Q461" i="57" s="1"/>
  <c r="I461" i="57"/>
  <c r="M461" i="57" s="1"/>
  <c r="I273" i="57"/>
  <c r="B3" i="67" s="1" a="1"/>
  <c r="B3" i="67" s="1"/>
  <c r="K273" i="57"/>
  <c r="Q273" i="57" s="1"/>
  <c r="I276" i="57"/>
  <c r="M276" i="57" s="1"/>
  <c r="K276" i="57"/>
  <c r="K149" i="57"/>
  <c r="Q149" i="57" s="1"/>
  <c r="M149" i="57"/>
  <c r="K147" i="57"/>
  <c r="Q147" i="57" s="1"/>
  <c r="M147" i="57"/>
  <c r="K220" i="57"/>
  <c r="Q220" i="57" s="1"/>
  <c r="I220" i="57"/>
  <c r="M220" i="57" s="1"/>
  <c r="K292" i="57"/>
  <c r="Q292" i="57" s="1"/>
  <c r="I292" i="57"/>
  <c r="M292" i="57" s="1"/>
  <c r="K44" i="57"/>
  <c r="Q44" i="57" s="1"/>
  <c r="I44" i="57"/>
  <c r="M44" i="57" s="1"/>
  <c r="K222" i="57"/>
  <c r="I222" i="57"/>
  <c r="M222" i="57" s="1"/>
  <c r="K480" i="57"/>
  <c r="I480" i="57"/>
  <c r="M480" i="57" s="1"/>
  <c r="K400" i="57"/>
  <c r="I400" i="57"/>
  <c r="K123" i="57"/>
  <c r="Q123" i="57" s="1"/>
  <c r="I123" i="57"/>
  <c r="M123" i="57" s="1"/>
  <c r="K402" i="57"/>
  <c r="Q402" i="57" s="1"/>
  <c r="I402" i="57"/>
  <c r="M402" i="57" s="1"/>
  <c r="K87" i="57"/>
  <c r="Q87" i="57" s="1"/>
  <c r="I87" i="57"/>
  <c r="M87" i="57" s="1"/>
  <c r="K3" i="57"/>
  <c r="I3" i="57"/>
  <c r="B2" i="67" s="1" a="1"/>
  <c r="B2" i="67" s="1"/>
  <c r="K36" i="57"/>
  <c r="I36" i="57"/>
  <c r="K309" i="57"/>
  <c r="I309" i="57"/>
  <c r="M309" i="57" s="1"/>
  <c r="K398" i="57"/>
  <c r="Q398" i="57" s="1"/>
  <c r="I398" i="57"/>
  <c r="M398" i="57" s="1"/>
  <c r="I272" i="57"/>
  <c r="I275" i="57"/>
  <c r="I274" i="57"/>
  <c r="I277" i="57"/>
  <c r="I11" i="57"/>
  <c r="I9" i="57"/>
  <c r="I10" i="57"/>
  <c r="I210" i="57"/>
  <c r="I211" i="57"/>
  <c r="I16" i="57"/>
  <c r="I49" i="57"/>
  <c r="I51" i="57"/>
  <c r="I17" i="57"/>
  <c r="I191" i="57"/>
  <c r="I198" i="57"/>
  <c r="B47" i="67" s="1" a="1"/>
  <c r="B47" i="67" s="1"/>
  <c r="I199" i="57"/>
  <c r="B9" i="67" s="1" a="1"/>
  <c r="B9" i="67" s="1"/>
  <c r="I18" i="57"/>
  <c r="I19" i="57"/>
  <c r="I20" i="57"/>
  <c r="B10" i="67" s="1" a="1"/>
  <c r="B10" i="67" s="1"/>
  <c r="I22" i="57"/>
  <c r="I24" i="57"/>
  <c r="I21" i="57"/>
  <c r="M21" i="57" s="1"/>
  <c r="I23" i="57"/>
  <c r="M23" i="57" s="1"/>
  <c r="I33" i="57"/>
  <c r="I278" i="57"/>
  <c r="I279" i="57"/>
  <c r="I34" i="57"/>
  <c r="I35" i="57"/>
  <c r="I212" i="57"/>
  <c r="I213" i="57"/>
  <c r="I46" i="57"/>
  <c r="I47" i="57"/>
  <c r="I48" i="57"/>
  <c r="I50" i="57"/>
  <c r="I52" i="57"/>
  <c r="I53" i="57"/>
  <c r="I54" i="57"/>
  <c r="I55" i="57"/>
  <c r="I56" i="57"/>
  <c r="I57" i="57"/>
  <c r="I58" i="57"/>
  <c r="I59" i="57"/>
  <c r="I60" i="57"/>
  <c r="I62" i="57"/>
  <c r="I64" i="57"/>
  <c r="I66" i="57"/>
  <c r="I67" i="57"/>
  <c r="I68" i="57"/>
  <c r="I69" i="57"/>
  <c r="I63" i="57"/>
  <c r="I65" i="57"/>
  <c r="I71" i="57"/>
  <c r="I75" i="57"/>
  <c r="I78" i="57"/>
  <c r="I81" i="57"/>
  <c r="I82" i="57"/>
  <c r="I206" i="57"/>
  <c r="I204" i="57"/>
  <c r="I203" i="57"/>
  <c r="I321" i="57"/>
  <c r="I323" i="57"/>
  <c r="I325" i="57"/>
  <c r="I327" i="57"/>
  <c r="I83" i="57"/>
  <c r="I84" i="57"/>
  <c r="I85" i="57"/>
  <c r="I86" i="57"/>
  <c r="I280" i="57"/>
  <c r="I281" i="57"/>
  <c r="I89" i="57"/>
  <c r="I90" i="57"/>
  <c r="I91" i="57"/>
  <c r="I92" i="57"/>
  <c r="I93" i="57"/>
  <c r="I94" i="57"/>
  <c r="I95" i="57"/>
  <c r="I96" i="57"/>
  <c r="I97" i="57"/>
  <c r="I98" i="57"/>
  <c r="I99" i="57"/>
  <c r="I100" i="57"/>
  <c r="I101" i="57"/>
  <c r="I102" i="57"/>
  <c r="I103" i="57"/>
  <c r="I104" i="57"/>
  <c r="I105" i="57"/>
  <c r="I106" i="57"/>
  <c r="I112" i="57"/>
  <c r="B17" i="67" s="1" a="1"/>
  <c r="B17" i="67" s="1"/>
  <c r="I107" i="57"/>
  <c r="I108" i="57"/>
  <c r="I109" i="57"/>
  <c r="I110" i="57"/>
  <c r="I114" i="57"/>
  <c r="I111" i="57"/>
  <c r="B18" i="67" s="1" a="1"/>
  <c r="B18" i="67" s="1"/>
  <c r="I115" i="57"/>
  <c r="I113" i="57"/>
  <c r="I116" i="57"/>
  <c r="I117" i="57"/>
  <c r="I119" i="57"/>
  <c r="I118" i="57"/>
  <c r="B44" i="67" s="1" a="1"/>
  <c r="B44" i="67" s="1"/>
  <c r="I120" i="57"/>
  <c r="I121" i="57"/>
  <c r="B19" i="67" s="1" a="1"/>
  <c r="B19" i="67" s="1"/>
  <c r="I122" i="57"/>
  <c r="I177" i="57"/>
  <c r="I226" i="57"/>
  <c r="I125" i="57"/>
  <c r="I126" i="57"/>
  <c r="I127" i="57"/>
  <c r="I128" i="57"/>
  <c r="I129" i="57"/>
  <c r="I131" i="57"/>
  <c r="I130" i="57"/>
  <c r="I132" i="57"/>
  <c r="I133" i="57"/>
  <c r="I381" i="57"/>
  <c r="I382" i="57"/>
  <c r="I134" i="57"/>
  <c r="B20" i="67" s="1" a="1"/>
  <c r="B20" i="67" s="1"/>
  <c r="I137" i="57"/>
  <c r="I138" i="57"/>
  <c r="I139" i="57"/>
  <c r="I216" i="57"/>
  <c r="I217" i="57"/>
  <c r="I244" i="57"/>
  <c r="I159" i="57"/>
  <c r="I160" i="57"/>
  <c r="I161" i="57"/>
  <c r="I162" i="57"/>
  <c r="I166" i="57"/>
  <c r="I167" i="57"/>
  <c r="I168" i="57"/>
  <c r="I169" i="57"/>
  <c r="I170" i="57"/>
  <c r="I171" i="57"/>
  <c r="I172" i="57"/>
  <c r="I173" i="57"/>
  <c r="I163" i="57"/>
  <c r="I164" i="57"/>
  <c r="I165" i="57"/>
  <c r="I174" i="57"/>
  <c r="I175" i="57"/>
  <c r="I176" i="57"/>
  <c r="I178" i="57"/>
  <c r="I179" i="57"/>
  <c r="I383" i="57"/>
  <c r="I384" i="57"/>
  <c r="I229" i="57"/>
  <c r="I473" i="57"/>
  <c r="B54" i="67" s="1" a="1"/>
  <c r="B54" i="67" s="1"/>
  <c r="I475" i="57"/>
  <c r="I474" i="57"/>
  <c r="I476" i="57"/>
  <c r="I180" i="57"/>
  <c r="I181" i="57"/>
  <c r="I227" i="57"/>
  <c r="I228" i="57"/>
  <c r="I12" i="57"/>
  <c r="I182" i="57"/>
  <c r="I183" i="57"/>
  <c r="I184" i="57"/>
  <c r="I185" i="57"/>
  <c r="I186" i="57"/>
  <c r="I25" i="57"/>
  <c r="B24" i="67" s="1" a="1"/>
  <c r="B24" i="67" s="1"/>
  <c r="I26" i="57"/>
  <c r="I70" i="57"/>
  <c r="I72" i="57"/>
  <c r="I459" i="57"/>
  <c r="I462" i="57"/>
  <c r="I460" i="57"/>
  <c r="I463" i="57"/>
  <c r="I230" i="57"/>
  <c r="I187" i="57"/>
  <c r="I188" i="57"/>
  <c r="I74" i="57"/>
  <c r="I76" i="57"/>
  <c r="I197" i="57"/>
  <c r="I200" i="57"/>
  <c r="I202" i="57"/>
  <c r="I190" i="57"/>
  <c r="I194" i="57"/>
  <c r="I192" i="57"/>
  <c r="I195" i="57"/>
  <c r="I193" i="57"/>
  <c r="I196" i="57"/>
  <c r="I385" i="57"/>
  <c r="I386" i="57"/>
  <c r="I245" i="57"/>
  <c r="I61" i="57"/>
  <c r="I73" i="57"/>
  <c r="I77" i="57"/>
  <c r="I80" i="57"/>
  <c r="I366" i="57"/>
  <c r="I231" i="57"/>
  <c r="I233" i="57"/>
  <c r="I232" i="57"/>
  <c r="I234" i="57"/>
  <c r="I271" i="57"/>
  <c r="I431" i="57"/>
  <c r="I435" i="57"/>
  <c r="I432" i="57"/>
  <c r="I436" i="57"/>
  <c r="I286" i="57"/>
  <c r="B56" i="67" s="1" a="1"/>
  <c r="B56" i="67" s="1"/>
  <c r="I287" i="57"/>
  <c r="I237" i="57"/>
  <c r="I235" i="57"/>
  <c r="B25" i="67" s="1" a="1"/>
  <c r="B25" i="67" s="1"/>
  <c r="I236" i="57"/>
  <c r="I238" i="57"/>
  <c r="I239" i="57"/>
  <c r="I330" i="57"/>
  <c r="B26" i="67" s="1" a="1"/>
  <c r="B26" i="67" s="1"/>
  <c r="I332" i="57"/>
  <c r="I465" i="57"/>
  <c r="I467" i="57"/>
  <c r="I466" i="57"/>
  <c r="I468" i="57"/>
  <c r="I387" i="57"/>
  <c r="I248" i="57"/>
  <c r="I246" i="57"/>
  <c r="I247" i="57"/>
  <c r="I477" i="57"/>
  <c r="I478" i="57"/>
  <c r="I298" i="57"/>
  <c r="I300" i="57"/>
  <c r="I302" i="57"/>
  <c r="I303" i="57"/>
  <c r="I304" i="57"/>
  <c r="I305" i="57"/>
  <c r="I299" i="57"/>
  <c r="I301" i="57"/>
  <c r="I306" i="57"/>
  <c r="I307" i="57"/>
  <c r="I308" i="57"/>
  <c r="I388" i="57"/>
  <c r="I389" i="57"/>
  <c r="I334" i="57"/>
  <c r="B33" i="67" s="1" a="1"/>
  <c r="B33" i="67" s="1"/>
  <c r="I339" i="57"/>
  <c r="B34" i="67" s="1" a="1"/>
  <c r="B34" i="67" s="1"/>
  <c r="I338" i="57"/>
  <c r="I341" i="57"/>
  <c r="I333" i="57"/>
  <c r="I337" i="57"/>
  <c r="I340" i="57"/>
  <c r="I256" i="57"/>
  <c r="I254" i="57"/>
  <c r="I336" i="57"/>
  <c r="I312" i="57"/>
  <c r="I313" i="57"/>
  <c r="I135" i="57"/>
  <c r="I136" i="57"/>
  <c r="I288" i="57"/>
  <c r="I289" i="57"/>
  <c r="I241" i="57"/>
  <c r="I243" i="57"/>
  <c r="I253" i="57"/>
  <c r="B35" i="67" s="1" a="1"/>
  <c r="B35" i="67" s="1"/>
  <c r="I314" i="57"/>
  <c r="I255" i="57"/>
  <c r="I257" i="57"/>
  <c r="I316" i="57"/>
  <c r="I318" i="57"/>
  <c r="I320" i="57"/>
  <c r="I317" i="57"/>
  <c r="I319" i="57"/>
  <c r="I258" i="57"/>
  <c r="I27" i="57"/>
  <c r="I29" i="57"/>
  <c r="I28" i="57"/>
  <c r="M28" i="57" s="1"/>
  <c r="I30" i="57"/>
  <c r="M30" i="57" s="1"/>
  <c r="I362" i="57"/>
  <c r="I363" i="57"/>
  <c r="I364" i="57"/>
  <c r="I365" i="57"/>
  <c r="I367" i="57"/>
  <c r="I368" i="57"/>
  <c r="I370" i="57"/>
  <c r="I372" i="57"/>
  <c r="I369" i="57"/>
  <c r="I371" i="57"/>
  <c r="I79" i="57"/>
  <c r="I373" i="57"/>
  <c r="I374" i="57"/>
  <c r="I375" i="57"/>
  <c r="I376" i="57"/>
  <c r="I377" i="57"/>
  <c r="I378" i="57"/>
  <c r="I379" i="57"/>
  <c r="I380" i="57"/>
  <c r="I396" i="57"/>
  <c r="I397" i="57"/>
  <c r="I264" i="57"/>
  <c r="B37" i="67" s="1" a="1"/>
  <c r="B37" i="67" s="1"/>
  <c r="I266" i="57"/>
  <c r="I404" i="57"/>
  <c r="I405" i="57"/>
  <c r="I259" i="57"/>
  <c r="I265" i="57"/>
  <c r="I189" i="57"/>
  <c r="I260" i="57"/>
  <c r="I406" i="57"/>
  <c r="I214" i="57"/>
  <c r="I215" i="57"/>
  <c r="I282" i="57"/>
  <c r="Q282" i="57" s="1"/>
  <c r="I283" i="57"/>
  <c r="Q283" i="57" s="1"/>
  <c r="I284" i="57"/>
  <c r="I285" i="57"/>
  <c r="I218" i="57"/>
  <c r="I219" i="57"/>
  <c r="I224" i="57"/>
  <c r="I225" i="57"/>
  <c r="I407" i="57"/>
  <c r="I408" i="57"/>
  <c r="I409" i="57"/>
  <c r="I411" i="57"/>
  <c r="B58" i="67" s="1" a="1"/>
  <c r="B58" i="67" s="1"/>
  <c r="I410" i="57"/>
  <c r="I412" i="57"/>
  <c r="I413" i="57"/>
  <c r="I414" i="57"/>
  <c r="I415" i="57"/>
  <c r="B38" i="67" s="1" a="1"/>
  <c r="B38" i="67" s="1"/>
  <c r="I416" i="57"/>
  <c r="I417" i="57"/>
  <c r="I419" i="57"/>
  <c r="I421" i="57"/>
  <c r="I422" i="57"/>
  <c r="I418" i="57"/>
  <c r="I420" i="57"/>
  <c r="I433" i="57"/>
  <c r="I13" i="57"/>
  <c r="I14" i="57"/>
  <c r="I15" i="57"/>
  <c r="I423" i="57"/>
  <c r="I425" i="57"/>
  <c r="I427" i="57"/>
  <c r="I429" i="57"/>
  <c r="I428" i="57"/>
  <c r="I430" i="57"/>
  <c r="I434" i="57"/>
  <c r="I437" i="57"/>
  <c r="I424" i="57"/>
  <c r="I426" i="57"/>
  <c r="I438" i="57"/>
  <c r="I440" i="57"/>
  <c r="I439" i="57"/>
  <c r="I441" i="57"/>
  <c r="I442" i="57"/>
  <c r="B41" i="67" s="1" a="1"/>
  <c r="B41" i="67" s="1"/>
  <c r="I443" i="57"/>
  <c r="I445" i="57"/>
  <c r="I447" i="57"/>
  <c r="I444" i="57"/>
  <c r="I446" i="57"/>
  <c r="I267" i="57"/>
  <c r="I448" i="57"/>
  <c r="I450" i="57"/>
  <c r="I449" i="57"/>
  <c r="I451" i="57"/>
  <c r="I268" i="57"/>
  <c r="I452" i="57"/>
  <c r="I453" i="57"/>
  <c r="I454" i="57"/>
  <c r="I456" i="57"/>
  <c r="I390" i="57"/>
  <c r="I391" i="57"/>
  <c r="I457" i="57"/>
  <c r="I458" i="57"/>
  <c r="I455" i="57"/>
  <c r="I469" i="57"/>
  <c r="B43" i="67" s="1" a="1"/>
  <c r="B43" i="67" s="1"/>
  <c r="I471" i="57"/>
  <c r="I470" i="57"/>
  <c r="I472" i="57"/>
  <c r="I392" i="57"/>
  <c r="I393" i="57"/>
  <c r="I479" i="57"/>
  <c r="I394" i="57"/>
  <c r="I395" i="57"/>
  <c r="I140" i="57"/>
  <c r="I141" i="57"/>
  <c r="I142" i="57"/>
  <c r="I143" i="57"/>
  <c r="I482" i="57"/>
  <c r="I484" i="57"/>
  <c r="I486" i="57"/>
  <c r="I487" i="57"/>
  <c r="I488" i="57"/>
  <c r="I483" i="57"/>
  <c r="I485" i="57"/>
  <c r="I31" i="57"/>
  <c r="I32" i="57"/>
  <c r="I290" i="57"/>
  <c r="I291" i="57"/>
  <c r="B57" i="67" s="1" a="1"/>
  <c r="B57" i="67" s="1"/>
  <c r="I489" i="57"/>
  <c r="I490" i="57"/>
  <c r="I491" i="57"/>
  <c r="I492" i="57"/>
  <c r="I493" i="57"/>
  <c r="I494" i="57"/>
  <c r="I495" i="57"/>
  <c r="I250" i="57"/>
  <c r="I252" i="57"/>
  <c r="I269" i="57"/>
  <c r="I270" i="57"/>
  <c r="I249" i="57"/>
  <c r="I251" i="57"/>
  <c r="I311" i="57"/>
  <c r="I315" i="57"/>
  <c r="I399" i="57"/>
  <c r="M399" i="57" s="1"/>
  <c r="I310" i="57"/>
  <c r="M310" i="57" s="1"/>
  <c r="I40" i="57"/>
  <c r="M40" i="57" s="1"/>
  <c r="I4" i="57"/>
  <c r="M4" i="57" s="1"/>
  <c r="I88" i="57"/>
  <c r="M88" i="57" s="1"/>
  <c r="I403" i="57"/>
  <c r="M403" i="57" s="1"/>
  <c r="M148" i="57"/>
  <c r="I124" i="57"/>
  <c r="M124" i="57" s="1"/>
  <c r="I401" i="57"/>
  <c r="M401" i="57" s="1"/>
  <c r="I481" i="57"/>
  <c r="M481" i="57" s="1"/>
  <c r="I223" i="57"/>
  <c r="M223" i="57" s="1"/>
  <c r="I45" i="57"/>
  <c r="M45" i="57" s="1"/>
  <c r="I295" i="57"/>
  <c r="I221" i="57"/>
  <c r="M221" i="57" s="1"/>
  <c r="I209" i="57"/>
  <c r="M209" i="57" s="1"/>
  <c r="I207" i="57"/>
  <c r="M207" i="57" s="1"/>
  <c r="I205" i="57"/>
  <c r="M205" i="57" s="1"/>
  <c r="I208" i="57"/>
  <c r="B61" i="67" s="1" a="1"/>
  <c r="B61" i="67" s="1"/>
  <c r="I261" i="57"/>
  <c r="M261" i="57" s="1"/>
  <c r="I263" i="57"/>
  <c r="I262" i="57"/>
  <c r="M262" i="57" s="1"/>
  <c r="K399" i="57"/>
  <c r="Q399" i="57" s="1"/>
  <c r="K310" i="57"/>
  <c r="K40" i="57"/>
  <c r="K4" i="57"/>
  <c r="K88" i="57"/>
  <c r="K403" i="57"/>
  <c r="K148" i="57"/>
  <c r="Q148" i="57" s="1"/>
  <c r="K124" i="57"/>
  <c r="Q124" i="57" s="1"/>
  <c r="K401" i="57"/>
  <c r="K481" i="57"/>
  <c r="K223" i="57"/>
  <c r="K45" i="57"/>
  <c r="Q45" i="57" s="1"/>
  <c r="K295" i="57"/>
  <c r="Q295" i="57" s="1"/>
  <c r="K221" i="57"/>
  <c r="K275" i="57"/>
  <c r="Q275" i="57" s="1"/>
  <c r="K274" i="57"/>
  <c r="K277" i="57"/>
  <c r="Q277" i="57" s="1"/>
  <c r="K11" i="57"/>
  <c r="Q11" i="57" s="1"/>
  <c r="K9" i="57"/>
  <c r="Q9" i="57" s="1"/>
  <c r="K10" i="57"/>
  <c r="Q10" i="57" s="1"/>
  <c r="K210" i="57"/>
  <c r="Q210" i="57" s="1"/>
  <c r="K211" i="57"/>
  <c r="Q211" i="57" s="1"/>
  <c r="K16" i="57"/>
  <c r="Q16" i="57" s="1"/>
  <c r="K49" i="57"/>
  <c r="Q49" i="57" s="1"/>
  <c r="K51" i="57"/>
  <c r="Q51" i="57" s="1"/>
  <c r="K17" i="57"/>
  <c r="Q17" i="57" s="1"/>
  <c r="K191" i="57"/>
  <c r="Q191" i="57" s="1"/>
  <c r="K198" i="57"/>
  <c r="K199" i="57"/>
  <c r="Q199" i="57" s="1"/>
  <c r="K18" i="57"/>
  <c r="Q18" i="57" s="1"/>
  <c r="K19" i="57"/>
  <c r="Q19" i="57" s="1"/>
  <c r="K20" i="57"/>
  <c r="Q20" i="57" s="1"/>
  <c r="K22" i="57"/>
  <c r="Q22" i="57" s="1"/>
  <c r="K24" i="57"/>
  <c r="Q24" i="57" s="1"/>
  <c r="K21" i="57"/>
  <c r="Q21" i="57" s="1"/>
  <c r="K23" i="57"/>
  <c r="Q23" i="57" s="1"/>
  <c r="K33" i="57"/>
  <c r="Q33" i="57" s="1"/>
  <c r="K278" i="57"/>
  <c r="Q278" i="57" s="1"/>
  <c r="K279" i="57"/>
  <c r="Q279" i="57" s="1"/>
  <c r="K34" i="57"/>
  <c r="Q34" i="57" s="1"/>
  <c r="K35" i="57"/>
  <c r="Q35" i="57" s="1"/>
  <c r="K212" i="57"/>
  <c r="Q212" i="57" s="1"/>
  <c r="K213" i="57"/>
  <c r="Q213" i="57" s="1"/>
  <c r="K46" i="57"/>
  <c r="Q46" i="57" s="1"/>
  <c r="K47" i="57"/>
  <c r="Q47" i="57" s="1"/>
  <c r="K48" i="57"/>
  <c r="Q48" i="57" s="1"/>
  <c r="K50" i="57"/>
  <c r="Q50" i="57" s="1"/>
  <c r="K52" i="57"/>
  <c r="Q52" i="57" s="1"/>
  <c r="K53" i="57"/>
  <c r="Q53" i="57" s="1"/>
  <c r="K54" i="57"/>
  <c r="Q54" i="57" s="1"/>
  <c r="K55" i="57"/>
  <c r="Q55" i="57" s="1"/>
  <c r="K56" i="57"/>
  <c r="K57" i="57"/>
  <c r="Q57" i="57" s="1"/>
  <c r="K58" i="57"/>
  <c r="Q58" i="57" s="1"/>
  <c r="K59" i="57"/>
  <c r="Q59" i="57" s="1"/>
  <c r="K60" i="57"/>
  <c r="Q60" i="57" s="1"/>
  <c r="K62" i="57"/>
  <c r="Q62" i="57" s="1"/>
  <c r="K64" i="57"/>
  <c r="Q64" i="57" s="1"/>
  <c r="K66" i="57"/>
  <c r="Q66" i="57" s="1"/>
  <c r="K67" i="57"/>
  <c r="Q67" i="57" s="1"/>
  <c r="K68" i="57"/>
  <c r="Q68" i="57" s="1"/>
  <c r="K69" i="57"/>
  <c r="Q69" i="57" s="1"/>
  <c r="K63" i="57"/>
  <c r="Q63" i="57" s="1"/>
  <c r="K65" i="57"/>
  <c r="K71" i="57"/>
  <c r="Q71" i="57" s="1"/>
  <c r="K75" i="57"/>
  <c r="Q75" i="57" s="1"/>
  <c r="K78" i="57"/>
  <c r="Q78" i="57" s="1"/>
  <c r="K81" i="57"/>
  <c r="Q81" i="57" s="1"/>
  <c r="K82" i="57"/>
  <c r="Q82" i="57" s="1"/>
  <c r="K209" i="57"/>
  <c r="K207" i="57"/>
  <c r="K206" i="57"/>
  <c r="Q206" i="57" s="1"/>
  <c r="K204" i="57"/>
  <c r="Q204" i="57" s="1"/>
  <c r="K203" i="57"/>
  <c r="Q203" i="57" s="1"/>
  <c r="K321" i="57"/>
  <c r="Q321" i="57" s="1"/>
  <c r="K323" i="57"/>
  <c r="Q323" i="57" s="1"/>
  <c r="K205" i="57"/>
  <c r="K325" i="57"/>
  <c r="Q325" i="57" s="1"/>
  <c r="K327" i="57"/>
  <c r="Q327" i="57" s="1"/>
  <c r="K208" i="57"/>
  <c r="K83" i="57"/>
  <c r="Q83" i="57" s="1"/>
  <c r="K84" i="57"/>
  <c r="Q84" i="57" s="1"/>
  <c r="K85" i="57"/>
  <c r="K86" i="57"/>
  <c r="Q86" i="57" s="1"/>
  <c r="K280" i="57"/>
  <c r="Q280" i="57" s="1"/>
  <c r="K281" i="57"/>
  <c r="Q281" i="57" s="1"/>
  <c r="K89" i="57"/>
  <c r="K90" i="57"/>
  <c r="Q90" i="57" s="1"/>
  <c r="K91" i="57"/>
  <c r="Q91" i="57" s="1"/>
  <c r="K92" i="57"/>
  <c r="Q92" i="57" s="1"/>
  <c r="K93" i="57"/>
  <c r="Q93" i="57" s="1"/>
  <c r="K94" i="57"/>
  <c r="Q94" i="57" s="1"/>
  <c r="K95" i="57"/>
  <c r="Q95" i="57" s="1"/>
  <c r="K96" i="57"/>
  <c r="Q96" i="57" s="1"/>
  <c r="K97" i="57"/>
  <c r="K98" i="57"/>
  <c r="Q98" i="57" s="1"/>
  <c r="K99" i="57"/>
  <c r="Q99" i="57" s="1"/>
  <c r="K100" i="57"/>
  <c r="Q100" i="57" s="1"/>
  <c r="K101" i="57"/>
  <c r="K102" i="57"/>
  <c r="Q102" i="57" s="1"/>
  <c r="K103" i="57"/>
  <c r="Q103" i="57" s="1"/>
  <c r="K104" i="57"/>
  <c r="Q104" i="57" s="1"/>
  <c r="K105" i="57"/>
  <c r="Q105" i="57" s="1"/>
  <c r="K106" i="57"/>
  <c r="Q106" i="57" s="1"/>
  <c r="K112" i="57"/>
  <c r="Q112" i="57" s="1"/>
  <c r="K107" i="57"/>
  <c r="Q107" i="57" s="1"/>
  <c r="K108" i="57"/>
  <c r="K109" i="57"/>
  <c r="Q109" i="57" s="1"/>
  <c r="K110" i="57"/>
  <c r="Q110" i="57" s="1"/>
  <c r="K114" i="57"/>
  <c r="Q114" i="57" s="1"/>
  <c r="K111" i="57"/>
  <c r="K115" i="57"/>
  <c r="Q115" i="57" s="1"/>
  <c r="K113" i="57"/>
  <c r="Q113" i="57" s="1"/>
  <c r="K116" i="57"/>
  <c r="Q116" i="57" s="1"/>
  <c r="K117" i="57"/>
  <c r="Q117" i="57" s="1"/>
  <c r="K119" i="57"/>
  <c r="Q119" i="57" s="1"/>
  <c r="K118" i="57"/>
  <c r="Q118" i="57" s="1"/>
  <c r="K120" i="57"/>
  <c r="Q120" i="57" s="1"/>
  <c r="K121" i="57"/>
  <c r="K122" i="57"/>
  <c r="Q122" i="57" s="1"/>
  <c r="K177" i="57"/>
  <c r="Q177" i="57" s="1"/>
  <c r="K226" i="57"/>
  <c r="Q226" i="57" s="1"/>
  <c r="K125" i="57"/>
  <c r="K126" i="57"/>
  <c r="Q126" i="57" s="1"/>
  <c r="K127" i="57"/>
  <c r="Q127" i="57" s="1"/>
  <c r="K128" i="57"/>
  <c r="Q128" i="57" s="1"/>
  <c r="K129" i="57"/>
  <c r="Q129" i="57" s="1"/>
  <c r="K131" i="57"/>
  <c r="Q131" i="57" s="1"/>
  <c r="K130" i="57"/>
  <c r="Q130" i="57" s="1"/>
  <c r="K132" i="57"/>
  <c r="Q132" i="57" s="1"/>
  <c r="K133" i="57"/>
  <c r="K381" i="57"/>
  <c r="Q381" i="57" s="1"/>
  <c r="K382" i="57"/>
  <c r="Q382" i="57" s="1"/>
  <c r="K134" i="57"/>
  <c r="Q134" i="57" s="1"/>
  <c r="K137" i="57"/>
  <c r="K138" i="57"/>
  <c r="Q138" i="57" s="1"/>
  <c r="K139" i="57"/>
  <c r="Q139" i="57" s="1"/>
  <c r="K216" i="57"/>
  <c r="Q216" i="57" s="1"/>
  <c r="K217" i="57"/>
  <c r="Q217" i="57" s="1"/>
  <c r="K144" i="57"/>
  <c r="Q144" i="57" s="1"/>
  <c r="K145" i="57"/>
  <c r="Q145" i="57" s="1"/>
  <c r="K150" i="57"/>
  <c r="Q150" i="57" s="1"/>
  <c r="K244" i="57"/>
  <c r="Q244" i="57" s="1"/>
  <c r="K151" i="57"/>
  <c r="Q151" i="57" s="1"/>
  <c r="K152" i="57"/>
  <c r="Q152" i="57" s="1"/>
  <c r="K153" i="57"/>
  <c r="Q153" i="57" s="1"/>
  <c r="K154" i="57"/>
  <c r="Q154" i="57" s="1"/>
  <c r="K155" i="57"/>
  <c r="Q155" i="57" s="1"/>
  <c r="K156" i="57"/>
  <c r="Q156" i="57" s="1"/>
  <c r="K157" i="57"/>
  <c r="Q157" i="57" s="1"/>
  <c r="K158" i="57"/>
  <c r="Q158" i="57" s="1"/>
  <c r="K159" i="57"/>
  <c r="Q159" i="57" s="1"/>
  <c r="K160" i="57"/>
  <c r="Q160" i="57" s="1"/>
  <c r="K161" i="57"/>
  <c r="K162" i="57"/>
  <c r="K166" i="57"/>
  <c r="Q166" i="57" s="1"/>
  <c r="K167" i="57"/>
  <c r="Q167" i="57" s="1"/>
  <c r="K168" i="57"/>
  <c r="K169" i="57"/>
  <c r="Q169" i="57" s="1"/>
  <c r="K170" i="57"/>
  <c r="Q170" i="57" s="1"/>
  <c r="K171" i="57"/>
  <c r="Q171" i="57" s="1"/>
  <c r="K172" i="57"/>
  <c r="Q172" i="57" s="1"/>
  <c r="K173" i="57"/>
  <c r="Q173" i="57" s="1"/>
  <c r="K163" i="57"/>
  <c r="Q163" i="57" s="1"/>
  <c r="K164" i="57"/>
  <c r="Q164" i="57" s="1"/>
  <c r="K165" i="57"/>
  <c r="K174" i="57"/>
  <c r="K175" i="57"/>
  <c r="Q175" i="57" s="1"/>
  <c r="K176" i="57"/>
  <c r="Q176" i="57" s="1"/>
  <c r="K178" i="57"/>
  <c r="K179" i="57"/>
  <c r="Q179" i="57" s="1"/>
  <c r="K383" i="57"/>
  <c r="Q383" i="57" s="1"/>
  <c r="K384" i="57"/>
  <c r="Q384" i="57" s="1"/>
  <c r="K229" i="57"/>
  <c r="Q229" i="57" s="1"/>
  <c r="K473" i="57"/>
  <c r="Q473" i="57" s="1"/>
  <c r="K475" i="57"/>
  <c r="Q475" i="57" s="1"/>
  <c r="K474" i="57"/>
  <c r="Q474" i="57" s="1"/>
  <c r="K476" i="57"/>
  <c r="K180" i="57"/>
  <c r="K181" i="57"/>
  <c r="Q181" i="57" s="1"/>
  <c r="K227" i="57"/>
  <c r="Q227" i="57" s="1"/>
  <c r="K228" i="57"/>
  <c r="K12" i="57"/>
  <c r="Q12" i="57" s="1"/>
  <c r="K182" i="57"/>
  <c r="Q182" i="57" s="1"/>
  <c r="K183" i="57"/>
  <c r="Q183" i="57" s="1"/>
  <c r="K184" i="57"/>
  <c r="Q184" i="57" s="1"/>
  <c r="K185" i="57"/>
  <c r="Q185" i="57" s="1"/>
  <c r="K186" i="57"/>
  <c r="Q186" i="57" s="1"/>
  <c r="K25" i="57"/>
  <c r="Q25" i="57" s="1"/>
  <c r="K26" i="57"/>
  <c r="K70" i="57"/>
  <c r="K72" i="57"/>
  <c r="Q72" i="57" s="1"/>
  <c r="K459" i="57"/>
  <c r="Q459" i="57" s="1"/>
  <c r="K462" i="57"/>
  <c r="K460" i="57"/>
  <c r="Q460" i="57" s="1"/>
  <c r="K463" i="57"/>
  <c r="Q463" i="57" s="1"/>
  <c r="K230" i="57"/>
  <c r="Q230" i="57" s="1"/>
  <c r="K187" i="57"/>
  <c r="Q187" i="57" s="1"/>
  <c r="K188" i="57"/>
  <c r="Q188" i="57" s="1"/>
  <c r="K74" i="57"/>
  <c r="Q74" i="57" s="1"/>
  <c r="K76" i="57"/>
  <c r="Q76" i="57" s="1"/>
  <c r="K197" i="57"/>
  <c r="K200" i="57"/>
  <c r="K202" i="57"/>
  <c r="Q202" i="57" s="1"/>
  <c r="K190" i="57"/>
  <c r="Q190" i="57" s="1"/>
  <c r="K194" i="57"/>
  <c r="K192" i="57"/>
  <c r="Q192" i="57" s="1"/>
  <c r="K195" i="57"/>
  <c r="Q195" i="57" s="1"/>
  <c r="K193" i="57"/>
  <c r="Q193" i="57" s="1"/>
  <c r="K196" i="57"/>
  <c r="Q196" i="57" s="1"/>
  <c r="K385" i="57"/>
  <c r="Q385" i="57" s="1"/>
  <c r="K386" i="57"/>
  <c r="Q386" i="57" s="1"/>
  <c r="K245" i="57"/>
  <c r="Q245" i="57" s="1"/>
  <c r="K73" i="57"/>
  <c r="K77" i="57"/>
  <c r="Q77" i="57" s="1"/>
  <c r="K80" i="57"/>
  <c r="Q80" i="57" s="1"/>
  <c r="K366" i="57"/>
  <c r="Q366" i="57" s="1"/>
  <c r="K231" i="57"/>
  <c r="Q231" i="57" s="1"/>
  <c r="K233" i="57"/>
  <c r="Q233" i="57" s="1"/>
  <c r="K232" i="57"/>
  <c r="Q232" i="57" s="1"/>
  <c r="K234" i="57"/>
  <c r="Q234" i="57" s="1"/>
  <c r="K271" i="57"/>
  <c r="Q271" i="57" s="1"/>
  <c r="K431" i="57"/>
  <c r="Q431" i="57" s="1"/>
  <c r="K435" i="57"/>
  <c r="Q435" i="57" s="1"/>
  <c r="K432" i="57"/>
  <c r="Q432" i="57" s="1"/>
  <c r="K436" i="57"/>
  <c r="K286" i="57"/>
  <c r="Q286" i="57" s="1"/>
  <c r="K287" i="57"/>
  <c r="Q287" i="57" s="1"/>
  <c r="K237" i="57"/>
  <c r="Q237" i="57" s="1"/>
  <c r="K235" i="57"/>
  <c r="Q235" i="57" s="1"/>
  <c r="K236" i="57"/>
  <c r="Q236" i="57" s="1"/>
  <c r="K238" i="57"/>
  <c r="Q238" i="57" s="1"/>
  <c r="K239" i="57"/>
  <c r="Q239" i="57" s="1"/>
  <c r="K330" i="57"/>
  <c r="Q330" i="57" s="1"/>
  <c r="K332" i="57"/>
  <c r="Q332" i="57" s="1"/>
  <c r="K465" i="57"/>
  <c r="Q465" i="57" s="1"/>
  <c r="K467" i="57"/>
  <c r="Q467" i="57" s="1"/>
  <c r="K466" i="57"/>
  <c r="K468" i="57"/>
  <c r="Q468" i="57" s="1"/>
  <c r="K387" i="57"/>
  <c r="Q387" i="57" s="1"/>
  <c r="K248" i="57"/>
  <c r="Q248" i="57" s="1"/>
  <c r="K246" i="57"/>
  <c r="Q246" i="57" s="1"/>
  <c r="K247" i="57"/>
  <c r="Q247" i="57" s="1"/>
  <c r="K477" i="57"/>
  <c r="Q477" i="57" s="1"/>
  <c r="K478" i="57"/>
  <c r="Q478" i="57" s="1"/>
  <c r="K298" i="57"/>
  <c r="Q298" i="57" s="1"/>
  <c r="K300" i="57"/>
  <c r="Q300" i="57" s="1"/>
  <c r="K302" i="57"/>
  <c r="Q302" i="57" s="1"/>
  <c r="K303" i="57"/>
  <c r="Q303" i="57" s="1"/>
  <c r="K304" i="57"/>
  <c r="K305" i="57"/>
  <c r="Q305" i="57" s="1"/>
  <c r="K299" i="57"/>
  <c r="Q299" i="57" s="1"/>
  <c r="K301" i="57"/>
  <c r="Q301" i="57" s="1"/>
  <c r="K306" i="57"/>
  <c r="Q306" i="57" s="1"/>
  <c r="K307" i="57"/>
  <c r="Q307" i="57" s="1"/>
  <c r="K308" i="57"/>
  <c r="Q308" i="57" s="1"/>
  <c r="K388" i="57"/>
  <c r="Q388" i="57" s="1"/>
  <c r="K389" i="57"/>
  <c r="Q389" i="57" s="1"/>
  <c r="K334" i="57"/>
  <c r="Q334" i="57" s="1"/>
  <c r="K339" i="57"/>
  <c r="Q339" i="57" s="1"/>
  <c r="K338" i="57"/>
  <c r="Q338" i="57" s="1"/>
  <c r="K341" i="57"/>
  <c r="K333" i="57"/>
  <c r="Q333" i="57" s="1"/>
  <c r="K337" i="57"/>
  <c r="Q337" i="57" s="1"/>
  <c r="K340" i="57"/>
  <c r="Q340" i="57" s="1"/>
  <c r="K256" i="57"/>
  <c r="Q256" i="57" s="1"/>
  <c r="K254" i="57"/>
  <c r="Q254" i="57" s="1"/>
  <c r="K336" i="57"/>
  <c r="Q336" i="57" s="1"/>
  <c r="K312" i="57"/>
  <c r="Q312" i="57" s="1"/>
  <c r="K313" i="57"/>
  <c r="Q313" i="57" s="1"/>
  <c r="K135" i="57"/>
  <c r="Q135" i="57" s="1"/>
  <c r="K136" i="57"/>
  <c r="Q136" i="57" s="1"/>
  <c r="K288" i="57"/>
  <c r="Q288" i="57" s="1"/>
  <c r="K289" i="57"/>
  <c r="K241" i="57"/>
  <c r="Q241" i="57" s="1"/>
  <c r="K243" i="57"/>
  <c r="Q243" i="57" s="1"/>
  <c r="K253" i="57"/>
  <c r="Q253" i="57" s="1"/>
  <c r="K314" i="57"/>
  <c r="Q314" i="57" s="1"/>
  <c r="K255" i="57"/>
  <c r="Q255" i="57" s="1"/>
  <c r="K257" i="57"/>
  <c r="Q257" i="57" s="1"/>
  <c r="K316" i="57"/>
  <c r="Q316" i="57" s="1"/>
  <c r="K318" i="57"/>
  <c r="Q318" i="57" s="1"/>
  <c r="K320" i="57"/>
  <c r="Q320" i="57" s="1"/>
  <c r="K317" i="57"/>
  <c r="Q317" i="57" s="1"/>
  <c r="K319" i="57"/>
  <c r="Q319" i="57" s="1"/>
  <c r="K258" i="57"/>
  <c r="K27" i="57"/>
  <c r="Q27" i="57" s="1"/>
  <c r="K29" i="57"/>
  <c r="Q29" i="57" s="1"/>
  <c r="K28" i="57"/>
  <c r="Q28" i="57" s="1"/>
  <c r="K30" i="57"/>
  <c r="Q30" i="57" s="1"/>
  <c r="K261" i="57"/>
  <c r="K362" i="57"/>
  <c r="Q362" i="57" s="1"/>
  <c r="K363" i="57"/>
  <c r="Q363" i="57" s="1"/>
  <c r="K364" i="57"/>
  <c r="Q364" i="57" s="1"/>
  <c r="K365" i="57"/>
  <c r="Q365" i="57" s="1"/>
  <c r="K263" i="57"/>
  <c r="Q263" i="57" s="1"/>
  <c r="K367" i="57"/>
  <c r="Q367" i="57" s="1"/>
  <c r="K368" i="57"/>
  <c r="K370" i="57"/>
  <c r="K372" i="57"/>
  <c r="Q372" i="57" s="1"/>
  <c r="K369" i="57"/>
  <c r="Q369" i="57" s="1"/>
  <c r="K371" i="57"/>
  <c r="Q371" i="57" s="1"/>
  <c r="K79" i="57"/>
  <c r="K373" i="57"/>
  <c r="K374" i="57"/>
  <c r="Q374" i="57" s="1"/>
  <c r="K375" i="57"/>
  <c r="Q375" i="57" s="1"/>
  <c r="K376" i="57"/>
  <c r="Q376" i="57" s="1"/>
  <c r="K377" i="57"/>
  <c r="Q377" i="57" s="1"/>
  <c r="K378" i="57"/>
  <c r="Q378" i="57" s="1"/>
  <c r="K379" i="57"/>
  <c r="K380" i="57"/>
  <c r="K396" i="57"/>
  <c r="Q396" i="57" s="1"/>
  <c r="K397" i="57"/>
  <c r="Q397" i="57" s="1"/>
  <c r="K264" i="57"/>
  <c r="Q264" i="57" s="1"/>
  <c r="K266" i="57"/>
  <c r="K404" i="57"/>
  <c r="K405" i="57"/>
  <c r="Q405" i="57" s="1"/>
  <c r="K259" i="57"/>
  <c r="Q259" i="57" s="1"/>
  <c r="K265" i="57"/>
  <c r="Q265" i="57" s="1"/>
  <c r="K189" i="57"/>
  <c r="Q189" i="57" s="1"/>
  <c r="K260" i="57"/>
  <c r="Q260" i="57" s="1"/>
  <c r="K262" i="57"/>
  <c r="K406" i="57"/>
  <c r="K214" i="57"/>
  <c r="K215" i="57"/>
  <c r="Q215" i="57" s="1"/>
  <c r="K284" i="57"/>
  <c r="K285" i="57"/>
  <c r="K218" i="57"/>
  <c r="Q218" i="57" s="1"/>
  <c r="K219" i="57"/>
  <c r="Q219" i="57" s="1"/>
  <c r="K225" i="57"/>
  <c r="Q225" i="57" s="1"/>
  <c r="K407" i="57"/>
  <c r="Q407" i="57" s="1"/>
  <c r="K408" i="57"/>
  <c r="Q408" i="57" s="1"/>
  <c r="K409" i="57"/>
  <c r="Q409" i="57" s="1"/>
  <c r="K411" i="57"/>
  <c r="K410" i="57"/>
  <c r="Q410" i="57" s="1"/>
  <c r="K412" i="57"/>
  <c r="Q412" i="57" s="1"/>
  <c r="K413" i="57"/>
  <c r="Q413" i="57" s="1"/>
  <c r="K414" i="57"/>
  <c r="Q414" i="57" s="1"/>
  <c r="K415" i="57"/>
  <c r="Q415" i="57" s="1"/>
  <c r="K416" i="57"/>
  <c r="Q416" i="57" s="1"/>
  <c r="K417" i="57"/>
  <c r="Q417" i="57" s="1"/>
  <c r="K419" i="57"/>
  <c r="Q419" i="57" s="1"/>
  <c r="K421" i="57"/>
  <c r="Q421" i="57" s="1"/>
  <c r="K422" i="57"/>
  <c r="Q422" i="57" s="1"/>
  <c r="K418" i="57"/>
  <c r="Q418" i="57" s="1"/>
  <c r="K420" i="57"/>
  <c r="K433" i="57"/>
  <c r="Q433" i="57" s="1"/>
  <c r="K13" i="57"/>
  <c r="Q13" i="57" s="1"/>
  <c r="K14" i="57"/>
  <c r="Q14" i="57" s="1"/>
  <c r="K15" i="57"/>
  <c r="Q15" i="57" s="1"/>
  <c r="K423" i="57"/>
  <c r="K425" i="57"/>
  <c r="Q425" i="57" s="1"/>
  <c r="K427" i="57"/>
  <c r="Q427" i="57" s="1"/>
  <c r="K429" i="57"/>
  <c r="Q429" i="57" s="1"/>
  <c r="K428" i="57"/>
  <c r="Q428" i="57" s="1"/>
  <c r="K430" i="57"/>
  <c r="Q430" i="57" s="1"/>
  <c r="K434" i="57"/>
  <c r="Q434" i="57" s="1"/>
  <c r="K437" i="57"/>
  <c r="K424" i="57"/>
  <c r="Q424" i="57" s="1"/>
  <c r="K426" i="57"/>
  <c r="Q426" i="57" s="1"/>
  <c r="K438" i="57"/>
  <c r="Q438" i="57" s="1"/>
  <c r="K440" i="57"/>
  <c r="Q440" i="57" s="1"/>
  <c r="K439" i="57"/>
  <c r="K441" i="57"/>
  <c r="Q441" i="57" s="1"/>
  <c r="K442" i="57"/>
  <c r="Q442" i="57" s="1"/>
  <c r="K443" i="57"/>
  <c r="Q443" i="57" s="1"/>
  <c r="K445" i="57"/>
  <c r="Q445" i="57" s="1"/>
  <c r="K447" i="57"/>
  <c r="Q447" i="57" s="1"/>
  <c r="K444" i="57"/>
  <c r="Q444" i="57" s="1"/>
  <c r="K446" i="57"/>
  <c r="K267" i="57"/>
  <c r="Q267" i="57" s="1"/>
  <c r="K448" i="57"/>
  <c r="Q448" i="57" s="1"/>
  <c r="K450" i="57"/>
  <c r="Q450" i="57" s="1"/>
  <c r="K449" i="57"/>
  <c r="Q449" i="57" s="1"/>
  <c r="K451" i="57"/>
  <c r="K268" i="57"/>
  <c r="Q268" i="57" s="1"/>
  <c r="K452" i="57"/>
  <c r="Q452" i="57" s="1"/>
  <c r="K453" i="57"/>
  <c r="Q453" i="57" s="1"/>
  <c r="K454" i="57"/>
  <c r="Q454" i="57" s="1"/>
  <c r="K456" i="57"/>
  <c r="Q456" i="57" s="1"/>
  <c r="K390" i="57"/>
  <c r="Q390" i="57" s="1"/>
  <c r="K391" i="57"/>
  <c r="K457" i="57"/>
  <c r="Q457" i="57" s="1"/>
  <c r="K458" i="57"/>
  <c r="Q458" i="57" s="1"/>
  <c r="K455" i="57"/>
  <c r="Q455" i="57" s="1"/>
  <c r="K469" i="57"/>
  <c r="Q469" i="57" s="1"/>
  <c r="K471" i="57"/>
  <c r="K470" i="57"/>
  <c r="Q470" i="57" s="1"/>
  <c r="K472" i="57"/>
  <c r="Q472" i="57" s="1"/>
  <c r="K392" i="57"/>
  <c r="Q392" i="57" s="1"/>
  <c r="K393" i="57"/>
  <c r="Q393" i="57" s="1"/>
  <c r="K479" i="57"/>
  <c r="Q479" i="57" s="1"/>
  <c r="K394" i="57"/>
  <c r="Q394" i="57" s="1"/>
  <c r="K395" i="57"/>
  <c r="K140" i="57"/>
  <c r="Q140" i="57" s="1"/>
  <c r="K141" i="57"/>
  <c r="Q141" i="57" s="1"/>
  <c r="K142" i="57"/>
  <c r="Q142" i="57" s="1"/>
  <c r="K143" i="57"/>
  <c r="K482" i="57"/>
  <c r="K484" i="57"/>
  <c r="Q484" i="57" s="1"/>
  <c r="K486" i="57"/>
  <c r="Q486" i="57" s="1"/>
  <c r="K487" i="57"/>
  <c r="Q487" i="57" s="1"/>
  <c r="K488" i="57"/>
  <c r="Q488" i="57" s="1"/>
  <c r="K483" i="57"/>
  <c r="Q483" i="57" s="1"/>
  <c r="K485" i="57"/>
  <c r="Q485" i="57" s="1"/>
  <c r="K31" i="57"/>
  <c r="K32" i="57"/>
  <c r="Q32" i="57" s="1"/>
  <c r="K290" i="57"/>
  <c r="Q290" i="57" s="1"/>
  <c r="K291" i="57"/>
  <c r="Q291" i="57" s="1"/>
  <c r="K489" i="57"/>
  <c r="K490" i="57"/>
  <c r="K491" i="57"/>
  <c r="Q491" i="57" s="1"/>
  <c r="K492" i="57"/>
  <c r="Q492" i="57" s="1"/>
  <c r="K493" i="57"/>
  <c r="Q493" i="57" s="1"/>
  <c r="K494" i="57"/>
  <c r="Q494" i="57" s="1"/>
  <c r="K495" i="57"/>
  <c r="Q495" i="57" s="1"/>
  <c r="K250" i="57"/>
  <c r="Q250" i="57" s="1"/>
  <c r="K252" i="57"/>
  <c r="K269" i="57"/>
  <c r="Q269" i="57" s="1"/>
  <c r="K270" i="57"/>
  <c r="Q270" i="57" s="1"/>
  <c r="K249" i="57"/>
  <c r="Q249" i="57" s="1"/>
  <c r="K251" i="57"/>
  <c r="K272" i="57"/>
  <c r="Q272" i="57" s="1"/>
  <c r="L4" i="3"/>
  <c r="L7" i="3"/>
  <c r="L10" i="3"/>
  <c r="L13" i="3"/>
  <c r="L14" i="3"/>
  <c r="L21" i="3"/>
  <c r="L22" i="3"/>
  <c r="L24" i="3"/>
  <c r="L25" i="3"/>
  <c r="L27" i="3"/>
  <c r="L28" i="3"/>
  <c r="L29" i="3"/>
  <c r="L31" i="3"/>
  <c r="L32" i="3"/>
  <c r="L33" i="3"/>
  <c r="L34" i="3"/>
  <c r="L35" i="3"/>
  <c r="L36" i="3"/>
  <c r="L38" i="3"/>
  <c r="L39" i="3"/>
  <c r="L47" i="3"/>
  <c r="L49" i="3"/>
  <c r="L50" i="3"/>
  <c r="L51" i="3"/>
  <c r="L52" i="3"/>
  <c r="L53" i="3"/>
  <c r="L55" i="3"/>
  <c r="L56" i="3"/>
  <c r="L63" i="3"/>
  <c r="L64" i="3"/>
  <c r="L67" i="3"/>
  <c r="L69" i="3"/>
  <c r="L71" i="3"/>
  <c r="L72" i="3"/>
  <c r="L74" i="3"/>
  <c r="L77" i="3"/>
  <c r="L78" i="3"/>
  <c r="L82" i="3"/>
  <c r="L83" i="3"/>
  <c r="L84" i="3"/>
  <c r="L86" i="3"/>
  <c r="L87" i="3"/>
  <c r="L88" i="3"/>
  <c r="L90" i="3"/>
  <c r="L91" i="3"/>
  <c r="L92" i="3"/>
  <c r="L95" i="3"/>
  <c r="L97" i="3"/>
  <c r="L104" i="3"/>
  <c r="L105" i="3"/>
  <c r="L106" i="3"/>
  <c r="L109" i="3"/>
  <c r="L113" i="3"/>
  <c r="L114" i="3"/>
  <c r="L115" i="3"/>
  <c r="L116" i="3"/>
  <c r="L117" i="3"/>
  <c r="L118" i="3"/>
  <c r="L119" i="3"/>
  <c r="L121" i="3"/>
  <c r="L125" i="3"/>
  <c r="L129" i="3"/>
  <c r="L135" i="3"/>
  <c r="L136" i="3"/>
  <c r="L137" i="3"/>
  <c r="L138" i="3"/>
  <c r="L140" i="3"/>
  <c r="L141" i="3"/>
  <c r="L143" i="3"/>
  <c r="L144" i="3"/>
  <c r="L151" i="3"/>
  <c r="L152" i="3"/>
  <c r="L154" i="3"/>
  <c r="L156" i="3"/>
  <c r="L157" i="3"/>
  <c r="L158" i="3"/>
  <c r="L161" i="3"/>
  <c r="L163" i="3"/>
  <c r="L164" i="3"/>
  <c r="L167" i="3"/>
  <c r="L168" i="3"/>
  <c r="L170" i="3"/>
  <c r="L171" i="3"/>
  <c r="L172" i="3"/>
  <c r="L173" i="3"/>
  <c r="L186" i="3"/>
  <c r="L193" i="3"/>
  <c r="L194" i="3"/>
  <c r="L196" i="3"/>
  <c r="L197" i="3"/>
  <c r="L199" i="3"/>
  <c r="L200" i="3"/>
  <c r="L201" i="3"/>
  <c r="L202" i="3"/>
  <c r="L206" i="3"/>
  <c r="L209" i="3"/>
  <c r="L210" i="3"/>
  <c r="L212" i="3"/>
  <c r="L215" i="3"/>
  <c r="L216" i="3"/>
  <c r="L220" i="3"/>
  <c r="L222" i="3"/>
  <c r="L226" i="3"/>
  <c r="L231" i="3"/>
  <c r="L232" i="3"/>
  <c r="L233" i="3"/>
  <c r="L6" i="3"/>
  <c r="L9" i="3"/>
  <c r="L102" i="3"/>
  <c r="L159" i="3"/>
  <c r="L174" i="3"/>
  <c r="L195" i="3"/>
  <c r="L3" i="3"/>
  <c r="L8" i="3"/>
  <c r="L11" i="3"/>
  <c r="L12" i="3"/>
  <c r="L15" i="3"/>
  <c r="L16" i="3"/>
  <c r="L17" i="3"/>
  <c r="L23" i="3"/>
  <c r="L26" i="3"/>
  <c r="L30" i="3"/>
  <c r="L37" i="3"/>
  <c r="L40" i="3"/>
  <c r="L41" i="3"/>
  <c r="L42" i="3"/>
  <c r="L43" i="3"/>
  <c r="L45" i="3"/>
  <c r="L46" i="3"/>
  <c r="L48" i="3"/>
  <c r="L54" i="3"/>
  <c r="L57" i="3"/>
  <c r="L58" i="3"/>
  <c r="L59" i="3"/>
  <c r="L60" i="3"/>
  <c r="L61" i="3"/>
  <c r="L62" i="3"/>
  <c r="L65" i="3"/>
  <c r="L68" i="3"/>
  <c r="L70" i="3"/>
  <c r="L73" i="3"/>
  <c r="L79" i="3"/>
  <c r="L80" i="3"/>
  <c r="L81" i="3"/>
  <c r="L85" i="3"/>
  <c r="L89" i="3"/>
  <c r="L93" i="3"/>
  <c r="L94" i="3"/>
  <c r="L96" i="3"/>
  <c r="L98" i="3"/>
  <c r="L99" i="3"/>
  <c r="L100" i="3"/>
  <c r="L101" i="3"/>
  <c r="L103" i="3"/>
  <c r="L107" i="3"/>
  <c r="L108" i="3"/>
  <c r="L110" i="3"/>
  <c r="L111" i="3"/>
  <c r="L112" i="3"/>
  <c r="L120" i="3"/>
  <c r="L124" i="3"/>
  <c r="L123" i="3"/>
  <c r="L126" i="3"/>
  <c r="L127" i="3"/>
  <c r="L128" i="3"/>
  <c r="L130" i="3"/>
  <c r="L133" i="3"/>
  <c r="L134" i="3"/>
  <c r="L139" i="3"/>
  <c r="L142" i="3"/>
  <c r="L146" i="3"/>
  <c r="L148" i="3"/>
  <c r="L149" i="3"/>
  <c r="L150" i="3"/>
  <c r="L153" i="3"/>
  <c r="L155" i="3"/>
  <c r="L160" i="3"/>
  <c r="L162" i="3"/>
  <c r="L165" i="3"/>
  <c r="L166" i="3"/>
  <c r="L169" i="3"/>
  <c r="L176" i="3"/>
  <c r="L178" i="3"/>
  <c r="L179" i="3"/>
  <c r="L181" i="3"/>
  <c r="L182" i="3"/>
  <c r="L187" i="3"/>
  <c r="L188" i="3"/>
  <c r="L191" i="3"/>
  <c r="L189" i="3"/>
  <c r="L190" i="3"/>
  <c r="L192" i="3"/>
  <c r="L198" i="3"/>
  <c r="L203" i="3"/>
  <c r="L204" i="3"/>
  <c r="L205" i="3"/>
  <c r="L207" i="3"/>
  <c r="L208" i="3"/>
  <c r="L211" i="3"/>
  <c r="L213" i="3"/>
  <c r="L214" i="3"/>
  <c r="L217" i="3"/>
  <c r="L218" i="3"/>
  <c r="L219" i="3"/>
  <c r="L223" i="3"/>
  <c r="L224" i="3"/>
  <c r="L225" i="3"/>
  <c r="L227" i="3"/>
  <c r="L228" i="3"/>
  <c r="L229" i="3"/>
  <c r="L230" i="3"/>
  <c r="L177" i="3"/>
  <c r="L183" i="3"/>
  <c r="L184" i="3"/>
  <c r="L145" i="3"/>
  <c r="L18" i="3"/>
  <c r="L5" i="3"/>
  <c r="L44" i="3"/>
  <c r="L185" i="3"/>
  <c r="L75" i="3"/>
  <c r="L175" i="3"/>
  <c r="L180" i="3"/>
  <c r="L221" i="3"/>
  <c r="L122" i="3"/>
  <c r="L19" i="3"/>
  <c r="L132" i="3"/>
  <c r="L66" i="3"/>
  <c r="L2"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84" i="57" l="1"/>
  <c r="Q194" i="57"/>
  <c r="Q462" i="57"/>
  <c r="Q228" i="57"/>
  <c r="Q178" i="57"/>
  <c r="Q168" i="57"/>
  <c r="Q214" i="57"/>
  <c r="Q208" i="57"/>
  <c r="Q111" i="57"/>
  <c r="Q101" i="57"/>
  <c r="Q89" i="57"/>
  <c r="Q221" i="57"/>
  <c r="Q310" i="57"/>
  <c r="Q309" i="57"/>
  <c r="Q200" i="57"/>
  <c r="Q70" i="57"/>
  <c r="Q180" i="57"/>
  <c r="Q174" i="57"/>
  <c r="Q162" i="57"/>
  <c r="Q121" i="57"/>
  <c r="Q108" i="57"/>
  <c r="Q97" i="57"/>
  <c r="Q85" i="57"/>
  <c r="Q411" i="57"/>
  <c r="Q258" i="57"/>
  <c r="Q289" i="57"/>
  <c r="Q341" i="57"/>
  <c r="Q304" i="57"/>
  <c r="Q466" i="57"/>
  <c r="Q436" i="57"/>
  <c r="Q276" i="57"/>
  <c r="Q205" i="57"/>
  <c r="Q88" i="57"/>
  <c r="Q404" i="57"/>
  <c r="Q373" i="57"/>
  <c r="Q65" i="57"/>
  <c r="Q56" i="57"/>
  <c r="Q198" i="57"/>
  <c r="Q274" i="57"/>
  <c r="Q4" i="57"/>
  <c r="Q490" i="57"/>
  <c r="Q482" i="57"/>
  <c r="Q471" i="57"/>
  <c r="Q451" i="57"/>
  <c r="Q439" i="57"/>
  <c r="Q423" i="57"/>
  <c r="Q285" i="57"/>
  <c r="Q266" i="57"/>
  <c r="Q79" i="57"/>
  <c r="Q261" i="57"/>
  <c r="Q137" i="57"/>
  <c r="Q125" i="57"/>
  <c r="Q40" i="57"/>
  <c r="Q251" i="57"/>
  <c r="Q489" i="57"/>
  <c r="Q143" i="57"/>
  <c r="Q400" i="57"/>
  <c r="Q41" i="57"/>
  <c r="Q406" i="57"/>
  <c r="Q380" i="57"/>
  <c r="Q370" i="57"/>
  <c r="Q133" i="57"/>
  <c r="Q207" i="57"/>
  <c r="Q223" i="57"/>
  <c r="Q252" i="57"/>
  <c r="Q31" i="57"/>
  <c r="Q395" i="57"/>
  <c r="Q391" i="57"/>
  <c r="Q446" i="57"/>
  <c r="Q437" i="57"/>
  <c r="Q420" i="57"/>
  <c r="Q262" i="57"/>
  <c r="Q379" i="57"/>
  <c r="Q368" i="57"/>
  <c r="Q197" i="57"/>
  <c r="Q26" i="57"/>
  <c r="Q476" i="57"/>
  <c r="Q165" i="57"/>
  <c r="Q161" i="57"/>
  <c r="Q209" i="57"/>
  <c r="Q481" i="57"/>
  <c r="Q36" i="57"/>
  <c r="Q480" i="57"/>
  <c r="Q37" i="57"/>
  <c r="Q3" i="57"/>
  <c r="Q222" i="57"/>
  <c r="Q42" i="57"/>
  <c r="Q401" i="57"/>
  <c r="Q403" i="57"/>
  <c r="M400" i="57"/>
  <c r="B59" i="67" a="1"/>
  <c r="B59" i="67" s="1"/>
  <c r="B48" i="67" a="1"/>
  <c r="B48" i="67" s="1"/>
  <c r="B45" i="67" a="1"/>
  <c r="B45" i="67" s="1"/>
  <c r="B31" i="67" a="1"/>
  <c r="B31" i="67" s="1"/>
  <c r="B32" i="67" a="1"/>
  <c r="B32" i="67" s="1"/>
  <c r="M36" i="57"/>
  <c r="B11" i="67" a="1"/>
  <c r="B11" i="67" s="1"/>
  <c r="M208" i="57"/>
  <c r="B16" i="67" a="1"/>
  <c r="B16" i="67" s="1"/>
  <c r="B13" i="67" a="1"/>
  <c r="B13" i="67" s="1"/>
  <c r="B14" i="67" a="1"/>
  <c r="B14" i="67" s="1"/>
  <c r="M37" i="57"/>
  <c r="B12" i="67" a="1"/>
  <c r="B12" i="67" s="1"/>
  <c r="B6" i="67" a="1"/>
  <c r="B6" i="67" s="1"/>
  <c r="B7" i="67" a="1"/>
  <c r="B7" i="67" s="1"/>
  <c r="M273" i="57"/>
  <c r="M295" i="57"/>
  <c r="B29" i="67" a="1"/>
  <c r="B29" i="67" s="1"/>
  <c r="M263" i="57"/>
  <c r="B36" i="67" a="1"/>
  <c r="B36" i="67" s="1"/>
  <c r="Q73" i="57"/>
  <c r="M3" i="57"/>
  <c r="F2" i="67" a="1"/>
  <c r="F2" i="67" s="1"/>
  <c r="M146" i="57"/>
  <c r="B21" i="67" a="1"/>
  <c r="B21" i="67" s="1"/>
  <c r="M20" i="57"/>
  <c r="M278" i="57"/>
  <c r="M62" i="57"/>
  <c r="M83" i="57"/>
  <c r="M280" i="57"/>
  <c r="M89" i="57"/>
  <c r="M151" i="57"/>
  <c r="M227" i="57"/>
  <c r="M25" i="57"/>
  <c r="M187" i="57"/>
  <c r="M286" i="57"/>
  <c r="M238" i="57"/>
  <c r="M239" i="57"/>
  <c r="M298" i="57"/>
  <c r="M300" i="57"/>
  <c r="M306" i="57"/>
  <c r="M307" i="57"/>
  <c r="M367" i="57"/>
  <c r="M368" i="57"/>
  <c r="M370" i="57"/>
  <c r="M224" i="57"/>
  <c r="M225" i="57"/>
  <c r="M406" i="57"/>
  <c r="M413" i="57"/>
  <c r="M414" i="57"/>
  <c r="M13" i="57"/>
  <c r="M423" i="57"/>
  <c r="M425" i="57"/>
  <c r="M438" i="57"/>
  <c r="M440" i="57"/>
  <c r="M140" i="57"/>
  <c r="M141" i="57"/>
  <c r="M482" i="57"/>
  <c r="M484" i="57"/>
  <c r="M489" i="57"/>
  <c r="M490" i="57"/>
  <c r="M274" i="57"/>
  <c r="M210" i="57"/>
  <c r="M18" i="57"/>
  <c r="M212" i="57"/>
  <c r="M48" i="57"/>
  <c r="M54" i="57"/>
  <c r="M81" i="57"/>
  <c r="M321" i="57"/>
  <c r="M325" i="57"/>
  <c r="M85" i="57"/>
  <c r="M92" i="57"/>
  <c r="M100" i="57"/>
  <c r="M105" i="57"/>
  <c r="M107" i="57"/>
  <c r="M109" i="57"/>
  <c r="M113" i="57"/>
  <c r="M117" i="57"/>
  <c r="M121" i="57"/>
  <c r="M126" i="57"/>
  <c r="M129" i="57"/>
  <c r="M381" i="57"/>
  <c r="M216" i="57"/>
  <c r="M153" i="57"/>
  <c r="M155" i="57"/>
  <c r="M160" i="57"/>
  <c r="M170" i="57"/>
  <c r="M174" i="57"/>
  <c r="M176" i="57"/>
  <c r="M383" i="57"/>
  <c r="M473" i="57"/>
  <c r="M474" i="57"/>
  <c r="M180" i="57"/>
  <c r="M182" i="57"/>
  <c r="M460" i="57"/>
  <c r="M197" i="57"/>
  <c r="M190" i="57"/>
  <c r="M232" i="57"/>
  <c r="M330" i="57"/>
  <c r="M332" i="57"/>
  <c r="M466" i="57"/>
  <c r="M387" i="57"/>
  <c r="M246" i="57"/>
  <c r="M247" i="57"/>
  <c r="M477" i="57"/>
  <c r="M478" i="57"/>
  <c r="M302" i="57"/>
  <c r="M303" i="57"/>
  <c r="M304" i="57"/>
  <c r="M305" i="57"/>
  <c r="M308" i="57"/>
  <c r="M389" i="57"/>
  <c r="M338" i="57"/>
  <c r="M341" i="57"/>
  <c r="M312" i="57"/>
  <c r="M313" i="57"/>
  <c r="M135" i="57"/>
  <c r="M136" i="57"/>
  <c r="M288" i="57"/>
  <c r="M289" i="57"/>
  <c r="M241" i="57"/>
  <c r="M243" i="57"/>
  <c r="M314" i="57"/>
  <c r="M316" i="57"/>
  <c r="M318" i="57"/>
  <c r="M320" i="57"/>
  <c r="M27" i="57"/>
  <c r="M29" i="57"/>
  <c r="M362" i="57"/>
  <c r="M363" i="57"/>
  <c r="M365" i="57"/>
  <c r="M372" i="57"/>
  <c r="M373" i="57"/>
  <c r="M374" i="57"/>
  <c r="M375" i="57"/>
  <c r="M376" i="57"/>
  <c r="M377" i="57"/>
  <c r="M378" i="57"/>
  <c r="M379" i="57"/>
  <c r="M380" i="57"/>
  <c r="M396" i="57"/>
  <c r="M404" i="57"/>
  <c r="M405" i="57"/>
  <c r="M189" i="57"/>
  <c r="M214" i="57"/>
  <c r="M215" i="57"/>
  <c r="M282" i="57"/>
  <c r="M283" i="57"/>
  <c r="M284" i="57"/>
  <c r="M285" i="57"/>
  <c r="M218" i="57"/>
  <c r="M219" i="57"/>
  <c r="M408" i="57"/>
  <c r="M409" i="57"/>
  <c r="M411" i="57"/>
  <c r="M417" i="57"/>
  <c r="M419" i="57"/>
  <c r="M421" i="57"/>
  <c r="M422" i="57"/>
  <c r="M14" i="57"/>
  <c r="M15" i="57"/>
  <c r="M427" i="57"/>
  <c r="M429" i="57"/>
  <c r="M430" i="57"/>
  <c r="M442" i="57"/>
  <c r="M443" i="57"/>
  <c r="M445" i="57"/>
  <c r="M447" i="57"/>
  <c r="M448" i="57"/>
  <c r="M450" i="57"/>
  <c r="M452" i="57"/>
  <c r="M453" i="57"/>
  <c r="M454" i="57"/>
  <c r="M456" i="57"/>
  <c r="M391" i="57"/>
  <c r="M457" i="57"/>
  <c r="M458" i="57"/>
  <c r="M470" i="57"/>
  <c r="M392" i="57"/>
  <c r="M393" i="57"/>
  <c r="M479" i="57"/>
  <c r="M395" i="57"/>
  <c r="M142" i="57"/>
  <c r="M143" i="57"/>
  <c r="M486" i="57"/>
  <c r="M487" i="57"/>
  <c r="M488" i="57"/>
  <c r="M31" i="57"/>
  <c r="M32" i="57"/>
  <c r="M290" i="57"/>
  <c r="M291" i="57"/>
  <c r="M491" i="57"/>
  <c r="M493" i="57"/>
  <c r="M495" i="57"/>
  <c r="M269" i="57"/>
  <c r="M270" i="57"/>
  <c r="M437" i="57"/>
  <c r="M237" i="57"/>
  <c r="M250" i="57"/>
  <c r="M252" i="57"/>
  <c r="M254" i="57"/>
  <c r="M256" i="57"/>
  <c r="M257" i="57"/>
  <c r="M259" i="57"/>
  <c r="M260" i="57"/>
  <c r="M265" i="57"/>
  <c r="M266" i="57"/>
  <c r="M267" i="57"/>
  <c r="M268"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412" i="57" l="1"/>
  <c r="M231" i="57"/>
  <c r="M319" i="57"/>
  <c r="M120" i="57"/>
  <c r="M388" i="57"/>
  <c r="M103" i="57"/>
  <c r="M465" i="57"/>
  <c r="M258" i="57"/>
  <c r="M191" i="57"/>
  <c r="M49" i="57"/>
  <c r="M390" i="57"/>
  <c r="M468" i="57"/>
  <c r="M434" i="57"/>
  <c r="M385" i="57"/>
  <c r="M428" i="57"/>
  <c r="M112" i="57"/>
  <c r="M115" i="57"/>
  <c r="M334" i="57"/>
  <c r="M301" i="57"/>
  <c r="M459" i="57"/>
  <c r="M426" i="57"/>
  <c r="M299" i="57"/>
  <c r="M65" i="57"/>
  <c r="M337" i="57"/>
  <c r="M58" i="57"/>
  <c r="M455" i="57"/>
  <c r="M251" i="57"/>
  <c r="M111" i="57"/>
  <c r="M134" i="57"/>
  <c r="M97" i="57"/>
  <c r="M485" i="57"/>
  <c r="M424" i="57"/>
  <c r="M63" i="57"/>
  <c r="M340" i="57"/>
  <c r="M56" i="57"/>
  <c r="M435" i="57"/>
  <c r="M249" i="57"/>
  <c r="M193" i="57"/>
  <c r="M317" i="57"/>
  <c r="M114" i="57"/>
  <c r="M483" i="57"/>
  <c r="M420" i="57"/>
  <c r="M236" i="57"/>
  <c r="M35" i="57"/>
  <c r="M436" i="57"/>
  <c r="M431" i="57"/>
  <c r="M248" i="57"/>
  <c r="M463" i="57"/>
  <c r="M462" i="57"/>
  <c r="M364" i="57"/>
  <c r="M253" i="57"/>
  <c r="M451" i="57"/>
  <c r="M418" i="57"/>
  <c r="M202" i="57"/>
  <c r="M34" i="57"/>
  <c r="M168" i="57"/>
  <c r="M177" i="57"/>
  <c r="M432" i="57"/>
  <c r="M339" i="57"/>
  <c r="M233" i="57"/>
  <c r="M79" i="57"/>
  <c r="M166" i="57"/>
  <c r="M192" i="57"/>
  <c r="M255" i="57"/>
  <c r="M235" i="57"/>
  <c r="M196" i="57"/>
  <c r="M275" i="57"/>
  <c r="M195" i="57"/>
  <c r="M333" i="57"/>
  <c r="M472" i="57"/>
  <c r="M494" i="57"/>
  <c r="M433" i="57"/>
  <c r="M444" i="57"/>
  <c r="M397" i="57"/>
  <c r="M173" i="57"/>
  <c r="M492" i="57"/>
  <c r="M144" i="57"/>
  <c r="M336" i="57"/>
  <c r="M471" i="57"/>
  <c r="M264" i="57"/>
  <c r="M72" i="57"/>
  <c r="M76" i="57"/>
  <c r="M446" i="57"/>
  <c r="M164" i="57"/>
  <c r="M441" i="57"/>
  <c r="M371" i="57"/>
  <c r="M132" i="57"/>
  <c r="M407" i="57"/>
  <c r="M138" i="57"/>
  <c r="M67" i="57"/>
  <c r="M469" i="57"/>
  <c r="M203" i="57"/>
  <c r="M70" i="57"/>
  <c r="M415" i="57"/>
  <c r="M118" i="57"/>
  <c r="M449" i="57"/>
  <c r="M410" i="57"/>
  <c r="M199" i="57"/>
  <c r="M74" i="57"/>
  <c r="M439" i="57"/>
  <c r="M369" i="57"/>
  <c r="M130" i="57"/>
  <c r="M394" i="57"/>
  <c r="M467" i="57"/>
  <c r="M198" i="57"/>
  <c r="M51" i="57"/>
  <c r="M416" i="57"/>
  <c r="M104" i="57"/>
  <c r="M78" i="57"/>
  <c r="M152" i="57"/>
  <c r="M169" i="57"/>
  <c r="M244" i="57"/>
  <c r="M194" i="57"/>
  <c r="M163" i="57"/>
  <c r="M154" i="57"/>
  <c r="M127" i="57"/>
  <c r="M91" i="57"/>
  <c r="M75" i="57"/>
  <c r="M52" i="57"/>
  <c r="M211" i="57"/>
  <c r="M90" i="57"/>
  <c r="M175" i="57"/>
  <c r="M181" i="57"/>
  <c r="M128" i="57"/>
  <c r="M172" i="57"/>
  <c r="M106" i="57"/>
  <c r="M86" i="57"/>
  <c r="M71" i="57"/>
  <c r="M50" i="57"/>
  <c r="M245" i="57"/>
  <c r="M108" i="57"/>
  <c r="M167" i="57"/>
  <c r="M125" i="57"/>
  <c r="M9" i="57"/>
  <c r="M281" i="57"/>
  <c r="M271" i="57"/>
  <c r="M217" i="57"/>
  <c r="M122" i="57"/>
  <c r="M102" i="57"/>
  <c r="M327" i="57"/>
  <c r="M68" i="57"/>
  <c r="M47" i="57"/>
  <c r="M272" i="57"/>
  <c r="M200" i="57"/>
  <c r="M26" i="57"/>
  <c r="M165" i="57"/>
  <c r="M230" i="57"/>
  <c r="M234" i="57"/>
  <c r="M229" i="57"/>
  <c r="M162" i="57"/>
  <c r="M101" i="57"/>
  <c r="M66" i="57"/>
  <c r="M46" i="57"/>
  <c r="M277" i="57"/>
  <c r="M287" i="57"/>
  <c r="M386" i="57"/>
  <c r="M53" i="57"/>
  <c r="M69" i="57"/>
  <c r="M22" i="57"/>
  <c r="M384" i="57"/>
  <c r="M161" i="57"/>
  <c r="M137" i="57"/>
  <c r="M119" i="57"/>
  <c r="M323" i="57"/>
  <c r="M64" i="57"/>
  <c r="M213" i="57"/>
  <c r="M171" i="57"/>
  <c r="M226" i="57"/>
  <c r="M10" i="57"/>
  <c r="M366" i="57"/>
  <c r="M186" i="57"/>
  <c r="M382" i="57"/>
  <c r="M99" i="57"/>
  <c r="M60" i="57"/>
  <c r="M17" i="57"/>
  <c r="M475" i="57"/>
  <c r="M80" i="57"/>
  <c r="M185" i="57"/>
  <c r="M179" i="57"/>
  <c r="M159" i="57"/>
  <c r="M116" i="57"/>
  <c r="M96" i="57"/>
  <c r="M204" i="57"/>
  <c r="M59" i="57"/>
  <c r="M33" i="57"/>
  <c r="M156" i="57"/>
  <c r="M145" i="57"/>
  <c r="M139" i="57"/>
  <c r="M476" i="57"/>
  <c r="M77" i="57"/>
  <c r="M184" i="57"/>
  <c r="M178" i="57"/>
  <c r="M158" i="57"/>
  <c r="M133" i="57"/>
  <c r="M95" i="57"/>
  <c r="M206" i="57"/>
  <c r="M57" i="57"/>
  <c r="M24" i="57"/>
  <c r="M84" i="57"/>
  <c r="M16" i="57"/>
  <c r="M98" i="57"/>
  <c r="M61" i="57"/>
  <c r="M150" i="57"/>
  <c r="M73" i="57"/>
  <c r="M183" i="57"/>
  <c r="M157" i="57"/>
  <c r="M131" i="57"/>
  <c r="M110" i="57"/>
  <c r="M94" i="57"/>
  <c r="M82" i="57"/>
  <c r="M55" i="57"/>
  <c r="M19" i="57"/>
  <c r="M12" i="57"/>
  <c r="M93" i="57"/>
  <c r="M188" i="57"/>
  <c r="M228" i="57"/>
  <c r="M279" i="57"/>
  <c r="M11" i="57"/>
  <c r="I4" i="49" l="1"/>
  <c r="I147" i="49"/>
  <c r="I146" i="49"/>
  <c r="I145" i="49"/>
  <c r="I144" i="49"/>
  <c r="I143" i="49"/>
  <c r="I142" i="49"/>
  <c r="I141" i="49"/>
  <c r="I140" i="49"/>
  <c r="I139" i="49"/>
  <c r="I138" i="49"/>
  <c r="I137" i="49"/>
  <c r="I136" i="49"/>
  <c r="I135" i="49"/>
  <c r="I134" i="49"/>
  <c r="I133" i="49"/>
  <c r="I132" i="49"/>
  <c r="I131" i="49"/>
  <c r="I130" i="49"/>
  <c r="I129" i="49"/>
  <c r="I128" i="49"/>
  <c r="I127" i="49"/>
  <c r="I126" i="49"/>
  <c r="I125" i="49"/>
  <c r="I124" i="49"/>
  <c r="I123" i="49"/>
  <c r="I122" i="49"/>
  <c r="I121" i="49"/>
  <c r="I120" i="49"/>
  <c r="I119" i="49"/>
  <c r="I118" i="49"/>
  <c r="I117" i="49"/>
  <c r="I116" i="49"/>
  <c r="I115" i="49"/>
  <c r="I114" i="49"/>
  <c r="I113" i="49"/>
  <c r="I112" i="49"/>
  <c r="I111" i="49"/>
  <c r="I110" i="49"/>
  <c r="I109" i="49"/>
  <c r="I108" i="49"/>
  <c r="I107" i="49"/>
  <c r="I106" i="49"/>
  <c r="I105" i="49"/>
  <c r="I104" i="49"/>
  <c r="I103" i="49"/>
  <c r="I102" i="49"/>
  <c r="I101" i="49"/>
  <c r="I100" i="49"/>
  <c r="I99" i="49"/>
  <c r="I98" i="49"/>
  <c r="I97" i="49"/>
  <c r="I96" i="49"/>
  <c r="I95" i="49"/>
  <c r="I94" i="49"/>
  <c r="I93" i="49"/>
  <c r="I92" i="49"/>
  <c r="I91" i="49"/>
  <c r="I90" i="49"/>
  <c r="I89" i="49"/>
  <c r="I88" i="49"/>
  <c r="I87" i="49"/>
  <c r="I86" i="49"/>
  <c r="I85" i="49"/>
  <c r="I84" i="49"/>
  <c r="I83" i="49"/>
  <c r="I82" i="49"/>
  <c r="I81" i="49"/>
  <c r="I80" i="49"/>
  <c r="I79" i="49"/>
  <c r="I78" i="49"/>
  <c r="I77" i="49"/>
  <c r="I76" i="49"/>
  <c r="I75" i="49"/>
  <c r="I74" i="49"/>
  <c r="I73" i="49"/>
  <c r="I72" i="49"/>
  <c r="I71" i="49"/>
  <c r="I70" i="49"/>
  <c r="I69" i="49"/>
  <c r="I68" i="49"/>
  <c r="I67" i="49"/>
  <c r="I66" i="49"/>
  <c r="I65" i="49"/>
  <c r="I64" i="49"/>
  <c r="I63" i="49"/>
  <c r="I62" i="49"/>
  <c r="I61" i="49"/>
  <c r="I60" i="49"/>
  <c r="I59" i="49"/>
  <c r="I58" i="49"/>
  <c r="I57" i="49"/>
  <c r="H20" i="49"/>
  <c r="H19" i="49"/>
  <c r="H18" i="49"/>
  <c r="H17" i="49"/>
  <c r="H16" i="49"/>
  <c r="I29" i="49" l="1"/>
  <c r="I28" i="49"/>
  <c r="I27" i="49"/>
  <c r="I26" i="49"/>
  <c r="I25" i="49"/>
  <c r="I24" i="49"/>
  <c r="I23" i="49"/>
  <c r="I22" i="49"/>
  <c r="I21" i="49"/>
  <c r="I20" i="49"/>
  <c r="I19" i="49"/>
  <c r="I18" i="49"/>
  <c r="I17" i="49"/>
  <c r="I16" i="49"/>
  <c r="I15" i="49"/>
  <c r="I14" i="49"/>
  <c r="I13" i="49"/>
  <c r="I12" i="49"/>
  <c r="I11" i="49"/>
  <c r="I10" i="49"/>
  <c r="I9" i="49"/>
  <c r="I8" i="49"/>
  <c r="I7" i="49"/>
  <c r="I6" i="49"/>
  <c r="I5"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O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<sst xmlns="http://schemas.openxmlformats.org/spreadsheetml/2006/main" count="18494" uniqueCount="6573">
  <si>
    <t>term</t>
  </si>
  <si>
    <t>name</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</si>
  <si>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</si>
  <si>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</si>
  <si>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</si>
  <si>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</si>
  <si>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</si>
  <si>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</si>
  <si>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</si>
  <si>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</si>
  <si>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</si>
  <si>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</si>
  <si>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</si>
  <si>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</si>
  <si>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</si>
  <si>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</si>
  <si>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</si>
  <si>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</si>
  <si>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mod_nmixture</t>
  </si>
  <si>
    <t>Royle-Nichols</t>
  </si>
  <si>
    <t>mod_roylenichols</t>
  </si>
  <si>
    <t>mod_2flankspim</t>
  </si>
  <si>
    <t>mod_catspim</t>
  </si>
  <si>
    <t>mod_sc</t>
  </si>
  <si>
    <t xml:space="preserve">Spatial mark-resight </t>
  </si>
  <si>
    <t>mod_smr</t>
  </si>
  <si>
    <t>Mark-resight (MR)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</si>
  <si>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</si>
  <si>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</si>
  <si>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</si>
  <si>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</si>
  <si>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</si>
  <si>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</si>
  <si>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</si>
  <si>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</si>
  <si>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</si>
  <si>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</si>
  <si>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</si>
  <si>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</si>
  <si>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</si>
  <si>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</si>
  <si>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</si>
  <si>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</si>
  <si>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</si>
  <si>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</si>
  <si>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</si>
  <si>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</si>
  <si>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</si>
  <si>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</si>
  <si>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</si>
  <si>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</si>
  <si>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</si>
  <si>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</si>
  <si>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</si>
  <si>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</si>
  <si>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</si>
  <si>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</si>
  <si>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</si>
  <si>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</si>
  <si>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</si>
  <si>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</si>
  <si>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</si>
  <si>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</si>
  <si>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</si>
  <si>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</si>
  <si>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</si>
  <si>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</si>
  <si>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</si>
  <si>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</si>
  <si>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</si>
  <si>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</si>
  <si>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</si>
  <si>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</si>
  <si>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</si>
  <si>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</si>
  <si>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</si>
  <si>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</si>
  <si>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</si>
  <si>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</si>
  <si>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</si>
  <si>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</si>
  <si>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</si>
  <si>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</si>
  <si>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</si>
  <si>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</si>
  <si>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</si>
  <si>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</si>
  <si>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</si>
  <si>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</si>
  <si>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</si>
  <si>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</si>
  <si>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</si>
  <si>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</si>
  <si>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</si>
  <si>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</si>
  <si>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</si>
  <si>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</si>
  <si>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</si>
  <si>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</si>
  <si>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</si>
  <si>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</si>
  <si>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</si>
  <si>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</si>
  <si>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</si>
  <si>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</si>
  <si>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</si>
  <si>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</si>
  <si>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</si>
  <si>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</si>
  <si>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</si>
  <si>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</si>
  <si>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</si>
  <si>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</si>
  <si>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</si>
  <si>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</si>
  <si>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</si>
  <si>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</si>
  <si>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</si>
  <si>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</si>
  <si>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</si>
  <si>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</si>
  <si>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</si>
  <si>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</si>
  <si>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</si>
  <si>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</si>
  <si>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</si>
  <si>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</si>
  <si>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</si>
  <si>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</si>
  <si>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</si>
  <si>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</si>
  <si>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</si>
  <si>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</si>
  <si>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</si>
  <si>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</si>
  <si>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</si>
  <si>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</si>
  <si>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</si>
  <si>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</si>
  <si>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</si>
  <si>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</si>
  <si>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</si>
  <si>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</si>
  <si>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</si>
  <si>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</si>
  <si>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</si>
  <si>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</si>
  <si>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</si>
  <si>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</si>
  <si>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</si>
  <si>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</si>
  <si>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</si>
  <si>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</si>
  <si>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</si>
  <si>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</si>
  <si>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</si>
  <si>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</si>
  <si>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</si>
  <si>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</si>
  <si>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</si>
  <si>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</si>
  <si>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</si>
  <si>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</si>
  <si>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</si>
  <si>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</si>
  <si>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</si>
  <si>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</si>
  <si>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</si>
  <si>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</si>
  <si>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</si>
  <si>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</si>
  <si>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</si>
  <si>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</si>
  <si>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</si>
  <si>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</si>
  <si>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</si>
  <si>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</si>
  <si>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</si>
  <si>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</si>
  <si>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</si>
  <si>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</si>
  <si>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</si>
  <si>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</si>
  <si>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</si>
  <si>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</si>
  <si>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</si>
  <si>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</si>
  <si>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</si>
  <si>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</si>
  <si>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</si>
  <si>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</si>
  <si>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</si>
  <si>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</si>
  <si>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</si>
  <si>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</si>
  <si>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</si>
  <si>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</si>
  <si>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</si>
  <si>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</si>
  <si>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</si>
  <si>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</si>
  <si>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</si>
  <si>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</si>
  <si>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</si>
  <si>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</si>
  <si>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</si>
  <si>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</si>
  <si>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</si>
  <si>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</si>
  <si>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</si>
  <si>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</si>
  <si>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</si>
  <si>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</si>
  <si>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</si>
  <si>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</si>
  <si>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</si>
  <si>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</si>
  <si>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</si>
  <si>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</si>
  <si>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</si>
  <si>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</si>
  <si>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</si>
  <si>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</si>
  <si>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</si>
  <si>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</si>
  <si>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</si>
  <si>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</si>
  <si>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</si>
  <si>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</si>
  <si>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</si>
  <si>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</si>
  <si>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</si>
  <si>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</si>
  <si>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</si>
  <si>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</si>
  <si>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</si>
  <si>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</si>
  <si>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</si>
  <si>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</si>
  <si>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</si>
  <si>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</si>
  <si>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</si>
  <si>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</si>
  <si>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</si>
  <si>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</si>
  <si>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</si>
  <si>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</si>
  <si>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</si>
  <si>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</si>
  <si>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</si>
  <si>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</si>
  <si>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</si>
  <si>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</si>
  <si>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</si>
  <si>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</si>
  <si>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</si>
  <si>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</si>
  <si>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</si>
  <si>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</si>
  <si>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</si>
  <si>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</si>
  <si>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</si>
  <si>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</si>
  <si>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</si>
  <si>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</si>
  <si>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</si>
  <si>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</si>
  <si>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</si>
  <si>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</si>
  <si>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</si>
  <si>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</si>
  <si>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</si>
  <si>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</si>
  <si>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</si>
  <si>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</si>
  <si>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</si>
  <si>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</si>
  <si>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</si>
  <si>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</si>
  <si>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</si>
  <si>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</si>
  <si>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</si>
  <si>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</si>
  <si>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</si>
  <si>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</si>
  <si>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</si>
  <si>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</si>
  <si>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</si>
  <si>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</si>
  <si>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</si>
  <si>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</si>
  <si>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</si>
  <si>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</si>
  <si>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</si>
  <si>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</si>
  <si>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</si>
  <si>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</si>
  <si>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</si>
  <si>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</si>
  <si>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</si>
  <si>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</si>
  <si>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</si>
  <si>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</si>
  <si>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</si>
  <si>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</si>
  <si>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</si>
  <si>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</si>
  <si>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</si>
  <si>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</si>
  <si>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</si>
  <si>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</si>
  <si>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</si>
  <si>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</si>
  <si>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</si>
  <si>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</si>
  <si>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</si>
  <si>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</si>
  <si>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</si>
  <si>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</si>
  <si>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</si>
  <si>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</si>
  <si>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</si>
  <si>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</si>
  <si>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</si>
  <si>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</si>
  <si>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</si>
  <si>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</si>
  <si>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</si>
  <si>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</si>
  <si>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</si>
  <si>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</si>
  <si>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</si>
  <si>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</si>
  <si>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</si>
  <si>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</si>
  <si>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</si>
  <si>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</si>
  <si>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</si>
  <si>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</si>
  <si>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</si>
  <si>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</si>
  <si>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</si>
  <si>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</si>
  <si>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</si>
  <si>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</si>
  <si>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</si>
  <si>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</si>
  <si>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</si>
  <si>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</si>
  <si>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</si>
  <si>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</si>
  <si>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</si>
  <si>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</si>
  <si>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</si>
  <si>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</si>
  <si>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</si>
  <si>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</si>
  <si>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</si>
  <si>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</si>
  <si>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</si>
  <si>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</si>
  <si>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</si>
  <si>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</si>
  <si>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</si>
  <si>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</si>
  <si>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</si>
  <si>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</si>
  <si>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</si>
  <si>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</si>
  <si>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</si>
  <si>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</si>
  <si>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</si>
  <si>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</si>
  <si>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</si>
  <si>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</si>
  <si>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</si>
  <si>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</si>
  <si>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</si>
  <si>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</si>
  <si>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</si>
  <si>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</si>
  <si>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</si>
  <si>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</si>
  <si>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</si>
  <si>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</si>
  <si>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</si>
  <si>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</si>
  <si>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</si>
  <si>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</si>
  <si>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</si>
  <si>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</si>
  <si>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</si>
  <si>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</si>
  <si>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</si>
  <si>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</si>
  <si>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</si>
  <si>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</si>
  <si>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</si>
  <si>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</si>
  <si>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</si>
  <si>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</si>
  <si>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</si>
  <si>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</si>
  <si>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</si>
  <si>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</si>
  <si>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</si>
  <si>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</si>
  <si>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</si>
  <si>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</si>
  <si>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</si>
  <si>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</si>
  <si>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</si>
  <si>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</si>
  <si>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</si>
  <si>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</si>
  <si>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</si>
  <si>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</si>
  <si>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</si>
  <si>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</si>
  <si>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</si>
  <si>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</si>
  <si>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</si>
  <si>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</si>
  <si>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</si>
  <si>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</si>
  <si>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</si>
  <si>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</si>
  <si>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</si>
  <si>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</si>
  <si>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</si>
  <si>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</si>
  <si>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field_name_text</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</si>
  <si>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</si>
  <si>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</si>
  <si>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</si>
  <si>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</si>
  <si>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</si>
  <si>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</si>
  <si>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</si>
  <si>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</si>
  <si>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</si>
  <si>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</si>
  <si>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</si>
  <si>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</si>
  <si>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</si>
  <si>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</si>
  <si>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</si>
  <si>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</si>
  <si>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</si>
  <si>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</si>
  <si>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</si>
  <si>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</si>
  <si>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</si>
  <si>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</si>
  <si>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format_glossary</t>
  </si>
  <si>
    <t>Detection 'event'</t>
  </si>
  <si>
    <t>Random (or 'simple random') design</t>
  </si>
  <si>
    <t>Trigger 'event'</t>
  </si>
  <si>
    <t>sp_rarity</t>
  </si>
  <si>
    <t>mod_n_mixture</t>
  </si>
  <si>
    <t>mod_overdispersion</t>
  </si>
  <si>
    <t>mod_royle_nichols</t>
  </si>
  <si>
    <t>mod_zero_inflation</t>
  </si>
  <si>
    <t>clarke_et_al_2023</t>
  </si>
  <si>
    <t>overdispersion</t>
  </si>
  <si>
    <t>ref_bib_resource5_ref_id</t>
  </si>
  <si>
    <t>ref_bib_resource1_ref_id</t>
  </si>
  <si>
    <t>ref_bib_resource2_ref_id</t>
  </si>
  <si>
    <t>ref_bib_resource3_ref_id</t>
  </si>
  <si>
    <t>ref_bib_resource4_ref_id</t>
  </si>
  <si>
    <t>ref_bib_resource6_ref_id</t>
  </si>
  <si>
    <t>ref_bib_resource7_ref_id</t>
  </si>
  <si>
    <t>ref_bib_resource8_ref_id</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</si>
  <si>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</si>
  <si>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</si>
  <si>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</si>
  <si>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</si>
  <si>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</si>
  <si>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</si>
  <si>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</si>
  <si>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</si>
  <si>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</si>
  <si>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</si>
  <si>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</si>
  <si>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</si>
  <si>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</si>
  <si>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</si>
  <si>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</si>
  <si>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</si>
  <si>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</si>
  <si>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</si>
  <si>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</si>
  <si>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</si>
  <si>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</si>
  <si>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</si>
  <si>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</si>
  <si>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</si>
  <si>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</si>
  <si>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</si>
  <si>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</si>
  <si>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</si>
  <si>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</si>
  <si>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</si>
  <si>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</si>
  <si>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</si>
  <si>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</si>
  <si>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ref_bib_resource9_ref_id</t>
  </si>
  <si>
    <t>ref_bib_resource10_ref_id</t>
  </si>
  <si>
    <t>ref_bib_resource11_ref_id</t>
  </si>
  <si>
    <t>ref_bib_resource12_ref_id</t>
  </si>
  <si>
    <t>ref_bib_resource13_ref_id</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</si>
  <si>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</si>
  <si>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</si>
  <si>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</si>
  <si>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</si>
  <si>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</si>
  <si>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</si>
  <si>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</si>
  <si>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</si>
  <si>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</si>
  <si>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</si>
  <si>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</si>
  <si>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</si>
  <si>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</si>
  <si>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</si>
  <si>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</si>
  <si>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</si>
  <si>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</si>
  <si>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</si>
  <si>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</si>
  <si>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</si>
  <si>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</si>
  <si>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</si>
  <si>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</si>
  <si>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</si>
  <si>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</si>
  <si>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</si>
  <si>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</si>
  <si>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</si>
  <si>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</si>
  <si>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</si>
  <si>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</si>
  <si>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</si>
  <si>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</si>
  <si>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</si>
  <si>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</si>
  <si>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</si>
  <si>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</si>
  <si>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</si>
  <si>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</si>
  <si>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</si>
  <si>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</si>
  <si>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</si>
  <si>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mod_appl</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</si>
  <si>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</si>
  <si>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</si>
  <si>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</si>
  <si>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</si>
  <si>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</si>
  <si>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</si>
  <si>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</si>
  <si>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</si>
  <si>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</si>
  <si>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</si>
  <si>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</si>
  <si>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 term_def_mod_2flankspim }}</t>
  </si>
  <si>
    <t>{{ term_def_mod_behaviour }}</t>
  </si>
  <si>
    <t>{{ term_def_mod_catspim }}</t>
  </si>
  <si>
    <t>{{ term_def_mod_cr_cmr }}</t>
  </si>
  <si>
    <t>{{ term_def_mod_ds }}</t>
  </si>
  <si>
    <t>{{ term_def_mod_inventory }}</t>
  </si>
  <si>
    <t>{{ term_def_mod_is }}</t>
  </si>
  <si>
    <t>{{ term_def_mod_occupancy }}</t>
  </si>
  <si>
    <t>{{ term_def_mod_rai }}</t>
  </si>
  <si>
    <t>{{ term_def_mod_rai_hurdle }}</t>
  </si>
  <si>
    <t>{{ term_def_mod_rai_nb }}</t>
  </si>
  <si>
    <t>{{ term_def_mod_rai_poisson }}</t>
  </si>
  <si>
    <t>{{ term_def_mod_rai_zinb }}</t>
  </si>
  <si>
    <t>{{ term_def_mod_rai_zip }}</t>
  </si>
  <si>
    <t>{{ term_def_mod_rem }}</t>
  </si>
  <si>
    <t>{{ term_def_mod_rest }}</t>
  </si>
  <si>
    <t>{{ term_def_mod_sc }}</t>
  </si>
  <si>
    <t>{{ term_def_mod_scr_secr }}</t>
  </si>
  <si>
    <t>{{ term_def_mod_smr }}</t>
  </si>
  <si>
    <t>{{ term_def_mod_ste }}</t>
  </si>
  <si>
    <t>{{ term_def_mod_tifc }}</t>
  </si>
  <si>
    <t>{{ term_def_mod_tte }}</t>
  </si>
  <si>
    <t>{{ term_def_mod_divers_rich }}</t>
  </si>
  <si>
    <t>{{ term_def_mod_mr }}</t>
  </si>
  <si>
    <t>{{ term_def_mod_nmixture }}</t>
  </si>
  <si>
    <t>{{ term_def_mod_roylenichols }}</t>
  </si>
  <si>
    <t>mod_divers_rich_rich2</t>
  </si>
  <si>
    <t>ref_bib_resource14_ref_id</t>
  </si>
  <si>
    <t>ref_bib_resource15_ref_id</t>
  </si>
  <si>
    <t>ref_bib_resource16_ref_id</t>
  </si>
  <si>
    <t>ref_bib_resource17_ref_id</t>
  </si>
  <si>
    <t>ref_bib_resource18_ref_id</t>
  </si>
  <si>
    <t>ref_bib_resource19_ref_id</t>
  </si>
  <si>
    <t>ref_bib_resource20_ref_id</t>
  </si>
  <si>
    <t>ref_bib_figure1_ref_id</t>
  </si>
  <si>
    <t>ref_bib_figure2_ref_id</t>
  </si>
  <si>
    <t>ref_bib_figure3_ref_id</t>
  </si>
  <si>
    <t>ref_bib_figure4_ref_id</t>
  </si>
  <si>
    <t>ref_bib_figure5_ref_id</t>
  </si>
  <si>
    <t>ref_bib_figure6_ref_id</t>
  </si>
  <si>
    <t>ref_bib_figure7_ref_id</t>
  </si>
  <si>
    <t>ref_bib_figure8_ref_id</t>
  </si>
  <si>
    <t>ref_bib_figure9_ref_id</t>
  </si>
  <si>
    <t>ref_bib_figure10_ref_id</t>
  </si>
  <si>
    <t>ref_bib_figure11_ref_id</t>
  </si>
  <si>
    <t>ref_bib_figure12_ref_id</t>
  </si>
  <si>
    <t>ref_bib_figure13_ref_id</t>
  </si>
  <si>
    <t>ref_bib_figure14_ref_id</t>
  </si>
  <si>
    <t>ref_bib_figure15_ref_id</t>
  </si>
  <si>
    <t>ref_bib_figure16_ref_id</t>
  </si>
  <si>
    <t>ref_bib_figure17_ref_id</t>
  </si>
  <si>
    <t>ref_bib_figure18_ref_id</t>
  </si>
  <si>
    <t>ref_bib_figure19_ref_id</t>
  </si>
  <si>
    <t>ref_bib_figure20_ref_id</t>
  </si>
  <si>
    <t>Gamma richness (γ)</t>
  </si>
  <si>
    <t>Beta-diversity (β)</t>
  </si>
  <si>
    <t>Alpha richness (α)</t>
  </si>
  <si>
    <t>intext</t>
  </si>
  <si>
    <t>intext2</t>
  </si>
  <si>
    <t>textbib</t>
  </si>
  <si>
    <t>definition_myst</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</si>
  <si>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</si>
  <si>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</si>
  <si>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</si>
  <si>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</si>
  <si>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</si>
  <si>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</si>
  <si>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</si>
  <si>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</si>
  <si>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</si>
  <si>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</si>
  <si>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</si>
  <si>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</si>
  <si>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</si>
  <si>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</si>
  <si>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</si>
  <si>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</si>
  <si>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</si>
  <si>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</si>
  <si>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</si>
  <si>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</si>
  <si>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</si>
  <si>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</si>
  <si>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</si>
  <si>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</si>
  <si>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</si>
  <si>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</si>
  <si>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</si>
  <si>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</si>
  <si>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</si>
  <si>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</si>
  <si>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</si>
  <si>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</si>
  <si>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</si>
  <si>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</si>
  <si>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</si>
  <si>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</si>
  <si>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</si>
  <si>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</si>
  <si>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</si>
  <si>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</si>
  <si>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</si>
  <si>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</si>
  <si>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</si>
  <si>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</si>
  <si>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</si>
  <si>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</si>
  <si>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</si>
  <si>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</si>
  <si>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</si>
  <si>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</si>
  <si>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</si>
  <si>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</si>
  <si>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</si>
  <si>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</si>
  <si>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</si>
  <si>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</si>
  <si>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</si>
  <si>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</si>
  <si>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</si>
  <si>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</si>
  <si>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</si>
  <si>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</si>
  <si>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</si>
  <si>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</si>
  <si>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</si>
  <si>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</si>
  <si>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</si>
  <si>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</si>
  <si>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</si>
  <si>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</si>
  <si>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</si>
  <si>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</si>
  <si>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</si>
  <si>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</si>
  <si>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</si>
  <si>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</si>
  <si>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</si>
  <si>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</si>
  <si>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</si>
  <si>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</si>
  <si>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</si>
  <si>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</si>
  <si>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</si>
  <si>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</si>
  <si>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</si>
  <si>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</si>
  <si>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</si>
  <si>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</si>
  <si>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</si>
  <si>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</si>
  <si>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</si>
  <si>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</si>
  <si>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</si>
  <si>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</si>
  <si>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</si>
  <si>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</si>
  <si>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</si>
  <si>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</si>
  <si>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</si>
  <si>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</si>
  <si>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</si>
  <si>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</si>
  <si>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</si>
  <si>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</si>
  <si>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</si>
  <si>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</si>
  <si>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</si>
  <si>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</si>
  <si>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</si>
  <si>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</si>
  <si>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</si>
  <si>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</si>
  <si>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</si>
  <si>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</si>
  <si>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</si>
  <si>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</si>
  <si>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</si>
  <si>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</si>
  <si>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</si>
  <si>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</si>
  <si>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</si>
  <si>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</si>
  <si>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</si>
  <si>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</si>
  <si>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</si>
  <si>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</si>
  <si>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</si>
  <si>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</si>
  <si>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</si>
  <si>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</si>
  <si>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</si>
  <si>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</si>
  <si>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</si>
  <si>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</si>
  <si>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</si>
  <si>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</si>
  <si>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</si>
  <si>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</si>
  <si>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</si>
  <si>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</si>
  <si>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</si>
  <si>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</si>
  <si>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</si>
  <si>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</si>
  <si>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</si>
  <si>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</si>
  <si>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</si>
  <si>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</si>
  <si>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</si>
  <si>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</si>
  <si>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</si>
  <si>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</si>
  <si>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</si>
  <si>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</si>
  <si>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</si>
  <si>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</si>
  <si>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</si>
  <si>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</si>
  <si>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</si>
  <si>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</si>
  <si>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</si>
  <si>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</si>
  <si>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</si>
  <si>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</si>
  <si>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</si>
  <si>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</si>
  <si>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</si>
  <si>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</si>
  <si>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</si>
  <si>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</si>
  <si>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</si>
  <si>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</si>
  <si>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</si>
  <si>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</si>
  <si>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</si>
  <si>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</si>
  <si>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</si>
  <si>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</si>
  <si>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</si>
  <si>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</si>
  <si>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</si>
  <si>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</si>
  <si>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</si>
  <si>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</si>
  <si>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</si>
  <si>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</si>
  <si>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</si>
  <si>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</si>
  <si>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</si>
  <si>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</si>
  <si>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</si>
  <si>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</si>
  <si>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</si>
  <si>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</si>
  <si>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</si>
  <si>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Occupancy model</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</si>
  <si>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</si>
  <si>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</si>
  <si>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</si>
  <si>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</si>
  <si>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</si>
  <si>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</si>
  <si>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</si>
  <si>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</si>
  <si>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</si>
  <si>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</si>
  <si>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</si>
  <si>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</si>
  <si>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</si>
  <si>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</si>
  <si>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</si>
  <si>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</si>
  <si>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</si>
  <si>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</si>
  <si>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</si>
  <si>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</si>
  <si>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</si>
  <si>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</si>
  <si>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</si>
  <si>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</si>
  <si>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</si>
  <si>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</si>
  <si>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</si>
  <si>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</si>
  <si>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</si>
  <si>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</si>
  <si>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</si>
  <si>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</si>
  <si>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</si>
  <si>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</si>
  <si>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</si>
  <si>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</si>
  <si>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</si>
  <si>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</si>
  <si>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</si>
  <si>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</si>
  <si>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</si>
  <si>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</si>
  <si>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</si>
  <si>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</si>
  <si>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</si>
  <si>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</si>
  <si>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</si>
  <si>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</si>
  <si>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</si>
  <si>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</si>
  <si>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</si>
  <si>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</si>
  <si>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</si>
  <si>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</si>
  <si>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</si>
  <si>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</si>
  <si>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</si>
  <si>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</si>
  <si>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</si>
  <si>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</si>
  <si>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</si>
  <si>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</si>
  <si>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</si>
  <si>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</si>
  <si>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</si>
  <si>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</si>
  <si>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</si>
  <si>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</si>
  <si>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</si>
  <si>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</si>
  <si>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</si>
  <si>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</si>
  <si>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</si>
  <si>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</si>
  <si>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</si>
  <si>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</si>
  <si>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Spatial partial identity model (2-flank SPIM)</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</si>
  <si>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</si>
  <si>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</si>
  <si>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</si>
  <si>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</si>
  <si>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</si>
  <si>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</si>
  <si>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</si>
  <si>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</si>
  <si>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</si>
  <si>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</si>
  <si>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</si>
  <si>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</si>
  <si>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</si>
  <si>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</si>
  <si>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</si>
  <si>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</si>
  <si>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</si>
  <si>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</si>
  <si>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</si>
  <si>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</si>
  <si>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</si>
  <si>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</si>
  <si>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</si>
  <si>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</si>
  <si>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</si>
  <si>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</si>
  <si>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</si>
  <si>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</si>
  <si>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</si>
  <si>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</si>
  <si>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</si>
  <si>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</si>
  <si>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</si>
  <si>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</si>
  <si>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</si>
  <si>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</si>
  <si>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</si>
  <si>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</si>
  <si>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</si>
  <si>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</si>
  <si>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</si>
  <si>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</si>
  <si>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</si>
  <si>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</si>
  <si>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</si>
  <si>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</si>
  <si>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</si>
  <si>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</si>
  <si>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</si>
  <si>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</si>
  <si>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</si>
  <si>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</si>
  <si>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</si>
  <si>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</si>
  <si>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</si>
  <si>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</si>
  <si>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</si>
  <si>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</si>
  <si>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</si>
  <si>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</si>
  <si>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</si>
  <si>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</si>
  <si>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</si>
  <si>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</si>
  <si>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</si>
  <si>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</si>
  <si>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</si>
  <si>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</si>
  <si>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</si>
  <si>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</si>
  <si>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</si>
  <si>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</si>
  <si>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</si>
  <si>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</si>
  <si>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</si>
  <si>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</si>
  <si>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</si>
  <si>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sub_fieldname</t>
  </si>
  <si>
    <t>only_upper</t>
  </si>
  <si>
    <t>Capture-recapture (CR) / Capture-mark-recapture (CMR) (Karanth, 1995; Karanth &amp; Nichols, 1998)</t>
  </si>
  <si>
    <t>Categorical partial identity model (Categorical SPIM; catSPIM)</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</si>
  <si>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</si>
  <si>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</si>
  <si>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</si>
  <si>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</si>
  <si>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</si>
  <si>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</si>
  <si>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</si>
  <si>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</si>
  <si>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</si>
  <si>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</si>
  <si>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</si>
  <si>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</si>
  <si>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</si>
  <si>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</si>
  <si>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</si>
  <si>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</si>
  <si>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</si>
  <si>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</si>
  <si>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</si>
  <si>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</si>
  <si>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</si>
  <si>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</si>
  <si>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</si>
  <si>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</si>
  <si>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</si>
  <si>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</si>
  <si>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</si>
  <si>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</si>
  <si>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</si>
  <si>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</si>
  <si>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</si>
  <si>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</si>
  <si>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</si>
  <si>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</si>
  <si>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</si>
  <si>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</si>
  <si>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</si>
  <si>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</si>
  <si>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</si>
  <si>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</si>
  <si>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</si>
  <si>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</si>
  <si>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</si>
  <si>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</si>
  <si>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</si>
  <si>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</si>
  <si>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</si>
  <si>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</si>
  <si>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</si>
  <si>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</si>
  <si>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</si>
  <si>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</si>
  <si>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</si>
  <si>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</si>
  <si>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</si>
  <si>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</si>
  <si>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</si>
  <si>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</si>
  <si>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</si>
  <si>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</si>
  <si>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</si>
  <si>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</si>
  <si>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</si>
  <si>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</si>
  <si>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</si>
  <si>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</si>
  <si>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</si>
  <si>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</si>
  <si>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</si>
  <si>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</si>
  <si>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</si>
  <si>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</si>
  <si>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</si>
  <si>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</si>
  <si>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</si>
  <si>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</si>
  <si>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</si>
  <si>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</si>
  <si>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</si>
  <si>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</si>
  <si>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</si>
  <si>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</si>
  <si>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</si>
  <si>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</si>
  <si>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</si>
  <si>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</si>
  <si>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</si>
  <si>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</si>
  <si>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</si>
  <si>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</si>
  <si>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</si>
  <si>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</si>
  <si>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</si>
  <si>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</si>
  <si>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</si>
  <si>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</si>
  <si>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</si>
  <si>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</si>
  <si>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</si>
  <si>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</si>
  <si>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</si>
  <si>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</si>
  <si>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</si>
  <si>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</si>
  <si>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</si>
  <si>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</si>
  <si>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</si>
  <si>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</si>
  <si>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</si>
  <si>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</si>
  <si>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</si>
  <si>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</si>
  <si>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</si>
  <si>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</si>
  <si>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</si>
  <si>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</si>
  <si>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</si>
  <si>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</si>
  <si>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</si>
  <si>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</si>
  <si>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</si>
  <si>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</si>
  <si>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</si>
  <si>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</si>
  <si>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</si>
  <si>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</si>
  <si>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</si>
  <si>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</si>
  <si>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</si>
  <si>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</si>
  <si>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</si>
  <si>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</si>
  <si>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</si>
  <si>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</si>
  <si>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</si>
  <si>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</si>
  <si>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</si>
  <si>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</si>
  <si>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</si>
  <si>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</si>
  <si>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</si>
  <si>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</si>
  <si>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</si>
  <si>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</si>
  <si>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</si>
  <si>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</si>
  <si>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</si>
  <si>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</si>
  <si>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</si>
  <si>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</si>
  <si>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</si>
  <si>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</si>
  <si>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</si>
  <si>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</si>
  <si>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</si>
  <si>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</si>
  <si>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</si>
  <si>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</si>
  <si>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</si>
  <si>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</si>
  <si>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</si>
  <si>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</si>
  <si>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</si>
  <si>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</si>
  <si>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</si>
  <si>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</si>
  <si>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</si>
  <si>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</si>
  <si>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</si>
  <si>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</si>
  <si>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</si>
  <si>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</si>
  <si>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</si>
  <si>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</si>
  <si>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</si>
  <si>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</si>
  <si>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</si>
  <si>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</si>
  <si>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</si>
  <si>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</si>
  <si>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</si>
  <si>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</si>
  <si>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</si>
  <si>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</si>
  <si>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</si>
  <si>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</si>
  <si>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</si>
  <si>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</si>
  <si>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</si>
  <si>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</si>
  <si>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</si>
  <si>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</si>
  <si>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</si>
  <si>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</si>
  <si>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</si>
  <si>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</si>
  <si>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</si>
  <si>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</si>
  <si>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</si>
  <si>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</si>
  <si>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</si>
  <si>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</si>
  <si>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</si>
  <si>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</si>
  <si>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</si>
  <si>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</si>
  <si>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</si>
  <si>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</si>
  <si>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</si>
  <si>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</si>
  <si>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</si>
  <si>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</si>
  <si>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</si>
  <si>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</si>
  <si>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</si>
  <si>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</si>
  <si>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</si>
  <si>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</si>
  <si>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</si>
  <si>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</si>
  <si>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</si>
  <si>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</si>
  <si>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</si>
  <si>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</si>
  <si>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</si>
  <si>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</si>
  <si>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</si>
  <si>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</si>
  <si>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</si>
  <si>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</si>
  <si>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</si>
  <si>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</si>
  <si>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</si>
  <si>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</si>
  <si>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</si>
  <si>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</si>
  <si>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</si>
  <si>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</si>
  <si>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</si>
  <si>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</si>
  <si>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</si>
  <si>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</si>
  <si>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</si>
  <si>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</si>
  <si>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</si>
  <si>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</si>
  <si>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</si>
  <si>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</si>
  <si>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</si>
  <si>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</si>
  <si>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</si>
  <si>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</si>
  <si>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</si>
  <si>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</si>
  <si>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</si>
  <si>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</si>
  <si>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</si>
  <si>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</si>
  <si>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</si>
  <si>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</si>
  <si>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</si>
  <si>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</si>
  <si>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</si>
  <si>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</si>
  <si>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</si>
  <si>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</si>
  <si>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</si>
  <si>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</si>
  <si>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:::{note}&lt;br&gt;**This content was adapted from: The Density Handbook**, "[Using Camera Traps to Estimate Medium and Large Mammal Density: Comparison of Methods and Recommendations for Wildlife Managers](https://www.researchgate.net/publication/368601884_Using_cam_Traps_to_Estimate_Medium_and_Large_Mammal_Density_Comparison_of_Methods_and_Recommendations_for_Wildlife_Managers)" (Clarke et al., 2023)&lt;br&gt;:::</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</si>
  <si>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</si>
  <si>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</si>
  <si>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</si>
  <si>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</si>
  <si>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</si>
  <si>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</si>
  <si>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</si>
  <si>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</si>
  <si>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</si>
  <si>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</si>
  <si>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</si>
  <si>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</si>
  <si>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</si>
  <si>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</si>
  <si>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</si>
  <si>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</si>
  <si>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</si>
  <si>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</si>
  <si>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</si>
  <si>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</si>
  <si>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</si>
  <si>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</si>
  <si>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</si>
  <si>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</si>
  <si>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</si>
  <si>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</si>
  <si>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</si>
  <si>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</si>
  <si>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</si>
  <si>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</si>
  <si>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</si>
  <si>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</si>
  <si>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</si>
  <si>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</si>
  <si>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</si>
  <si>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</si>
  <si>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</si>
  <si>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</si>
  <si>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</si>
  <si>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</si>
  <si>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</si>
  <si>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</si>
  <si>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</si>
  <si>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</si>
  <si>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</si>
  <si>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</si>
  <si>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</si>
  <si>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</si>
  <si>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</si>
  <si>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</si>
  <si>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</si>
  <si>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</si>
  <si>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</si>
  <si>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</si>
  <si>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</si>
  <si>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</si>
  <si>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</si>
  <si>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</si>
  <si>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</si>
  <si>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</si>
  <si>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</si>
  <si>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</si>
  <si>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</si>
  <si>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</si>
  <si>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</si>
  <si>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</si>
  <si>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</si>
  <si>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</si>
  <si>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</si>
  <si>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</si>
  <si>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</si>
  <si>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</si>
  <si>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</si>
  <si>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</si>
  <si>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</si>
  <si>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</si>
  <si>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</si>
  <si>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</si>
  <si>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</si>
  <si>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</si>
  <si>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</si>
  <si>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</si>
  <si>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</si>
  <si>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</si>
  <si>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</si>
  <si>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</si>
  <si>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</si>
  <si>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</si>
  <si>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</si>
  <si>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</si>
  <si>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</si>
  <si>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</si>
  <si>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</si>
  <si>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</si>
  <si>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</si>
  <si>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</si>
  <si>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</si>
  <si>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</si>
  <si>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</si>
  <si>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</si>
  <si>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</si>
  <si>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</si>
  <si>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</si>
  <si>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</si>
  <si>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</si>
  <si>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</si>
  <si>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</si>
  <si>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</si>
  <si>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</si>
  <si>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</si>
  <si>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</si>
  <si>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</si>
  <si>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</si>
  <si>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</si>
  <si>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</si>
  <si>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</si>
  <si>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</si>
  <si>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</si>
  <si>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</si>
  <si>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</si>
  <si>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</si>
  <si>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</si>
  <si>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</si>
  <si>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</si>
  <si>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</si>
  <si>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</si>
  <si>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</si>
  <si>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</si>
  <si>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</si>
  <si>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</si>
  <si>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</si>
  <si>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</si>
  <si>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</si>
  <si>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</si>
  <si>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</si>
  <si>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</si>
  <si>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</si>
  <si>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</si>
  <si>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</si>
  <si>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</si>
  <si>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</si>
  <si>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</si>
  <si>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</si>
  <si>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</si>
  <si>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</si>
  <si>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</si>
  <si>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</si>
  <si>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</si>
  <si>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</si>
  <si>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</si>
  <si>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</si>
  <si>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</si>
  <si>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</si>
  <si>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</si>
  <si>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</si>
  <si>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</si>
  <si>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</si>
  <si>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</si>
  <si>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</si>
  <si>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</si>
  <si>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</si>
  <si>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</si>
  <si>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</si>
  <si>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</si>
  <si>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</si>
  <si>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</si>
  <si>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</si>
  <si>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</si>
  <si>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</si>
  <si>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</si>
  <si>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</si>
  <si>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</si>
  <si>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</si>
  <si>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</si>
  <si>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</si>
  <si>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</si>
  <si>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</si>
  <si>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</si>
  <si>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</si>
  <si>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</si>
  <si>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</si>
  <si>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</si>
  <si>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</si>
  <si>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</si>
  <si>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</si>
  <si>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</si>
  <si>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</si>
  <si>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</si>
  <si>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</si>
  <si>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</si>
  <si>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</si>
  <si>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</si>
  <si>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</si>
  <si>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</si>
  <si>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</si>
  <si>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</si>
  <si>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</si>
  <si>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</si>
  <si>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</si>
  <si>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</si>
  <si>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</si>
  <si>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</si>
  <si>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</si>
  <si>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</si>
  <si>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</si>
  <si>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</si>
  <si>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</si>
  <si>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</si>
  <si>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</si>
  <si>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</si>
  <si>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</si>
  <si>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</si>
  <si>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</si>
  <si>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</si>
  <si>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</si>
  <si>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</si>
  <si>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</si>
  <si>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</si>
  <si>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</si>
  <si>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</si>
  <si>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</si>
  <si>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</si>
  <si>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</si>
  <si>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</si>
  <si>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</si>
  <si>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</si>
  <si>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</si>
  <si>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</si>
  <si>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</si>
  <si>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</si>
  <si>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</si>
  <si>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</si>
  <si>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</si>
  <si>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</si>
  <si>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</si>
  <si>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</si>
  <si>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</si>
  <si>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</si>
  <si>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</si>
  <si>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</si>
  <si>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</si>
  <si>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</si>
  <si>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</si>
  <si>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</si>
  <si>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</si>
  <si>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</si>
  <si>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</si>
  <si>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</si>
  <si>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</si>
  <si>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</si>
  <si>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</si>
  <si>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</si>
  <si>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</si>
  <si>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</si>
  <si>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</si>
  <si>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</si>
  <si>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</si>
  <si>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</si>
  <si>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</si>
  <si>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</si>
  <si>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</si>
  <si>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</si>
  <si>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</si>
  <si>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</si>
  <si>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</si>
  <si>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</si>
  <si>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</si>
  <si>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</si>
  <si>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</si>
  <si>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</si>
  <si>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</si>
  <si>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</si>
  <si>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</si>
  <si>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</si>
  <si>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</si>
  <si>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</si>
  <si>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</si>
  <si>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</si>
  <si>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</si>
  <si>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</si>
  <si>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</si>
  <si>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</si>
  <si>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</si>
  <si>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</si>
  <si>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</si>
  <si>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</si>
  <si>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</si>
  <si>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</si>
  <si>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</si>
  <si>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</si>
  <si>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</si>
  <si>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</si>
  <si>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</si>
  <si>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</si>
  <si>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</si>
  <si>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</si>
  <si>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</si>
  <si>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</si>
  <si>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</si>
  <si>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</si>
  <si>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</si>
  <si>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</si>
  <si>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</si>
  <si>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</si>
  <si>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</si>
  <si>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</si>
  <si>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</si>
  <si>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</si>
  <si>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</si>
  <si>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</si>
  <si>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</si>
  <si>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</si>
  <si>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</si>
  <si>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</si>
  <si>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</si>
  <si>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</si>
  <si>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</si>
  <si>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</si>
  <si>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</si>
  <si>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</si>
  <si>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</si>
  <si>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</si>
  <si>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</si>
  <si>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</si>
  <si>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</si>
  <si>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</si>
  <si>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</si>
  <si>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</si>
  <si>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</si>
  <si>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</si>
  <si>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</si>
  <si>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</si>
  <si>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</si>
  <si>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</si>
  <si>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</si>
  <si>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</si>
  <si>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</si>
  <si>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</si>
  <si>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</si>
  <si>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</si>
  <si>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</si>
  <si>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</si>
  <si>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</si>
  <si>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</si>
  <si>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</si>
  <si>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</si>
  <si>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</si>
  <si>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</si>
  <si>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</si>
  <si>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</si>
  <si>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</si>
  <si>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</si>
  <si>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</si>
  <si>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</si>
  <si>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</si>
  <si>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</si>
  <si>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</si>
  <si>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</si>
  <si>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</si>
  <si>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</si>
  <si>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</si>
  <si>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</si>
  <si>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</si>
  <si>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</si>
  <si>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</si>
  <si>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</si>
  <si>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</si>
  <si>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</si>
  <si>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</si>
  <si>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</si>
  <si>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</si>
  <si>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</si>
  <si>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</si>
  <si>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</si>
  <si>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</si>
  <si>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</si>
  <si>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</si>
  <si>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</si>
  <si>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</si>
  <si>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</si>
  <si>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</si>
  <si>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</si>
  <si>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</si>
  <si>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</si>
  <si>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</si>
  <si>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</si>
  <si>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</si>
  <si>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</si>
  <si>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</si>
  <si>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</si>
  <si>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</si>
  <si>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</si>
  <si>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</si>
  <si>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</si>
  <si>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</si>
  <si>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</si>
  <si>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</si>
  <si>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</si>
  <si>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</si>
  <si>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</si>
  <si>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</si>
  <si>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</si>
  <si>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</si>
  <si>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</si>
  <si>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</si>
  <si>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</si>
  <si>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</si>
  <si>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</si>
  <si>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</si>
  <si>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</si>
  <si>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</si>
  <si>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</si>
  <si>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</si>
  <si>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</si>
  <si>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</si>
  <si>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</si>
  <si>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</si>
  <si>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</si>
  <si>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</si>
  <si>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</si>
  <si>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</si>
  <si>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</si>
  <si>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</si>
  <si>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</si>
  <si>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</si>
  <si>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</si>
  <si>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</si>
  <si>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</si>
  <si>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</si>
  <si>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</si>
  <si>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</si>
  <si>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</si>
  <si>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</si>
  <si>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</si>
  <si>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</si>
  <si>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</si>
  <si>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</si>
  <si>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</si>
  <si>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</si>
  <si>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</si>
  <si>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</si>
  <si>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</si>
  <si>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</si>
  <si>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</si>
  <si>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</si>
  <si>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</si>
  <si>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</si>
  <si>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</si>
  <si>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</si>
  <si>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</si>
  <si>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</si>
  <si>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</si>
  <si>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</si>
  <si>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</si>
  <si>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</si>
  <si>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</si>
  <si>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</si>
  <si>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</si>
  <si>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</si>
  <si>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</si>
  <si>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</si>
  <si>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</si>
  <si>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</si>
  <si>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</si>
  <si>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</si>
  <si>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</si>
  <si>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</si>
  <si>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</si>
  <si>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</si>
  <si>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</si>
  <si>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</si>
  <si>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</si>
  <si>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</si>
  <si>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</si>
  <si>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</si>
  <si>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</si>
  <si>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</si>
  <si>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</si>
  <si>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</si>
  <si>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</si>
  <si>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</si>
  <si>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</si>
  <si>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</si>
  <si>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</si>
  <si>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</si>
  <si>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</si>
  <si>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</si>
  <si>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</si>
  <si>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</si>
  <si>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</si>
  <si>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</si>
  <si>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</si>
  <si>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</si>
  <si>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</si>
  <si>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</si>
  <si>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</si>
  <si>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</si>
  <si>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</si>
  <si>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</si>
  <si>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</si>
  <si>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</si>
  <si>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</si>
  <si>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</si>
  <si>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</si>
  <si>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</si>
  <si>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</si>
  <si>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</si>
  <si>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</si>
  <si>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</si>
  <si>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</si>
  <si>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</si>
  <si>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</si>
  <si>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</si>
  <si>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</si>
  <si>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</si>
  <si>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</si>
  <si>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</si>
  <si>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</si>
  <si>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</si>
  <si>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</si>
  <si>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</si>
  <si>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</si>
  <si>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</si>
  <si>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</si>
  <si>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</si>
  <si>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</si>
  <si>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</si>
  <si>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</si>
  <si>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</si>
  <si>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</si>
  <si>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</si>
  <si>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</si>
  <si>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</si>
  <si>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</si>
  <si>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</si>
  <si>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</si>
  <si>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</si>
  <si>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</si>
  <si>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</si>
  <si>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</si>
  <si>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</si>
  <si>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</si>
  <si>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</si>
  <si>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</si>
  <si>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</si>
  <si>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</si>
  <si>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</si>
  <si>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</si>
  <si>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</si>
  <si>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</si>
  <si>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</si>
  <si>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</si>
  <si>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</si>
  <si>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</si>
  <si>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</si>
  <si>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</si>
  <si>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</si>
  <si>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</si>
  <si>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</si>
  <si>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</si>
  <si>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</si>
  <si>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</si>
  <si>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</si>
  <si>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</si>
  <si>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</si>
  <si>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</si>
  <si>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</si>
  <si>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</si>
  <si>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</si>
  <si>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</si>
  <si>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</si>
  <si>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</si>
  <si>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</si>
  <si>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</si>
  <si>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</si>
  <si>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</si>
  <si>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</si>
  <si>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</si>
  <si>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</si>
  <si>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</si>
  <si>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</si>
  <si>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</si>
  <si>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</si>
  <si>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</si>
  <si>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</si>
  <si>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</si>
  <si>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</si>
  <si>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</si>
  <si>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</si>
  <si>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</si>
  <si>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</si>
  <si>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 xml:space="preserve">    mod_appl_mod_2flankspim: "Density / population size; Partially Marked"</t>
  </si>
  <si>
    <t xml:space="preserve">    mod_appl_mod_behaviour: "Behaviour"</t>
  </si>
  <si>
    <t xml:space="preserve">    mod_appl_mod_catspim: "Density / population size; Partially Marked"</t>
  </si>
  <si>
    <t xml:space="preserve">    mod_appl_mod_cr_cmr: "Population size / Absolute abundance / Vital rates / Density; Marked"</t>
  </si>
  <si>
    <t xml:space="preserve">    mod_appl_mod_divers_rich_alpha: "Alpha richness (α)"</t>
  </si>
  <si>
    <t xml:space="preserve">    mod_appl_mod_divers_rich_beta: "Beta-diversity (β)"</t>
  </si>
  <si>
    <t xml:space="preserve">    mod_appl_mod_divers_rich_divers: "Species diversity"</t>
  </si>
  <si>
    <t xml:space="preserve">    mod_appl_mod_divers_rich_gamma: "Gamma richness (γ)"</t>
  </si>
  <si>
    <t xml:space="preserve">    mod_appl_mod_divers_rich_rich: "Species richness"</t>
  </si>
  <si>
    <t xml:space="preserve">    mod_appl_mod_ds: "Density; Unmarked"</t>
  </si>
  <si>
    <t xml:space="preserve">    mod_appl_mod_inventory: "Species inventory, presence"</t>
  </si>
  <si>
    <t xml:space="preserve">    mod_appl_mod_is: "Density; Unmarked"</t>
  </si>
  <si>
    <t xml:space="preserve">    mod_appl_mod_occupancy: "Occupancy"</t>
  </si>
  <si>
    <t xml:space="preserve">    mod_appl_mod_rai: "Relative abundance"</t>
  </si>
  <si>
    <t xml:space="preserve">    mod_appl_mod_rai_hurdle: "Relative abundance"</t>
  </si>
  <si>
    <t xml:space="preserve">    mod_appl_mod_rai_nb: "Relative abundance"</t>
  </si>
  <si>
    <t xml:space="preserve">    mod_appl_mod_rai_zinb: "Relative abundance"</t>
  </si>
  <si>
    <t xml:space="preserve">    mod_appl_mod_rai_zip: "Relative abundance"</t>
  </si>
  <si>
    <t xml:space="preserve">    mod_appl_mod_rem: "Density; Unmarked"</t>
  </si>
  <si>
    <t xml:space="preserve">    mod_appl_mod_rest: "Density; Unmarked"</t>
  </si>
  <si>
    <t xml:space="preserve">    mod_appl_mod_sc: "Density; Unmarked"</t>
  </si>
  <si>
    <t xml:space="preserve">    mod_appl_mod_scr_secr: "Density / population size; Marked"</t>
  </si>
  <si>
    <t xml:space="preserve">    mod_appl_mod_smr: "Density; Marked"</t>
  </si>
  <si>
    <t xml:space="preserve">    mod_appl_mod_ste: "Density; Unmarked"</t>
  </si>
  <si>
    <t xml:space="preserve">    mod_appl_mod_tifc: "Density; Unmarked"</t>
  </si>
  <si>
    <t xml:space="preserve">    mod_appl_mod_tte: "Density; Unmarked"</t>
  </si>
  <si>
    <t xml:space="preserve">    name_mod_2flankspim: "Spatial Partial Identity Model (2-flank SPIM)"</t>
  </si>
  <si>
    <t xml:space="preserve">    name_mod_behaviour: "Behaviour"</t>
  </si>
  <si>
    <t xml:space="preserve">    name_mod_catspim: "Spatial Partial Identity Model (Categorical SPIM; catSPIM)"</t>
  </si>
  <si>
    <t xml:space="preserve">    name_mod_cr_cmr: "Capture-recapture (CR) / Capture-mark-recapture (CMR)"</t>
  </si>
  <si>
    <t xml:space="preserve">    name_mod_divers_rich: "Species diversity &amp; richness"</t>
  </si>
  <si>
    <t xml:space="preserve">    name_mod_ds: "Distance sampling (DS)"</t>
  </si>
  <si>
    <t xml:space="preserve">    name_mod_inventory: "Species inventory"</t>
  </si>
  <si>
    <t xml:space="preserve">    name_mod_is: "Instantaneous sampling (IS)"</t>
  </si>
  <si>
    <t xml:space="preserve">    name_mod_occupancy: "Occupancy"</t>
  </si>
  <si>
    <t xml:space="preserve">    name_mod_rai: "Relative abundance indices"</t>
  </si>
  <si>
    <t xml:space="preserve">    name_mod_rai_hurdle: "Hurdle"</t>
  </si>
  <si>
    <t xml:space="preserve">    name_mod_rai_nb: "Negative binomial (NB)"</t>
  </si>
  <si>
    <t xml:space="preserve">    name_mod_rai_zinb: "Zero-inflated negative binomial (ZINB) "</t>
  </si>
  <si>
    <t xml:space="preserve">    name_mod_rai_zip: "Zero-inflated Poisson (ZIP)"</t>
  </si>
  <si>
    <t xml:space="preserve">    name_mod_rem: "Random encounter model (REM)"</t>
  </si>
  <si>
    <t xml:space="preserve">    name_mod_rest: "Random encounter and staying time (REST)"</t>
  </si>
  <si>
    <t xml:space="preserve">    name_mod_sc: "Spatial count (SC) model / Unmarked spatial capture-recapture"</t>
  </si>
  <si>
    <t xml:space="preserve">    name_mod_scr_secr: "Spatial capture-recapture (SCR) / Spatially explicit capture recapture (SECR)"</t>
  </si>
  <si>
    <t xml:space="preserve">    name_mod_smr: "Spatial mark-resight "</t>
  </si>
  <si>
    <t xml:space="preserve">    name_mod_ste: "Space-to-event (STE)"</t>
  </si>
  <si>
    <t xml:space="preserve">    name_mod_tifc: "Time in front of the camera (TIFC)"</t>
  </si>
  <si>
    <t xml:space="preserve">    name_mod_tte: "Time-to-event (TTE)"</t>
  </si>
  <si>
    <t xml:space="preserve">    name_obj_abundance: "Absolute abundance / Population size"</t>
  </si>
  <si>
    <t xml:space="preserve">    name_obj_behaviour: "Behaviour"</t>
  </si>
  <si>
    <t xml:space="preserve">    name_obj_density: "Density"</t>
  </si>
  <si>
    <t xml:space="preserve">    name_obj_divers_rich: "Species diversity &amp; richness"</t>
  </si>
  <si>
    <t xml:space="preserve">    name_obj_inventory: "Species inventory"</t>
  </si>
  <si>
    <t xml:space="preserve">    name_obj_occupancy: "Occupancy"</t>
  </si>
  <si>
    <t xml:space="preserve">    name_obj_rel_abund: "Relative abundance"</t>
  </si>
  <si>
    <t xml:space="preserve">    name_obj_vital_rate: "Vital rates"</t>
  </si>
  <si>
    <t>moeller_lukacs_2021</t>
  </si>
  <si>
    <t>brooks_et_al_2017</t>
  </si>
  <si>
    <t>cremmural_nd</t>
  </si>
  <si>
    <t>https://doi.org/10.1111/j.1751-5823.2007.00030_17.x</t>
  </si>
  <si>
    <t>Zuur, A. K., Ieno, E. N., &amp; Smith, G. M. (2007). Generalised linear modelling. In, M. Gail, K. Krickeberg, J. Samet, A. Tsiatis, &amp; W. Wong (Eds.), *Analysing Ecological Data* (pp 79-96). Springer. &lt;https://doi.org/10.1111/j.1751-5823.2007.00030_17.x&gt;</t>
  </si>
  <si>
    <t xml:space="preserve">Zuur, Ieno, &amp; Smith, 2007 </t>
  </si>
  <si>
    <t>Zuur et al., 2007</t>
  </si>
  <si>
    <t>zuur_et_al_2007</t>
  </si>
  <si>
    <t>Article</t>
  </si>
  <si>
    <t>https://doi.org/10.1007/s40823-020-00059-4</t>
  </si>
  <si>
    <t>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t>
  </si>
  <si>
    <t>Zuckerberg et al., 2020</t>
  </si>
  <si>
    <t>zuckerberg_et_al_2020</t>
  </si>
  <si>
    <t>https://doi.org/10.1177/0049124198026003004</t>
  </si>
  <si>
    <t>Zorn, C. J. W. (1998). An Analytic and Empirical Examination of Zero-inflated and Hurdle Poisson Specifications. *Sociological Methods and Research 26*(3), 368-400. &lt;https://doi.org/10.1177/0049124198026003004&gt;</t>
  </si>
  <si>
    <t>Zorn, 1998</t>
  </si>
  <si>
    <t>zorn_1998</t>
  </si>
  <si>
    <t>https://doi.org/10.18637/jss.v027.i08</t>
  </si>
  <si>
    <t>Zeileis, A., Kleiber, C., &amp; Jackman, S. (2008). Regression Models for Count Data in R. *Journal of Statistical Software, 27*(8). &lt;https://doi.org/10.18637/jss.v027.i08&gt;</t>
  </si>
  <si>
    <t>Zeileis et al., 2008</t>
  </si>
  <si>
    <t>zeileis_et_al_2008</t>
  </si>
  <si>
    <t>https://doi.org/10.1890/14-1928.1</t>
  </si>
  <si>
    <t>Yue, S., Brodie, J. F., Zipkin, E. F., &amp; Bernard, H. (2015). Oil palm plantations fail to support mammal diversity. *Ecological Applications, 25*(8), 2285-2292. &lt;https://doi.org/10.1890/14-1928.1&gt;</t>
  </si>
  <si>
    <t>Yue et al., 2015</t>
  </si>
  <si>
    <t>yue_et_al_2015</t>
  </si>
  <si>
    <t>https://doi.org/10.1002/ece3.11434</t>
  </si>
  <si>
    <t>Yu, H., Lin, Z., &amp; F. Xiao. (2024). Role of Body Size and Shape in Animal Camouflage. *Ecology and Evolution, 14*(5), e11434. &lt;https://doi.org/10.1002/ece3.11434&gt;</t>
  </si>
  <si>
    <t>Yu et al., 2024</t>
  </si>
  <si>
    <t>yu_et_al_2024</t>
  </si>
  <si>
    <t>https://doi.org/10.1002/ece3.4464</t>
  </si>
  <si>
    <t>Young, S., Rode-Margono, J., &amp; Amin, R. (2018). Software to facilitate and streamline camera trap data management: A review. *Ecology and Evolution, 8*(19), 9947-9957. &lt;https://doi.org/10.1002/ece3.4464&gt;</t>
  </si>
  <si>
    <t>Young, Rode-Margono &amp; Amin, 2018</t>
  </si>
  <si>
    <t>Young et al., 2018</t>
  </si>
  <si>
    <t>young_et_al_2018</t>
  </si>
  <si>
    <t>https://doi.org/10.3398/064.079.0401</t>
  </si>
  <si>
    <t>Windell, R. M., Lewis, J. S., Gramza, A. R., &amp; Crooks, K. R. (2019). Carnivore Carrying Behavior as Documented with Wildlife Camera Traps. *Western North American Naturalist, 79*(4), 471. &lt;https://doi.org/10.3398/064.079.0401&gt;</t>
  </si>
  <si>
    <t>Windell et al., 2019</t>
  </si>
  <si>
    <t>windell_et_al_2019</t>
  </si>
  <si>
    <t>https://go.exlibris.link/qSfqP9dC</t>
  </si>
  <si>
    <t>Williams, B. K., Nichols, J. D., &amp; Conroy, M. J. (2002). *Analysis and Management of Animal Populations: Modeling, Estimation, and Decision Making*. Book, Whole. San Diego: Academic Press. &lt;https://go.exlibris.link/qSfqP9dC&gt;</t>
  </si>
  <si>
    <t>Williams, Nichols, &amp; Conroy, 2002</t>
  </si>
  <si>
    <t>Williams et al., 2002</t>
  </si>
  <si>
    <t>williams_et_al_2002</t>
  </si>
  <si>
    <t>Book/Book section</t>
  </si>
  <si>
    <t>https://www.youtube.com/watch?v=h3MLWK9IJ4A</t>
  </si>
  <si>
    <t>https://www.youtube.com/embed/h3MLWK9IJ4A?si=qOKB8jyALD3cwgAe</t>
  </si>
  <si>
    <t>The Wildlife Degree (2022, Feb 3). *Rarefied Species Accumulation Curves (the simple way) tutorial.* [Video]. YouTube. &lt;https://www.youtube.com/watch?v=h3MLWK9IJ4A&gt;</t>
  </si>
  <si>
    <t>The Wildlife Degree (2022)</t>
  </si>
  <si>
    <t>wildlifedegree_2022</t>
  </si>
  <si>
    <t>Video</t>
  </si>
  <si>
    <t>https://www.wildlabs.net/event/how-do-i-get-started-megadetector</t>
  </si>
  <si>
    <t>The WILDLABS Partnership (2021). *How do I get started with Megadetector?* Siyu Y. &lt;https://www.wildlabs.net/event/how-do-i-get-started-megadetector&gt;</t>
  </si>
  <si>
    <t>The WILDLABS Partnership, 2021</t>
  </si>
  <si>
    <t>wildlabs_2021</t>
  </si>
  <si>
    <t>Tutorial/code</t>
  </si>
  <si>
    <t>https://bookdown.org/c_w_beirne/wildCo-Data-Analysis/activity.html</t>
  </si>
  <si>
    <r>
      <t>WildCo Lab (2021d). *</t>
    </r>
    <r>
      <rPr>
        <sz val="12"/>
        <color rgb="FF000000"/>
        <rFont val="Calibri"/>
        <family val="2"/>
      </rPr>
      <t>Chapter 12 Activity*. &lt;</t>
    </r>
    <r>
      <rPr>
        <sz val="12"/>
        <color theme="1"/>
        <rFont val="Calibri"/>
        <family val="2"/>
      </rPr>
      <t>https://bookdown.org/c_w_beirne/wildCo-Data-Analysis/activity.html</t>
    </r>
    <r>
      <rPr>
        <sz val="12"/>
        <color rgb="FF000000"/>
        <rFont val="Calibri"/>
        <family val="2"/>
      </rPr>
      <t>&gt;</t>
    </r>
  </si>
  <si>
    <t>WildCo Lab, 2021d</t>
  </si>
  <si>
    <t>wildco_lab_2021d</t>
  </si>
  <si>
    <t>https://bookdown.org/c_w_beirne/wildCo-Data-Analysis/behavior.html</t>
  </si>
  <si>
    <t>https://bookdown.org/c_w_beirne/wildCo-Data-Analysis/occupancy.html</t>
  </si>
  <si>
    <t>WildCo Lab (2021c). *Chapter 11 Occupancy*. &lt;https://bookdown.org/c_w_beirne/wildCo-Data-Analysis/occupancy.html&gt;</t>
  </si>
  <si>
    <t>WildCo Lab, 2021c</t>
  </si>
  <si>
    <t>wildco_lab_2021c</t>
  </si>
  <si>
    <t>https://bookdown.org/c_w_beirne/wildCo-Data-Analysis/#what-this-guide-is</t>
  </si>
  <si>
    <t>WildCo Lab (2021b). *WildCo: Reproducible camera trap data exploration and analysis examples in R*. University of British Columbia. &lt;https://bookdown.org/c_w_beirne/wildCo-Data-Analysis/#what-this-guide-is&gt;</t>
  </si>
  <si>
    <t>WildCo Lab, 2021b</t>
  </si>
  <si>
    <t>wildco_lab_2021b</t>
  </si>
  <si>
    <t>https://github.com/WildCoLab/WildCo_Face_Blur</t>
  </si>
  <si>
    <t>WildCo Lab (2021a). *WildCo-FaceBlur.* &lt;https://github.com/WildCoLab/WildCo_Face_Blur&gt;</t>
  </si>
  <si>
    <t>WildCo Lab, 2021a</t>
  </si>
  <si>
    <t>wildco_lab_2021a</t>
  </si>
  <si>
    <t>https://github.com/WildCoLab/WildCo_Image_Renamer</t>
  </si>
  <si>
    <t>WildCo Lab (2020). *WildCo_Image_Renamer.* &lt;https://github.com/WildCoLab/WildCo_Image_Renamer&gt;</t>
  </si>
  <si>
    <t>WildCo Lab, 2020</t>
  </si>
  <si>
    <t>wildco_2020</t>
  </si>
  <si>
    <t>https://wildcams.ca/site/assets/files/1390/wildcam_network_camera_trapping_best_practices_literature_synthesis.pdf</t>
  </si>
  <si>
    <t>WildCAM Network (2019). *WildCAM Network Camera Trapping Best Practices Literature Synthesis.* &lt;https://wildcams.ca/site/assets/files/1390/wildcam_network_camera_trapping_best_practices_literature_synthesis.pdf&gt;</t>
  </si>
  <si>
    <t>WildCAM Network, 2019</t>
  </si>
  <si>
    <t>wildcam_network_2019</t>
  </si>
  <si>
    <t>https://www.nature.com/articles/s41598-019-40581-y</t>
  </si>
  <si>
    <t>Whittington, J., Low, P., &amp; Hunt, B. (2019). Temporal road closures improve habitat quality for wildlife. *Scientific Reports, 9* (1), 3772. &lt;https://www.nature.com/articles/s41598-019-40581-y&gt;</t>
  </si>
  <si>
    <t>Whittington, Low &amp; Hunt, 2019</t>
  </si>
  <si>
    <t>Whittington et al., 2019</t>
  </si>
  <si>
    <t>whittington_et_al_2019</t>
  </si>
  <si>
    <t>https://doi.org/10.1111/1365-2664.12954</t>
  </si>
  <si>
    <t>Whittington, J., Hebblewhite, M., Chandler, R. B., &amp; Lentini, P. (2018). Generalized spatial mark-resight models with an application to grizzly bears. *Journal of Applied Ecology, 55*(1), 157-168. &lt;https://doi.org/10.1111/1365-2664.12954&gt;</t>
  </si>
  <si>
    <t>Whittington et al., 2018</t>
  </si>
  <si>
    <t>whittington_et_al_2018</t>
  </si>
  <si>
    <t>https://doi.org/10.1111/j.0006-341X.2000.00022.x</t>
  </si>
  <si>
    <t>Welsh, A. H., Cunningham, R. B., &amp; Chambers, R. L. (2000). Methodology for estimating the abundance of rare animals: Seabird nesting on North East Herald Cay. *Biometrics, 56*(1), 22-30. &lt;https://doi.org/10.1111/j.0006-341X.2000.00022.x&gt;</t>
  </si>
  <si>
    <t>Welsh et al., 2000</t>
  </si>
  <si>
    <t>welsh_et_al_2000</t>
  </si>
  <si>
    <t>https://doi.org/10.1002/wsb.425</t>
  </si>
  <si>
    <t>Wellington, K., Bottom, C., Merrill, C., &amp; Litvaitis, J. A. (2014). Identifying performance differences among trail cameras used to monitor forest mammals. *Wildlife Society Bulletin, 38*(3), 634-638. &lt;https://doi.org/10.1002/wsb.425&gt;</t>
  </si>
  <si>
    <t>Wellington et al., 2014</t>
  </si>
  <si>
    <t>wellington_et_al_2014</t>
  </si>
  <si>
    <t>MAYBE</t>
  </si>
  <si>
    <t>https://doi.or/10.1002/rse2.20</t>
  </si>
  <si>
    <t>Welbourne, D. J., Claridge, A. W., Paul, D. J., &amp; Lambert, A. (2016). How do passive infrared triggered camera traps operate and why does it matter? Breaking down common misconceptions. *Remote Sensing in Ecology and Conservation*, 77-83. &lt;https://doi.or/10.1002/rse2.20&gt;</t>
  </si>
  <si>
    <t>Welbourne et al., 2016</t>
  </si>
  <si>
    <t>welbourne_et_al_2016</t>
  </si>
  <si>
    <t>https://doi.org/10.1017/S1367943004001441</t>
  </si>
  <si>
    <t>Wegge, P., C. P. Pokheral, &amp; Jnawali, S. R. (2004). Effects of trapping effort and trap shyness on estimates of tiger abundance from camera trap studies. *Animal Conservation, 7*, 251-256. &lt;https://doi.org/10.1017/S1367943004001441&gt;</t>
  </si>
  <si>
    <t>Wegge et al., 2004</t>
  </si>
  <si>
    <t>wegge_et_al_2004</t>
  </si>
  <si>
    <t>https://www.youtube.com/watch?v=0VObf2rMrI8</t>
  </si>
  <si>
    <t>https://www.youtube.com/embed/0VObf2rMrI8?si=g2v0XDwVp9WktP9D</t>
  </si>
  <si>
    <t>weecology (2020, Oct 30). *Introduction to Species Distribution Modeling Using R.* [Video]. YouTube. &lt;https://www.youtube.com/watch?v=0VObf2rMrI8&gt;</t>
  </si>
  <si>
    <t>weecology (2020)</t>
  </si>
  <si>
    <t>weecology_2020</t>
  </si>
  <si>
    <t>https://doi.org/10.1002/wsb.1011</t>
  </si>
  <si>
    <t>Webster, S. C., &amp; Beasley, J. C. (2019). Influence of lure choice and Survey duration on scent stations for carnivore Surveys. *Wildlife Society Bulletin, 43*(4), 661-668. &lt;https://doi.org/10.1002/wsb.1011&gt;</t>
  </si>
  <si>
    <t>Webster et al., 2019</t>
  </si>
  <si>
    <t>webster_et_al_2019</t>
  </si>
  <si>
    <t>https://doi.org/10.1098/rsos.181748</t>
  </si>
  <si>
    <t>Wearn, O. R., &amp; Glover-Kapfer, P. (2019). Snap happy: Camera traps are an effective sampling tool when compared with alternative methods. *Royal Society Open Science, 6*(3), 181748. &lt;https://doi.org/10.1098/rsos.181748&gt;</t>
  </si>
  <si>
    <t>Wearn &amp; Glover-Kapfer, 2019</t>
  </si>
  <si>
    <t>wearn_gloverkapfer_2019</t>
  </si>
  <si>
    <t>http://dx.doi.org/10.13140/RG.2.2.23409.17767</t>
  </si>
  <si>
    <t>Wearn, O. R., &amp; Glover-Kapfer, P. (2017). Camera-Trapping for Conservation: A Guide to Best-ractices. *WWF conservation technology series, 1*, 1-181. &lt;http://dx.doi.org/10.13140/RG.2.2.23409.17767&gt;</t>
  </si>
  <si>
    <t>Wearn &amp; Glover-Kapfer, 2017</t>
  </si>
  <si>
    <t>wearn_gloverkapfer_2017</t>
  </si>
  <si>
    <t>https://doi.org/10.1890/15-1363</t>
  </si>
  <si>
    <t>Wearn, O. R., Carbone, C., Rowcliffe, J. M., Bernard, H. &amp; Ewers, R. M. (2016). Grain-dependent responses of mammalian diversity to land-use and the implications for conservation set-aside. *Ecological Applications, 26*(5), 1409-1420. &lt;https://doi.org/10.1890/15-1363&gt;</t>
  </si>
  <si>
    <t>Wearn et al., 2016</t>
  </si>
  <si>
    <t>wearn_et_al_2016</t>
  </si>
  <si>
    <t>https://doi.org/10.1371/journal.pone.0077598</t>
  </si>
  <si>
    <t>Wearn, O. R., Rowcliffe, J. M., Carbone, C., Bernard, H., &amp; Ewers, R. M. (2013). Assessing the status of wild felids in a highly-disturbed commercial forest reserve in Borneo and the implications for camera trap Survey design. *PLoS One, 8*(11), e77598. &lt;https://doi.org/10.1371/journal.pone.0077598&gt;</t>
  </si>
  <si>
    <t>Wearn et al., 2013</t>
  </si>
  <si>
    <t>wearn_et_al_2013</t>
  </si>
  <si>
    <t>https://doi.org/10.1016/j.gecco.2020.e01212</t>
  </si>
  <si>
    <t>Warbington, C. H., &amp; Boyce, M. S. (2020). Population Density of sitatunga in riverine wetland habitats. *Global Ecology and Conservation, 24*. &lt;https://doi.org/10.1016/j.gecco.2020.e01212&gt;</t>
  </si>
  <si>
    <t>Warbington &amp; Boyce, 2020</t>
  </si>
  <si>
    <t>warbington_boyce_2020</t>
  </si>
  <si>
    <t>https://doi.org/10.1111/j.2005.0906-7590.04112.x</t>
  </si>
  <si>
    <t>Walther, B. A., &amp; Moore, J. L. (2005). The Concepts of Bias, Precision and Accuracy, and Their Use in Testing the Performance of Species Richness Estimators, with a Literature Review of Estimator Performance. *Ecography, 28*, 815-829. &lt;https://doi.org/10.1111/j.2005.0906-7590.04112.x&gt;</t>
  </si>
  <si>
    <t>Walther &amp; Moore, 2005</t>
  </si>
  <si>
    <t>walther_moore_2005</t>
  </si>
  <si>
    <t>https://www.youtube.com/watch?v=wBx7f4PP8RE</t>
  </si>
  <si>
    <t>VSN International (2022, Jul 13). *Species abundance tools in Genstat* [Video]. YouTube. &lt;https://www.youtube.com/watch?v=wBx7f4PP8RE&gt;</t>
  </si>
  <si>
    <t>VSN International, 2022</t>
  </si>
  <si>
    <t>vsn_international_2022</t>
  </si>
  <si>
    <t>https://doi.org/10.1093/jmammal/gyv150</t>
  </si>
  <si>
    <t>Villette et al., 2016</t>
  </si>
  <si>
    <t>villette_et_al_2016</t>
  </si>
  <si>
    <t>https://academic.oup.com/icb/article/61/3/900/6288456</t>
  </si>
  <si>
    <t>Vidal, M., Wolf, N., Rosenberg, B., Harris, B. P., &amp; Mathis, A. (2021). Perspectives on Individual Animal Identification from Biology and Computer Vision. *Integrative and Comparative Biology, 61*(3), 900-916. &lt;https://academic.oup.com/icb/article/61/3/900/6288456&gt;</t>
  </si>
  <si>
    <t>Vidal et al., 2021</t>
  </si>
  <si>
    <t>vidal_et_al_2021</t>
  </si>
  <si>
    <t>https://doi.org/10.1111/2041-210X.14044</t>
  </si>
  <si>
    <t>Velez, J., McShea, W., Shamon, H., Castiblanco-Camacho, P. J., Tabak, M. A., Chalmers, C., Fergus, P., &amp; Fieberg, J. (2023). An Evaluation of Platforms for Processing Camera-Trap Data using Artificial Intelligence. *Methods in Ecology and Evolution, 145*, 459-477. &lt;https://doi.org/10.1111/2041-210X.14044&gt;</t>
  </si>
  <si>
    <t>Velez et al., 2023</t>
  </si>
  <si>
    <t>velez_et_al_2023</t>
  </si>
  <si>
    <t>https://journals.plos.org/plosone/article?id=10.1371/journal.pone.0234494</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</si>
  <si>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t>
  </si>
  <si>
    <t>Van Wilgenburg et al., 2020</t>
  </si>
  <si>
    <t>vanwilgenburg_et_al_2020</t>
  </si>
  <si>
    <t>https://doi.org/10.3897/natureconservation.15.9616</t>
  </si>
  <si>
    <t>Van Dooren, T. J. M. (2016). Pollinator species richness: Are the declines slowing down? *Nature Conservation, 15*, 11-22. &lt;https://doi.org/10.3897/natureconservation.15.9616&gt;</t>
  </si>
  <si>
    <t>Van Dooren, 2016</t>
  </si>
  <si>
    <t>vandooren_2016</t>
  </si>
  <si>
    <t>https://www.researchgate.net/publication/339271024_Expedition_Field_Techniques_Camera_Trapping</t>
  </si>
  <si>
    <t>Van Berkel, T. (2014). *Camera trapping for wildlife conservation: Expedition field techniques*. Geography Outdoors. &lt;https://www.researchgate.net/publication/339271024_Expedition_Field_Techniques_Camera_Trapping&gt;</t>
  </si>
  <si>
    <t>Van Berkel, 2014</t>
  </si>
  <si>
    <t>van_berkel_2014</t>
  </si>
  <si>
    <t>https://science.uct.ac.za/seec/stats-toolbox-seminars-spatial-and-species-distribution-toolboxes/single-season-occupancy-models-using-bayesian-approach</t>
  </si>
  <si>
    <t>University of Cape Town. (2024d). *Single-season occupancy models using a Bayesian approach.* &lt;https://science.uct.ac.za/seec/stats-toolbox-seminars-spatial-and-species-distribution-toolboxes/single-season-occupancy-models-using-bayesian-approach&gt;</t>
  </si>
  <si>
    <t>University of Cape Town, 2024d</t>
  </si>
  <si>
    <t>u_capetown_2024d</t>
  </si>
  <si>
    <t>https://science.uct.ac.za/seec/stats-toolbox-seminars-spatial-and-species-distribution-toolboxes/species-distribution-modelling</t>
  </si>
  <si>
    <t>University of Cape Town. (2024c). *Species Distribution Modelling.* &lt;https://science.uct.ac.za/seec/stats-toolbox-seminars-spatial-and-species-distribution-toolboxes/species-distribution-modelling&gt;</t>
  </si>
  <si>
    <t>University of Cape Town, 2024c</t>
  </si>
  <si>
    <t>u_capetown_2024c</t>
  </si>
  <si>
    <t>https://science.uct.ac.za/seec/stats-toolbox-seminars-spatial-and-species-distribution-toolboxes/spatial-capture-recapture-scr-modelling</t>
  </si>
  <si>
    <t>University of Cape Town. (2024b). *SEEC Toolbox seminars - Spatial Capture-Recapture (SCR) models.* &lt;https://science.uct.ac.za/seec/stats-toolbox-seminars-spatial-and-species-distribution-toolboxes/spatial-capture-recapture-scr-modelling&gt;</t>
  </si>
  <si>
    <t>University of Cape Town, 2024b</t>
  </si>
  <si>
    <t>u_capetown_2024b</t>
  </si>
  <si>
    <t>https://science.uct.ac.za/seec/stats-toolbox-seminars</t>
  </si>
  <si>
    <t>University of Cape Town. (2024a). *SEEC Toolbox seminars* &lt;https://science.uct.ac.za/seec/stats-toolbox-seminars&gt;</t>
  </si>
  <si>
    <t>University of Cape Town, 2024a</t>
  </si>
  <si>
    <t>u_capetown_2024a</t>
  </si>
  <si>
    <t>https://science.uct.ac.za/sites/default/files/content_migration/science_uct_ac_za/708/files/SEEC%2520Stats%2520Toolbox%2520-%2520Spatial%2520capture%2520recapture%2520slides.pdf</t>
  </si>
  <si>
    <t>University of Cape Town. (2017). *SEEC Toolbox seminars.* [Powerpoint]. &lt;https://science.uct.ac.za/sites/default/files/content_migration/science_uct_ac_za/708/files/SEEC%2520Stats%2520Toolbox%2520-%2520Spatial%2520capture%2520recapture%2520slides.pdf&gt;</t>
  </si>
  <si>
    <t>University of Cape Town, 2017</t>
  </si>
  <si>
    <t>u_capetown_2017</t>
  </si>
  <si>
    <t>https://doi.org/10.1002/ecs2.4165</t>
  </si>
  <si>
    <t>Twining, J. P., McFarlane, C., O'Meara, D., O'Reilly, C., Reyne, M., Montgomery, W. I., Helyar, S., Tosh, D. G., &amp; Augustine, B. C. (2022) A Comparison of Density Estimation Methods for Monitoring Marked and Unmarked Animal Populations. *Ecosphere, 13*(10), e4165. &lt;https://doi.org/10.1002/ecs2.4165&gt;</t>
  </si>
  <si>
    <t>Twining et al., 2022</t>
  </si>
  <si>
    <t>twining_et_al_2022</t>
  </si>
  <si>
    <t>https://www.youtube.com/watch?v=WBgWOQBlNoI</t>
  </si>
  <si>
    <t>https://www.youtube.com/embed/WBgWOQBlNoI?si=h16_LVMHmwT0ntPd</t>
  </si>
  <si>
    <t>Turlapaty, A. (2014, Jun 15). *Probability of Detection: Eg 01.* [Video]. YouTube. &lt;https://www.youtube.com/watch?v=WBgWOQBlNoI&gt;</t>
  </si>
  <si>
    <t>Turlapaty, 2014</t>
  </si>
  <si>
    <t>turlapaty_2014</t>
  </si>
  <si>
    <t>https://doi.org/10.1007/s00442-018-4242-z</t>
  </si>
  <si>
    <t>Tschumi, M., Ekroos, J., Hjort, C., Smith, H. G., &amp; Birkhofer, K. (2018). Rodents, not birds, dominate predation-related ecosystem services and disservices in vertebrate communities of agricultural landscapes. *Oecologia, 188* (3), 863-873. &lt;https://doi.org/10.1007/s00442-018-4242-z&gt;</t>
  </si>
  <si>
    <t>Tschumi et al., 2018</t>
  </si>
  <si>
    <t>tschumi_et_al_2018</t>
  </si>
  <si>
    <t>https://www.researchgate.net/publication/266381944_Use_of_camera_traps_for_wildlife_studies_A_review</t>
  </si>
  <si>
    <t>Trolliet, F., Huynen, M., Vermeulen, C., &amp; Hambuckers, A. (2014). Use of Camera Traps for Wildlife Studies. A Review. *Biotechnology, Agronomy and Society and Environment 18*(3), 446-54. &lt;https://www.researchgate.net/publication/266381944_Use_of_camera_traps_for_wildlife_studies_A_review&gt;</t>
  </si>
  <si>
    <t>Trolliet et al., 2014</t>
  </si>
  <si>
    <t>trolliet_et_al_2014</t>
  </si>
  <si>
    <t>https://doi.org/10.1111/jzo.12828</t>
  </si>
  <si>
    <t>Tourani, M., Brøste, E. N., Bakken, S., Odden, J., Bischof, R., &amp; Hayward, M. (2020). Sooner, closer, or longer: Detectability of mesocarnivores at camera traps. *Journal of Zoology, 312*(4), 259-270. &lt;https://doi.org/10.1111/jzo.12828&gt;</t>
  </si>
  <si>
    <t>Tourani et al., 2020</t>
  </si>
  <si>
    <t>tourani_et_al_2020</t>
  </si>
  <si>
    <t>https://doi.org/10.1002/ece3.8468</t>
  </si>
  <si>
    <t>Tourani, M. (2022). A review of spatial capture-recapture: Ecological insights, limitations, and prospects. *Ecology and Evolution, 12*, e8468. &lt;https://doi.org/10.1002/ece3.8468&gt;</t>
  </si>
  <si>
    <t>Tourani, 2022</t>
  </si>
  <si>
    <t>tourani_2022</t>
  </si>
  <si>
    <t>https://doi.org/10.1016/j.biocon.2012.12.009</t>
  </si>
  <si>
    <t>Tobler, M. W. &amp; Powell, G. V. N. (2013). Estimating jaguar densities with camera traps: problems with current designs and recommendations for future studies. *Biological Conservation, 159*, 109-118. &lt;https://doi.org/10.1016/j.biocon.2012.12.009&gt;</t>
  </si>
  <si>
    <t>Tobler &amp; Powell, 2013</t>
  </si>
  <si>
    <t>tobler_powell_2013</t>
  </si>
  <si>
    <t>https://doi.org/10.1111/j.1469-1795.2008.00169.x</t>
  </si>
  <si>
    <t>Tobler, M. W., Pitman, R. L., Mares, R. &amp; Powell, G. (2008). An Evaluation of Camera Traps for Inventorying Large- and Medium-Sized Terrestrial Rainforest Mammals. *Animal Conservation, 11*, 169-178. &lt;https://doi.org/10.1111/j.1469-1795.2008.00169.x&gt;</t>
  </si>
  <si>
    <t>Tobler et al., 2008</t>
  </si>
  <si>
    <t>tobler_et_al_2008</t>
  </si>
  <si>
    <t>https://www.youtube.com/watch?v=ztNQvAabgtU</t>
  </si>
  <si>
    <t>https://www.youtube.com/embed/ztNQvAabgtU?si=9rY7DVbBWN_ByPvf</t>
  </si>
  <si>
    <t>TileStats (2021, Apr 18). *Zero-inflated Poisson (ZIP) regression.* [Video]. YouTube. &lt;https://www.youtube.com/watch?v=ztNQvAabgtU&gt;</t>
  </si>
  <si>
    <t>TileStats, 2021</t>
  </si>
  <si>
    <t>tilestats_2021</t>
  </si>
  <si>
    <t>https://doi.org/10.1002/jwmg.664</t>
  </si>
  <si>
    <t>Tigner, J., Bayne, E. M., &amp; Boutin, S. (2014). Black bear use of seismic lines in Northern Canada. *Journal of Wildlife Management, 78* (2), 282-292. &lt;https://doi.org/10.1002/jwmg.664&gt;</t>
  </si>
  <si>
    <t>Tigner, Bayne &amp; Boutin, 2014</t>
  </si>
  <si>
    <t>Tigner et al., 2014</t>
  </si>
  <si>
    <t>tigner_et_al_2014</t>
  </si>
  <si>
    <t>https://doi.org/10.3957/056.039.0101</t>
  </si>
  <si>
    <t>Thorn, M., Scott, D. M., Green, M., Bateman, P. W., &amp; Cameron, E. Z. (2009). Estimating Brown Hyaena Occupancy using Baited Camera Traps. *South African Journal of Wildlife Research, 39*(1), 1-10. &lt;https://doi.org/10.3957/056.039.0101&gt;</t>
  </si>
  <si>
    <t>Thorn et al., 2009</t>
  </si>
  <si>
    <t>thorn_et_al_2009</t>
  </si>
  <si>
    <t>https://doi.org/10.1016/B978-0126889604/50003-4</t>
  </si>
  <si>
    <t>Thompson, W. L., White, G. C., &amp; Gowan, C. (1998). “Chapter 3 - Enumeration Methods.” In *Monitoring Vertebrate Populations*, edited by Thompson, W. L., White, G. C., &amp; Gowan, C., 75-121. San Diego: Academic Press. &lt;https://doi.org/10.1016/B978-0126889604/50003-4&gt;</t>
  </si>
  <si>
    <t>Thompson, White, &amp; Gowan, 1998</t>
  </si>
  <si>
    <t>Thompson et al., 1998</t>
  </si>
  <si>
    <t>thompson_et_al_1998</t>
  </si>
  <si>
    <t>https://pthompson234.shinyapps.io/calculate-zoi/</t>
  </si>
  <si>
    <t>Thompson, P. R. (2024) *Zone of Influence Effect Size and Buffer Distance Calculator*. University of Alberta, Canada. &lt;https://pthompson234.shinyapps.io/calculate-zoi/&gt;</t>
  </si>
  <si>
    <t>Thompson, 2024</t>
  </si>
  <si>
    <t>thompson_2024</t>
  </si>
  <si>
    <t>R shiny</t>
  </si>
  <si>
    <t>https://doi.org/10.1038/s41598-021-02459-w</t>
  </si>
  <si>
    <t>Tanwar, K. S., Sadhu, A., &amp; Jhala, Y. V. (2021). Camera trap placement for evaluating species richness, abundance, and activity. *Scientific Reports, 11*(1), 23050. &lt;https://doi.org/10.1038/s41598-021-02459-w&gt;</t>
  </si>
  <si>
    <t>Tanwar, Sadhu &amp; Jhala, 2021</t>
  </si>
  <si>
    <t>Tanwar et al., 2021</t>
  </si>
  <si>
    <t>tanwar_et_al_2021</t>
  </si>
  <si>
    <t>https://doi.org/10.1111/2041-210x.13120</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</si>
  <si>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t>
  </si>
  <si>
    <t>Tabak et al., 2018</t>
  </si>
  <si>
    <t>tabak_et_al_2018</t>
  </si>
  <si>
    <t>https://www.sciencedirect.com/science/article/pii/S2351989415000116</t>
  </si>
  <si>
    <t>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t>
  </si>
  <si>
    <t>Suwanrat et al., 2015</t>
  </si>
  <si>
    <t>suwanrat_et_al_2015</t>
  </si>
  <si>
    <t>https://doi.org/10.1111/ecog.04551</t>
  </si>
  <si>
    <t>Sutherland, C., Royle, J. A., &amp; Linden, D. W. (2019). oSCR: A spatial capture-recapture R package for inference about spatial ecological processes. *Ecography, 42*(9), 1459-1469. &lt;https://doi.org/10.1111/ecog.04551&gt;</t>
  </si>
  <si>
    <t>Sutherland, Royle, &amp; Linden, 2019</t>
  </si>
  <si>
    <t>Sutherland et al., 2019</t>
  </si>
  <si>
    <t>sutherland_et_al_2019</t>
  </si>
  <si>
    <t>https://doi.org/10.1016/j.gecco.2022.e02268</t>
  </si>
  <si>
    <t>Sun, C., Burgar, J. M., Fisher, J. T., &amp; Burton, A. C. (2022). A Cautionary Tale Comparing Spatial Count and Partial Identity Models for Estimating Densities of Threatened and Unmarked Populations. *Global Ecology and Conservation, 38*, e02268. &lt;https://doi.org/10.1016/j.gecco.2022.e02268&gt;</t>
  </si>
  <si>
    <t>Sun et al., 2022</t>
  </si>
  <si>
    <t>sun_et_al_2022</t>
  </si>
  <si>
    <t>https://doi.org/10.1002/rse2.222</t>
  </si>
  <si>
    <t>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t>
  </si>
  <si>
    <t>Sun et al., 2021</t>
  </si>
  <si>
    <t>sun_et_al_2021</t>
  </si>
  <si>
    <t>https://doi.org/10.1371/journal.pone.0088025</t>
  </si>
  <si>
    <t>Sun, C. C., Fuller, A. K., &amp; Royle., J. A. (2014). Trap Configuration and Spacing Influences Parameter Estimates in Spatial Capture-Recapture Models. *PLoS One, 9*(2): e88025. &lt;https://doi.org/10.1371/journal.pone.0088025&gt;</t>
  </si>
  <si>
    <t>Sun, Fuller &amp; Royle., 2014</t>
  </si>
  <si>
    <t>Sun et al., 2014</t>
  </si>
  <si>
    <t>sun_et_al_2014</t>
  </si>
  <si>
    <t>https://doi.org/10.1007/s10344-017-1150-1</t>
  </si>
  <si>
    <t>Suárez-Tangil, B. D., &amp; Rodríguez, A. (2017). Detection of Iberian terrestrial mammals employing olfactory, visual and auditory attractants. *European Journal of Wildlife Research, 63*(6). &lt;https://doi.org/10.1007/s10344-017-1150-1&gt;</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</si>
  <si>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</si>
  <si>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</si>
  <si>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</si>
  <si>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</si>
  <si>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</si>
  <si>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</si>
  <si>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</si>
  <si>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</si>
  <si>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A. (2020a, May 4). *Field Ecology - Diversity Metrics in R.* [Video]. YouTube. &lt;https://www.youtube.com/watch?v=KBByV3kR3IA&gt;</t>
  </si>
  <si>
    <t>Styring, 2020a</t>
  </si>
  <si>
    <t>styring_2020a</t>
  </si>
  <si>
    <t>https://doi.org/10.5281/zenodo.3620739</t>
  </si>
  <si>
    <t xml:space="preserve">https://ebird.github.io/ebird-best-practices. Cornell Lab of Ornithology, Ithaca, New York. </t>
  </si>
  <si>
    <t>Strimas-Mackey, M., Hochachka, W. M., Ruiz-Gutierrez, V., Robinson, O. J., Miller, E. T., Auer, T., Kelling, S., Fink, D., &amp; Johnston, A. (2023). *Best Practices for Using eBird Data. Version 2.0*. Cornell Lab of Ornithology, Ithaca, New York. &lt;https://ebird.github.io/ebird-best-practices&gt;; &lt;https://doi.org/10.5281/zenodo.3620739&gt;</t>
  </si>
  <si>
    <t>Strimas-Mackey et al., 2023</t>
  </si>
  <si>
    <t>strimasmackey_et_al_2023</t>
  </si>
  <si>
    <t>https://doi.org/10.1071/WR15083</t>
  </si>
  <si>
    <t>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t>
  </si>
  <si>
    <t>Stokeld et al., 2016</t>
  </si>
  <si>
    <t>stokeld_et_al_2016</t>
  </si>
  <si>
    <t>https://doi.org/10.1002/jwmg.21657</t>
  </si>
  <si>
    <t>Stewart, F. E. C., Volpe, J. P., &amp; Fisher, J. T. (2019b). The Debate About Bait: A Red Herring in Wildlife Research. *The Journal of Wildlife Management, 83*(4), 985-992. &lt;https://doi.org/10.1002/jwmg.21657&gt;</t>
  </si>
  <si>
    <t>Stewart et al., 2019b</t>
  </si>
  <si>
    <t>stewart_et_al_2019b</t>
  </si>
  <si>
    <t>https://doi.org/10.1016/j.biocon.2019.108252</t>
  </si>
  <si>
    <t>Stewart, F. E. C., Volpe, J. P., Eaton, B. R., Hood, G. A., Vujnovic, D., &amp; Fisher, J. T. (2019b). Protected areas alone rarely predict mammalian biodiversity across spatial scales in an Albertan working landscape. *Biological Conservation, 240*, 108252. &lt;https://doi.org/10.1016/j.biocon.2019.108252&gt;</t>
  </si>
  <si>
    <t>Stewart et al., 2019a</t>
  </si>
  <si>
    <t>stewart_et_al_2019a</t>
  </si>
  <si>
    <t>https://doi.org/10.1002/ecs2.2112</t>
  </si>
  <si>
    <t>Stewart, F. E. C., Fisher, J. T., Burton, A. C., &amp; Volpe, J. P. (2018). Species occurrence data reflect the magnitude of animal movements better than the proximity of animal space use. *Ecosphere, 9*(2), e02112. &lt;https://doi.org/10.1002/ecs2.2112&gt;</t>
  </si>
  <si>
    <t>Stewart et al., 2018</t>
  </si>
  <si>
    <t>stewart_et_al_2018</t>
  </si>
  <si>
    <t>https://doi.org/10.1093/jmammal/gyy175</t>
  </si>
  <si>
    <t>Steinbeiser, C. M., Kioko, J., Maresi, A., Kaitilia, R., &amp; Kiffner, C. (2019). Relative Abundance and Activity Patterns Explain Method-Related Differences in Mammalian Species Richness Estimates. *Journal of Mammalogy, 100*(1), 192-201. &lt;https://doi.org/10.1093/jmammal/gyy175&gt;</t>
  </si>
  <si>
    <t>Steinbeiser et al., 2019</t>
  </si>
  <si>
    <t>steinbeiser_et_al_2019</t>
  </si>
  <si>
    <t>https://doi.org/10.1002/ecs2.2639</t>
  </si>
  <si>
    <t>Steenweg, R., Hebblewhite, M., Whittington, J., &amp; Mckelvey, K. (2019). Species‐specific Differences in Detection and Occupancy Probabilities Help Drive Ability to Detect Trends in Occupancy. *Ecosphere, 10*(4), Article e02639. &lt;https://doi.org/10.1002/ecs2.2639&gt;</t>
  </si>
  <si>
    <t>Steenweg et al., 2019</t>
  </si>
  <si>
    <t>steenweg_et_al_2019</t>
  </si>
  <si>
    <t>https://doi.org/10.1002/ecy.2054</t>
  </si>
  <si>
    <t>Steenweg, R., Hebblewhite, M., Whittington, J., Lukacs, P., &amp; McKelvey, K. (2018). Sampling scales define occupancy and underlying occupancy-abundance relationships in animals. *Ecology, 99*(1), 172-183. &lt;https://doi.org/10.1002/ecy.2054&gt;</t>
  </si>
  <si>
    <t>Steenweg et al., 2018</t>
  </si>
  <si>
    <t>steenweg_et_al_2018</t>
  </si>
  <si>
    <t>https://doi.org/10.1002/fee.l448</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</si>
  <si>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t>
  </si>
  <si>
    <t>Steenweg et al., 2017</t>
  </si>
  <si>
    <t>steenweg_et_al_2017</t>
  </si>
  <si>
    <t>http://parkscanadahistory.com/wildlife/steenweg-2015.pdf</t>
  </si>
  <si>
    <t>Steenweg, R., Whittington, J., &amp; Hebblewhite, M. (2015). *Canadian Rockies remote camera multi-species occupancy project: Examining trends in carnivore populations and their prey*. University of Montana. &lt;http://parkscanadahistory.com/wildlife/steenweg-2015.pdf&gt;</t>
  </si>
  <si>
    <t>Steenweg, Whittington &amp; Hebblewhite, 2015</t>
  </si>
  <si>
    <t>Steenweg et al., 2015</t>
  </si>
  <si>
    <t>steenweg_et_al_2015</t>
  </si>
  <si>
    <t>https://doi.org/10.1016/j.applanim.2015.04.001</t>
  </si>
  <si>
    <t>Stanton, L. A., Sullivan, M. S., &amp; Fazio, J. M. (2015). A standardized ethogram for the felidae: A tool for behavioral researchers. *Applied Animal Behaviour Science, 173*, 3-16. &lt;https://doi.org/10.1016/j.applanim.2015.04.001&gt;</t>
  </si>
  <si>
    <t>Stanton et al., 2015</t>
  </si>
  <si>
    <t>stanton_et_al_2015</t>
  </si>
  <si>
    <t>https://doi.org/10.1644/12-MAMM-S-061.1</t>
  </si>
  <si>
    <t>Spencer, W. D. (2012). Home ranges and the value of spatial information. *Journal of Mammalogy, 93*(4), 929-947. &lt;https://doi.org/10.1644/12-MAMM-S-061.1&gt;</t>
  </si>
  <si>
    <t>Spencer, 2012</t>
  </si>
  <si>
    <t>spencer_2012</t>
  </si>
  <si>
    <t>https://doi.org/10.1002/eap.1950</t>
  </si>
  <si>
    <t>Southwell, D. M., Einoder, L. D., Lahoz‐Monfort, J. J., Fisher, A., Gillespie, G. R., &amp; Wintle, B. A. (2019). Spatially explicit power analysis for detecting occupancy trends for multiple species. *Ecological Applications, 29*, e01950. &lt;https://doi.org/10.1002/eap.1950&gt;</t>
  </si>
  <si>
    <t>Southwell et al., 2019</t>
  </si>
  <si>
    <t>southwell_et_al_2019</t>
  </si>
  <si>
    <t>https://doi.org/10.1163/157075610X523251</t>
  </si>
  <si>
    <t>Soria-Díaz, L., Monroy-Vilchis, O., Rodríguez-Soto, C., Zarco-González, M., &amp; Urios, V. (2010). Variation of Abundance and Density of *Puma concolor* in Zones of High and Low Concentration of Camera Traps in Central Mexico. *Animal Biology, 60*(4), 361-371. &lt;https://doi.org/10.1163/157075610X523251&gt;</t>
  </si>
  <si>
    <t>Soria-Díaz et al., 2010</t>
  </si>
  <si>
    <t>soria_diaz_et_al_2010</t>
  </si>
  <si>
    <t>https://github.com/psolymos/detect</t>
  </si>
  <si>
    <t>Solymos, P., Moreno M., &amp; Lele, S. R. (2024). *detect: Analyzing Wildlife Data with Detection Error*. R package version 0.5-0, &lt;https://github.com/psolymos/detect&gt;</t>
  </si>
  <si>
    <t>Solymos, Moreno &amp; Lele, 2024</t>
  </si>
  <si>
    <t>Solymos et al., 2024</t>
  </si>
  <si>
    <t>solymos_et_al_2024</t>
  </si>
  <si>
    <t>R package</t>
  </si>
  <si>
    <t>https://cran.r-project.org/web/packages/detect/detect.pdf</t>
  </si>
  <si>
    <t>Solymos, P. (2023). *Package ‘detect': Analyzing Wildlife Data with Detection Error.* R package version 0.4-6. &lt;https://cran.r-project.org/web/packages/detect/detect.pdf&gt;</t>
  </si>
  <si>
    <t>Guillera-Arroita, Ridout &amp; Morgan, 2010</t>
  </si>
  <si>
    <t>Solymos, 2024</t>
  </si>
  <si>
    <t>solymos_2023</t>
  </si>
  <si>
    <t>https://doi.org/10.1016/j.biocon.2012.12.025</t>
  </si>
  <si>
    <t>Sollmann, R., Mohamed, A., Samejima, H., &amp; Wilting, A. (2013c). Risky Business or Simple Solution - Relative Abundance Indices from Camera-Trapping. *Biological Conservation, 159*, 405-412. &lt;https://doi.org/10.1016/j.biocon.2012.12.025&gt;</t>
  </si>
  <si>
    <t>Sollmann et al., 2013c</t>
  </si>
  <si>
    <t>sollmann_et_al_2013c</t>
  </si>
  <si>
    <t>https://doi.org/10.1890/12-1256.1</t>
  </si>
  <si>
    <t>Sollmann, R., Gardner, B., Parsons, A. W., Stocking, J. J., McClintock, B. T., Simons, T. R., Pollock, K. H., &amp; O'Connell, A. F. (2013b). A Spatial Mark-Resight Model Augmented with Telemetry Data. *Ecology, 94*(3), 553-559. &lt;https://doi.org/10.1890/12-1256.1&gt;</t>
  </si>
  <si>
    <t>Sollmann et al., 2013b</t>
  </si>
  <si>
    <t>sollmann_et_al_2013b</t>
  </si>
  <si>
    <t>https://doi.org/10.1111/1365-2664.12098</t>
  </si>
  <si>
    <t>Sollmann, R., Gardner, B., Chandler, R. B., Shindle, D. B., Onorato, D. P., Royle, J. A., O'Connell, A. F., &amp; Lukacs, P. (2013a). Using multiple data sources provides Density estimates for endangered Florida panther. *Journal of Applied Ecology, 50*(4), 961-968. &lt;https://doi.org/10.1111/1365-2664.12098&gt;</t>
  </si>
  <si>
    <t>Sollmann et al., 2013a</t>
  </si>
  <si>
    <t>sollmann_et_al_2013a</t>
  </si>
  <si>
    <t>https://doi.org/10.1371/journal.pone.0034575</t>
  </si>
  <si>
    <t>Sollmann, R., Gardner, B., &amp; Belant, J. L. (2012). How does Spatial Study Design Influence Density Estimates from Spatial capture-recapture models? *PLoS One, 7*, e34575. &lt;https://doi.org/10.1371/journal.pone.0034575&gt;</t>
  </si>
  <si>
    <t>Sollmann et al., 2012</t>
  </si>
  <si>
    <t>sollmann_et_al_2012</t>
  </si>
  <si>
    <t>https://doi.org/10.1016/j.biocon.2010.12.011</t>
  </si>
  <si>
    <t>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t>
  </si>
  <si>
    <t>Sollmann et al., 2011</t>
  </si>
  <si>
    <t>sollmann_et_al_2011</t>
  </si>
  <si>
    <t>https://doi.org/10.1111/aje.12557</t>
  </si>
  <si>
    <t>Sollmann, R. (2018). A gentle introduction to camera‐trap data analysis. *African Journal of Ecology,* 56, 740-749. &lt;https://doi.org/10.1111/aje.12557&gt;</t>
  </si>
  <si>
    <t>Sollmann et al., 2018</t>
  </si>
  <si>
    <t>sollmann_2018</t>
  </si>
  <si>
    <t>https://doi.org/10.1046/j.1523-1739.1993.07030480.x</t>
  </si>
  <si>
    <t>Soberón, J., &amp; Llorente, J. (1993). The Use of Species Accumulation Functions for the Prediction of Species Richness. *Conservation Biology, 7*(3), 480-488. &lt;https://doi.org/10.1046/j.1523-1739.1993.07030480.x&gt;</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</si>
  <si>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</si>
  <si>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</si>
  <si>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</si>
  <si>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</si>
  <si>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</si>
  <si>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</si>
  <si>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</si>
  <si>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r>
      <t>Snow Leopard Network. (2020a, Aug 1). *PAWS: Spatial Capture Recapture Data Analysis Part 1.*</t>
    </r>
    <r>
      <rPr>
        <sz val="12"/>
        <color rgb="FF000000"/>
        <rFont val="Calibri"/>
        <family val="2"/>
      </rPr>
      <t xml:space="preserve"> [Video]. YouTube. &lt;https://www.youtube.com/watch?v=aTbk-jWyMcU&gt;</t>
    </r>
  </si>
  <si>
    <t>Snow Leopard Network, 2020a</t>
  </si>
  <si>
    <t>snow_leopard_network_2020a</t>
  </si>
  <si>
    <t>https://doi.org/10.1002/rse2.85</t>
  </si>
  <si>
    <t>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t>
  </si>
  <si>
    <t>Sirén et al., 2018</t>
  </si>
  <si>
    <t>siren_et_al_2018</t>
  </si>
  <si>
    <t>https://www.mbr-pwrc.usgs.gov/software/spacecap.html</t>
  </si>
  <si>
    <t>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t>
  </si>
  <si>
    <t>Singh et al., 2010</t>
  </si>
  <si>
    <t>singh_et_al_2010</t>
  </si>
  <si>
    <t>Software/program</t>
  </si>
  <si>
    <t>https://doi.org/10.7717/peerj.374</t>
  </si>
  <si>
    <t>Si, X., Kays, R., &amp; Ding, P. (2014). How long is enough to detect terrestrial animals? Estimating the minimum trapping effort on camera traps. *PeerJ, 2*, e374. &lt;https://doi.org/10.7717/peerj.374&gt;</t>
  </si>
  <si>
    <t>Si, Kays &amp; Ding, 2014</t>
  </si>
  <si>
    <t>Si et al., 2014</t>
  </si>
  <si>
    <t>si_et_al_2014</t>
  </si>
  <si>
    <t>https://doi.org/10.7717/peerj.9982</t>
  </si>
  <si>
    <t>Shirane, Y., Mori, F., Yamanaka, M., Nakanishi, M., Ishinazaka, T., Mano, T., Jimbo, M., Sashika, M., Tsubota, T., &amp; Shimozuru, M. (2020). Development of a noninvasive photograph-based method for the evaluation of body condition in free-ranging brown bears. *PeerJ, 8*, e9982. &lt;https://doi.org/10.7717/peerj.9982&gt;</t>
  </si>
  <si>
    <t>Shirane et al., 2020</t>
  </si>
  <si>
    <t>shirane_et_al_2020</t>
  </si>
  <si>
    <t>https://doi.org/10.1111/j.1469-1795.2009.00305.x</t>
  </si>
  <si>
    <t>Sharma, R.K., Jhala, Y., Qureshi, Q., Vattakaven, J., Gopal, R. &amp; Nayak, K. (2010). Evaluating capture-recapture population and Density estimation of tigers in a population with known parameters. *Animal Conservation, 13*(1), 94-103. &lt;https://doi.org/10.1111/j.1469-1795.2009.00305.x&gt;</t>
  </si>
  <si>
    <t>Sharma et al., 2010</t>
  </si>
  <si>
    <t>sharma_et_al_2010</t>
  </si>
  <si>
    <t>https://doi.org/10.7717/peerj.532</t>
  </si>
  <si>
    <t>Shannon, G., Lewis, J. S. &amp; Gerber, B. D. (2014). Recommended Survey Designs for Occupancy Modelling using Motion-activated Cameras: Insights from Empirical Wildlife Data. *PeerJ, 2*, e532. &lt;https://doi.org/10.7717/peerj.532&gt;</t>
  </si>
  <si>
    <t>Shannon et al., 2014</t>
  </si>
  <si>
    <t>shannon_et_al_2014</t>
  </si>
  <si>
    <t>https://doi.org/10.1139/z03-204</t>
  </si>
  <si>
    <t>Séquin, E. S., Jaeger M. M., Brussard P. F., &amp; Barrett, R. H. (2003). Wariness of Coyotes to Camera Traps Relative to Social Status and Territory Boundaries. Lincoln, NE, USA: University of Nebraska-Lincoln. &lt;https://doi.org/10.1139/z03-204&gt;</t>
  </si>
  <si>
    <t>Séquin, Jaeger &amp; Barrett, 2003</t>
  </si>
  <si>
    <t>Séquin et al., 2003</t>
  </si>
  <si>
    <t>sequin_et_al_2003</t>
  </si>
  <si>
    <t>https://www.wildlabs.net/sites/default/files/community/files/zsl_trail_camera_comparison_for_external_use.pdf</t>
  </si>
  <si>
    <t>Seccombe, S. (2017). *ZSL Trail Camera Comparison Testing.* Zoological Society of London: Conservation Technology Unit. &lt;https://www.wildlabs.net/sites/default/files/community/files/zsl_trail_camera_comparison_for_external_use.pdf&gt;</t>
  </si>
  <si>
    <t>Seccombe, 2017</t>
  </si>
  <si>
    <t>seccombe_2017</t>
  </si>
  <si>
    <t>https://doi.org/10.1002/rse2.54</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</si>
  <si>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t>
  </si>
  <si>
    <t>Scotson et al., 2017</t>
  </si>
  <si>
    <t>scotson_et_al_2017</t>
  </si>
  <si>
    <t>https://doi.org/10.1007/978-3-030-33157-3_15</t>
  </si>
  <si>
    <t>Schweiger, A. K. (2020). Spectral Field Campaigns: Planning and Data Collection. In Cavender-Bares, J., Gamon, J. A., &amp; Townsend, P. A (Eds.), *Remote Sensing of Plant Biodiversity* (pp. 385-423). &lt;https://doi.org/10.1007/978-3-030-33157-3_15&gt;</t>
  </si>
  <si>
    <t>Schweiger, 2020</t>
  </si>
  <si>
    <t>schweiger_2020</t>
  </si>
  <si>
    <t>https://doi.org/10.1002/eap.2618</t>
  </si>
  <si>
    <t>Schmidt, G. M., Graves, T. A., Pederson, J. C., &amp; Carroll, S. L. (2022). Precision and bias of spatial capture-recapture estimates: A multi‐site, multi‐year Utah black bear case study. *Ecological Applications, 32*(5), e2618. &lt;https://doi.org/10.1002/eap.2618&gt;</t>
  </si>
  <si>
    <t>Schmidt et al., 2022</t>
  </si>
  <si>
    <t>schmidt_et_al_2022</t>
  </si>
  <si>
    <t>https://www.gwern.net/docs/cat/biology/2008-schlexer.pdf</t>
  </si>
  <si>
    <t>Schlexer, F. V. (2008). Attracting Animals to Detection Devices. In R. A. Long, P. MacKay, W. J. Zielinski, &amp; J. C. Ray (Eds.), *Noninvasive Survey Methods for Carnivores* (pp. 263-292). Island Press. &lt;https://www.gwern.net/docs/cat/biology/2008-schlexer.pdf&gt;</t>
  </si>
  <si>
    <t>Schlexer, 2008</t>
  </si>
  <si>
    <t>schlexer_2008</t>
  </si>
  <si>
    <t>https://besjournals. onlinelibrary. wiley.com/doi/epdf/10.1111/2041-210X. 13133</t>
  </si>
  <si>
    <t>Schenider, S., Taylor, G. W., Linquist, S., &amp; Kremer, S. C. (2018). Past, Present, and Future Approaches Using Computer Vision for Animal Re-Identification from Camera Trap Data. *Methods in Ecology and Evolution, 10*, 461-470. &lt;https://besjournals. onlinelibrary. wiley.com/doi/epdf/10.1111/2041-210X. 13133&gt;</t>
  </si>
  <si>
    <t>Schenider et al., 2018</t>
  </si>
  <si>
    <t>schenider_et_al_2018</t>
  </si>
  <si>
    <t>https://doi.org/10.1002/rse2.153</t>
  </si>
  <si>
    <t>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t>
  </si>
  <si>
    <t>Schaus et al., 2020</t>
  </si>
  <si>
    <t>schaus_et_al_2020</t>
  </si>
  <si>
    <t>https://doi.org/10.1016/j.baae.2022.03.007</t>
  </si>
  <si>
    <t>Santini, G., Abolaffio, M., Ossi, F., Franzetti, B., Cagnacci, F., &amp; Focardi, S. (2022) Population Assessment without Individual Identification Using Camera-Traps: A Comparison of Four Methods. *Basic and Applied Ecology, 61*, 68-81. &lt;https://doi.org/10.1016/j.baae.2022.03.007&gt;</t>
  </si>
  <si>
    <t>Santini et al., 2020</t>
  </si>
  <si>
    <t>santini_et_al_2020</t>
  </si>
  <si>
    <t>https://doi.org/10.1016/j.foreco.2012.01.013</t>
  </si>
  <si>
    <t>Samejima, H., Ong, R., Lagan, P. &amp; Kitayama, K. (2012). Camera-trapping rates of mammals and birds in a Bornean tropical rainforest under sustainable forest management. *Forest Ecology and Management, 270*, 248-256. &lt;https://doi.org/10.1016/j.foreco.2012.01.013&gt;</t>
  </si>
  <si>
    <t>Samejima et al., 2012</t>
  </si>
  <si>
    <t>samejima_et_al_2012</t>
  </si>
  <si>
    <t>https://www.youtube.com/watch?v=cD9V1ApYqCk</t>
  </si>
  <si>
    <t>https://www.youtube.com/embed/cD9V1ApYqCk?si=m-K4I94w4lL3yZDx</t>
  </si>
  <si>
    <t>Russell, M. (2020, Nov 29). *Fitting Poisson and zero-inflated Poisson models.* [Video]. YouTube. &lt;https://www.youtube.com/watch?v=cD9V1ApYqCk&gt;</t>
  </si>
  <si>
    <t>Russell, 2020</t>
  </si>
  <si>
    <t>russel_2020</t>
  </si>
  <si>
    <t>https://doi.org/10.1890/07-0601.1</t>
  </si>
  <si>
    <t>Royle, J. A., &amp; Young, K. V. (2008). A hierarchical model for spatial capture-recapture data. *Ecology, 89*(8), 2281-2289. &lt;https://doi.org/10.1890/07-0601.1&gt;</t>
  </si>
  <si>
    <t>Royle &amp; Young, 2008</t>
  </si>
  <si>
    <t>royle_young_2008</t>
  </si>
  <si>
    <t>https://doi.org/10.1890/0012-9658(2003)084[0777:EAFRPA]2.0.CO;2</t>
  </si>
  <si>
    <t>Royle, J. A., &amp; Nichols, J. D. (2003). Estimating abundance from repeated presence-absence data or point counts. *Ecology, 84*, 777-790. &lt;https://doi.org/10.1890/0012-9658(2003)084[0777:EAFRPA]2.0.CO;2&gt;</t>
  </si>
  <si>
    <t>Royle &amp; Nichols, 2003</t>
  </si>
  <si>
    <t>royle_nichols_2003</t>
  </si>
  <si>
    <t>https://doi.org/10.1111/2041-210x.12135</t>
  </si>
  <si>
    <t>Royle, J. A., Converse, S. J., &amp; Freckleton, R. (2014). Hierarchical spatial capture-recapture models: modelling population Density in stratified populations. *Methods in Ecology and Evolution, 5*(1), 37-43. &lt;https://doi.org/10.1111/2041-210x.12135&gt;</t>
  </si>
  <si>
    <t>Royle, Converse &amp; Freckleton, 2014</t>
  </si>
  <si>
    <t>Royle et al., 2014</t>
  </si>
  <si>
    <t>royle_et_al_2014</t>
  </si>
  <si>
    <t>https://pubs.usgs.gov/publication/70048654</t>
  </si>
  <si>
    <t>Royle, J. Chandler, R. B., Sollmann, R., Gardner, B. (2013). *Spatial capture-recapture*. Academic Press, Waltham, MA, USA. 612 pp., ISBN: 978-0-12-405939-9. &lt;https://pubs.usgs.gov/publication/70048654&gt;</t>
  </si>
  <si>
    <t>Royle et al., 2013</t>
  </si>
  <si>
    <t>royle_et_al_2013</t>
  </si>
  <si>
    <t>https://doi.org/10.1111/j.1365-2664.2008.01578.x</t>
  </si>
  <si>
    <t>Royle, J. A., Nichols, J. D., Karanth, K. U., &amp; Gopalaswamy, A. M. (2009). A hierarchical model for estimating Density in camera-trap studies. *Journal of Applied Ecology, 46*(1), 118-127. &lt;https://doi.org/10.1111/j.1365-2664.2008.01578.x&gt;</t>
  </si>
  <si>
    <t>Royle et al., 2009</t>
  </si>
  <si>
    <t>royle_et_al_2009</t>
  </si>
  <si>
    <t>https://doi.org/10.1007/s10336-010-0619-4</t>
  </si>
  <si>
    <t>Royle, J. A., &amp; Dorazio, R. M. (2012). Parameter-expanded data augmentation for Bayesian analysis of capture-recapture models. *Journal of Ornithology, 152*(S2), 521-537. &lt;https://doi.org/10.1007/s10336-010-0619-4&gt;</t>
  </si>
  <si>
    <t>Royle &amp; Dorazio, 2012</t>
  </si>
  <si>
    <t>royle_dorazio_2012</t>
  </si>
  <si>
    <t>https://doi.org/10.1016/B978-0-12-374097-7.50001-5</t>
  </si>
  <si>
    <t>Royle, J. A., &amp; Dorazio, R. M. (2008). *Hierarchical Modeling and Inference in Ecology: The Analysis of Data from Populations, Metapopulations and Communities.* 1st ed. Academic Press, Amsterdam; Boston. &lt;https://doi.org/10.1016/B978-0-12-374097-7.50001-5&gt;</t>
  </si>
  <si>
    <t>Royle &amp; Dorazio, 2008</t>
  </si>
  <si>
    <t>royle_dorazio_2008</t>
  </si>
  <si>
    <t>https://www.youtube.com/watch?v=yRRDi07FtPg</t>
  </si>
  <si>
    <t>https://www.youtube.com/embed/yRRDi07FtPg?si=vmGQslB9Wv9MnkYC</t>
  </si>
  <si>
    <r>
      <t xml:space="preserve">Royle, A. J. (2020, Oct 26) *Introduction to Spatial Capture-Recapture. oSCR Package*, </t>
    </r>
    <r>
      <rPr>
        <sz val="12"/>
        <color rgb="FF000000"/>
        <rFont val="Calibri"/>
        <family val="2"/>
      </rPr>
      <t>[Video]. YouTube</t>
    </r>
    <r>
      <rPr>
        <sz val="12"/>
        <color theme="1"/>
        <rFont val="Calibri"/>
        <family val="2"/>
      </rPr>
      <t>. &lt;https://www.youtube.com/watch?v=yRRDi07FtPg&gt;</t>
    </r>
  </si>
  <si>
    <t>Royle, 2020</t>
  </si>
  <si>
    <t>royle_2020</t>
  </si>
  <si>
    <t>https://www.youtube.com/watch?v=4HKFimATq9E</t>
  </si>
  <si>
    <t>https://www.youtube.com/embed/4HKFimATq9E</t>
  </si>
  <si>
    <r>
      <t>Royle, A. J. (2016, Oct 17). *'Spatial Capture-Recapture Modelling.’ CompSustNet*</t>
    </r>
    <r>
      <rPr>
        <sz val="12"/>
        <color rgb="FF000000"/>
        <rFont val="Calibri"/>
        <family val="2"/>
      </rPr>
      <t xml:space="preserve"> [Video]. YouTube. &lt;https://www.youtube.com/watch?v=4HKFimATq9E&gt;</t>
    </r>
  </si>
  <si>
    <t>CompSustNet, 2016</t>
  </si>
  <si>
    <t>Royle, 2016</t>
  </si>
  <si>
    <t>royle_2016</t>
  </si>
  <si>
    <t>https://www.jstor.org/stable/3695558</t>
  </si>
  <si>
    <t>Royle, J. A. (2004). N-mixture Models for estimating population size from spatially Repeated Counts. *International Biometric Society, 60*(1), 108-115. &lt;https://www.jstor.org/stable/3695558&gt;</t>
  </si>
  <si>
    <t>Royle, 2004</t>
  </si>
  <si>
    <t>royle_2004</t>
  </si>
  <si>
    <t>https://doi.org/10.1002/rse2.17</t>
  </si>
  <si>
    <t>Rowcliffe, J. M., Jansen, P. A., Kays, R., Kranstauber, B., &amp; Carbone, C. (2016). Wildlife speed cameras: measuring animal travel speed and day range using camera traps. *Remote Sensing in Ecology and Conservation, 2*, 84-94. &lt;https://doi.org/10.1002/rse2.17&gt;</t>
  </si>
  <si>
    <t>Rowcliffe et al., 2016</t>
  </si>
  <si>
    <t>rowcliffe_et_al_2016</t>
  </si>
  <si>
    <t>https://doi.org/10.1111/2041-210x.12278</t>
  </si>
  <si>
    <t>Rowcliffe, J. M., Kays, R., Kranstauber, B., Carbone, C., Jansen, P. A., &amp; Fisher, D. (2014). Quantifying levels of animal activity using camera trap data. *Methods in Ecology and Evolution, 5*(11), 1170-1179. &lt;https://doi.org/10.1111/2041-210x.12278&gt;</t>
  </si>
  <si>
    <t>Rowcliffe et al., 2014</t>
  </si>
  <si>
    <t>rowcliffe_et_al_2014</t>
  </si>
  <si>
    <t>https://doi.org/10.1002/jwmg.533</t>
  </si>
  <si>
    <t>Rowcliffe, J. M., Kays, R., Carbone, C., &amp; Jansen, P. A. (2013). Clarifying assumptions behind the estimation of animal Density from camera trap rates. *The Journal of Wildlife Management, 77*(5), 876-876. &lt;https://doi.org/10.1002/jwmg.533&gt;</t>
  </si>
  <si>
    <t>Rowcliffe et al., 2013</t>
  </si>
  <si>
    <t>rowcliffe_et_al_2013</t>
  </si>
  <si>
    <t>https://doi.org/10.1111/j.2041-210X.2011.00094.x</t>
  </si>
  <si>
    <t>Rowcliffe, M. J., Carbone, C., Jansen, P. A., Kays, R., &amp; Kranstauber, B. (2011). Quantifying the sensitivity of camera traps: an adapted distance sampling approach. *Methods in Ecology and Evolution, 2*(5), 464-476. &lt;https://doi.org/10.1111/j.2041-210X.2011.00094.x&gt;</t>
  </si>
  <si>
    <t>Rowcliffe et al., 2011</t>
  </si>
  <si>
    <t>rowcliffe_et_al_2011</t>
  </si>
  <si>
    <t>https://doi.org/10.1111/j.1365-2664.2008.01473.x</t>
  </si>
  <si>
    <t>Rowcliffe, J. M., Field, J., Turvey, S. T., &amp; Carbone, C. (2008). Estimating animal Density using camera traps without the need for individual recognition. *Journal of Applied Ecology, 45*(4), 1228-1236. &lt;https://doi.org/10.1111/j.1365-2664.2008.01473.x&gt;</t>
  </si>
  <si>
    <t>Rowcliffe et al., 2008</t>
  </si>
  <si>
    <t>rowcliffe_et_al_2008</t>
  </si>
  <si>
    <t>https://doi.org/10.1111/j.1469-1795.2008.00180.x</t>
  </si>
  <si>
    <t>Rowcliffe, J. M., &amp; Carbone, C. (2008). Surveys Using Camera Traps: Are We Looking to a Brighter Future? *Animal Conservation, 11*(3), 185-86. &lt;https://doi.org/10.1111/j.1469-1795.2008.00180.x&gt;</t>
  </si>
  <si>
    <t>Rowcliffe &amp; Carbone, 2008</t>
  </si>
  <si>
    <t>rowcliffe_carbone_2008</t>
  </si>
  <si>
    <t>https://cran.r-project.org/web/packages/activity/index.html</t>
  </si>
  <si>
    <t>Rowcliffe, M. (2023). *Package ‘activity. * R package version 1.3.4. &lt;https://cran.r-project.org/web/packages/activity/index.html&gt;</t>
  </si>
  <si>
    <t>Rowcliffe, 2023</t>
  </si>
  <si>
    <t>rowcliffe_2023</t>
  </si>
  <si>
    <t>https://doi.org/10.32614/CRAN.package.activity</t>
  </si>
  <si>
    <t>Rowcliffe, M. (2014). *Package 'activity': Animal Activity Statistics.* R package version 1.3.4. &lt;https://doi.org/10.32614/CRAN.package.activity&gt;</t>
  </si>
  <si>
    <t>Rowcliffe, 2014</t>
  </si>
  <si>
    <t>rowcliffe_2014</t>
  </si>
  <si>
    <t>https://pelagicpublishing.com/products/camera-trapping-for-wildlife-research?srsltid=AfmBOormKSlIbYKZ6LlpHlQzLw42FEe5mrOp7fnjFBfe1ncktqb9B10H</t>
  </si>
  <si>
    <t>Rovero, F., &amp; Zimmermann, F. (2016). *Camera Trapping for Wildlife Research*. Exeter: Pelagic Publishing, UK. &lt;https://pelagicpublishing.com/products/camera-trapping-for-wildlife-research?srsltid=AfmBOormKSlIbYKZ6LlpHlQzLw42FEe5mrOp7fnjFBfe1ncktqb9B10H&gt;</t>
  </si>
  <si>
    <t>Rovero &amp; Zimmermann, 2016</t>
  </si>
  <si>
    <t>rovero_zimmermann_2016</t>
  </si>
  <si>
    <t>https://www.researchgate.net/publication/229057405_Camera_trapping_for_inventorying_terrestrial_vertebrates</t>
  </si>
  <si>
    <t>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t>
  </si>
  <si>
    <t>Rovero &amp; Tobler, 2010</t>
  </si>
  <si>
    <t>rovero_tobler_2010</t>
  </si>
  <si>
    <t>https://www.jstor.org/stable/25623081</t>
  </si>
  <si>
    <t>Rovero, F., &amp; Marshall, A. R. (2009). Camera Trapping Photographic Rate as an Index of Density in Forest Ungulates. *Journal of Applied Ecology, 46*(5), 1011-1017. &lt;https://www.jstor.org/stable/25623081&gt;</t>
  </si>
  <si>
    <t>Rovero &amp; Marshall, 2009</t>
  </si>
  <si>
    <t>rovero_marshall_2009</t>
  </si>
  <si>
    <t>https://doi.org/10.4404/hystrix-24.2-6316</t>
  </si>
  <si>
    <t>Rovero, F., Zimmermann, F., Berzi, D., &amp; Meek, P. (2013). “Which camera trap type and how many do I need?” A review of camera features and study designs for a range of wildlife research applications. *Hystrix, the Italian Journal of Mammalogy, 24*(2), 148-156. &lt;https://doi.org/10.4404/hystrix-24.2-6316&gt;</t>
  </si>
  <si>
    <t>Rovero et al., 2013</t>
  </si>
  <si>
    <t>rovero_et_al_2013</t>
  </si>
  <si>
    <t>https://doi.org/10.2981/0909-6396(2008)14[358:EOFMUT]2.0.CO;2</t>
  </si>
  <si>
    <t>Rönnegård, L., Sand, H., Andrén, H., Månsson, J., &amp; Pehrson, Å. (2008). Evaluation of four methods used to estimate population density of moose Alces alces. *Wildlife Biology, 14*(3), 358-371. &lt;https://doi.org/10.2981/0909-6396(2008)14[358:EOFMUT]2.0.CO;2&gt;</t>
  </si>
  <si>
    <t>Rönnegård et al., 2008</t>
  </si>
  <si>
    <t>ronnegard_et_al_2008</t>
  </si>
  <si>
    <t>https://doi.org/10.1371/journal.pone.0198766</t>
  </si>
  <si>
    <t>Romairone, J., Jiménez, J., Luque-Larena, J. J., &amp; Mougeot, F. (2018). Spatial capture-recapture design and modelling for the study of small mammals. *PLOS ONE, 13*(6), e0198766. &lt;https://doi.org/10.1371/journal.pone.0198766&gt;</t>
  </si>
  <si>
    <t>Romairone et al., 2018</t>
  </si>
  <si>
    <t>romairone_et_al_2018</t>
  </si>
  <si>
    <t>https://doi.org/10.1525/bio.2009.59.2.9</t>
  </si>
  <si>
    <t>Roemer, G. W., Gompper, M. E., &amp; Van Valkenburgh, B. (2009). The Ecological Role of the Mammalian Mesocarnivore. *BioScience, 59*(2), 165-173. &lt;https://doi.org/10.1525/bio.2009.59.2.9&gt;</t>
  </si>
  <si>
    <t>Roemer et al., 2009</t>
  </si>
  <si>
    <t>roemer_et_al_2009</t>
  </si>
  <si>
    <t>https://rpubs.com/Roeland-KINDT/694021</t>
  </si>
  <si>
    <t>Roeland Kindt, R. (2020). *Species Accumulation Curves with vegan, BiodiversityR and ggplot2.* &lt;https://rpubs.com/Roeland-KINDT/694021&gt;</t>
  </si>
  <si>
    <t>Roeland, 2020</t>
  </si>
  <si>
    <t>roeland_2020</t>
  </si>
  <si>
    <t>https://doi.org/10.1002/wsb.1055</t>
  </si>
  <si>
    <t>Robinson, S. G., Weithman, C. E., Bellman, H. A., Prisley, S. P., Fraser, J. D., Catlin, D. H., &amp; Karpanty, S. M. (2020). Assessing Error in Locations of Conspicuous Wildlife Using Handheld GPS Units and Location Offset Methods. *Wildlife Society Bulletin, 44*(1), 163-172. &lt;https://doi.org/10.1002/wsb.1055&gt;</t>
  </si>
  <si>
    <t>Robinson et al., 2020</t>
  </si>
  <si>
    <t>robinson_et_al_2020</t>
  </si>
  <si>
    <t>https://www.youtube.com/watch?v=Jj7LYrU_6RA&amp;t=3s</t>
  </si>
  <si>
    <t>Rob K Statistics (2018, Oct 16). *Species Accumulation Curves* [Video]. YouTube. &lt;https://www.youtube.com/watch?v=Jj7LYrU_6RA&amp;t=3s&gt;</t>
  </si>
  <si>
    <t>Rob K Statistics, 2018</t>
  </si>
  <si>
    <t>rk_stats_2018</t>
  </si>
  <si>
    <t>https://www2.gov.bc.ca/assets/download/DABCE3A5C7934410A8307285070C24EA</t>
  </si>
  <si>
    <t>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t>
  </si>
  <si>
    <t>Resources Information Standards Committee [RISC], 2019</t>
  </si>
  <si>
    <t>risc_2019</t>
  </si>
  <si>
    <t>Protocol/Manual</t>
  </si>
  <si>
    <t>https://www.youtube.com/watch?v=ywHVb0Q-qsM</t>
  </si>
  <si>
    <t>Riffomonas Project (2022b, Mar 24). *Generating a rarefaction curve from collector's curves in R within the tidyverse (CC198)* [Video]. YouTube. &lt;https://www.youtube.com/watch?v=ywHVb0Q-qsM&gt;</t>
  </si>
  <si>
    <t>Riffomonas Project, 2022</t>
  </si>
  <si>
    <t>Riffomonas Project, 2022b</t>
  </si>
  <si>
    <t>riffomonas_project_2022b</t>
  </si>
  <si>
    <t>https://www.youtube.com/watch?v=wq1SXGQYgCs</t>
  </si>
  <si>
    <t>Riffomonas Project (2022a, Mar 17). *Using vegan to calculate alpha diversity metrics within the tidyverse in R (CC196)* [Video]. YouTube. &lt;https://www.youtube.com/watch?v=wq1SXGQYgCs&gt;</t>
  </si>
  <si>
    <t>Riffomonas Project, 2022a</t>
  </si>
  <si>
    <t>riffomonas_project_2022a</t>
  </si>
  <si>
    <t>https://doi.org/10.1198/jabes.2009.08038</t>
  </si>
  <si>
    <t>Ridout, M. S., &amp; Linkie, M. (2009). Estimating overlap of daily activity patterns from camera trap data. *Journal of Agricultural, Biological, and Environmental Statistics, 14*(3), 322-337. &lt;https://doi.org/10.1198/jabes.2009.08038&gt;</t>
  </si>
  <si>
    <t>Ridout &amp; Linkie, 2009</t>
  </si>
  <si>
    <t>ridout_linkie_2009</t>
  </si>
  <si>
    <t>https://doi.org/10.1644/13-mamm-a-126</t>
  </si>
  <si>
    <t>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t>
  </si>
  <si>
    <t>Rich et al., 2014</t>
  </si>
  <si>
    <t>rich_et_al_2014</t>
  </si>
  <si>
    <t>https://doi.org/10.1111/emr.12444</t>
  </si>
  <si>
    <t>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t>
  </si>
  <si>
    <t>Rendall et al., 2021</t>
  </si>
  <si>
    <t>rendall_et_al_2021</t>
  </si>
  <si>
    <t>https://www.reconyx.com/img/file/HyperFire_2_User_Guide_2018_07_05_v5.pdf</t>
  </si>
  <si>
    <t>Reconyx Inc. (2018). *Hyperfire Professional/Outdoor Instruction Manual*. Holmen, WI, USA. &lt;https://www.reconyx.com/img/file/HyperFire_2_User_Guide_2018_07_05_v5.pdf&gt;</t>
  </si>
  <si>
    <t>Reconyx Inc., 2018</t>
  </si>
  <si>
    <t>reconyx_inc_2018</t>
  </si>
  <si>
    <t>https://ab-rcsc.github.io/RCSC-WildCAM_Remote-Camera-Survey-Guidelines-and-Metadata-Standards/1_Survey-guidelines/1_0.1_Citation-and-Info.html</t>
  </si>
  <si>
    <t>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t>
  </si>
  <si>
    <t>Alberta Remote Camera Steering Committee [RCSC] et al., 2024</t>
  </si>
  <si>
    <t>rcsc_et_al_2024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</si>
  <si>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</si>
  <si>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</si>
  <si>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</si>
  <si>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</si>
  <si>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(2024a). *Remote Camera Metadata Standards: Standards for Alberta*. Version 2.0. Edmonton, Alberta. &lt;https://ab-rcsc.github.io/RCSC-WildCAM_Remote-Camera-Survey-Guidelines-and-Metadata-Standards/2_metadata-standards/2_0.1_Citation-and-Info.html&gt;</t>
  </si>
  <si>
    <t>Alberta Remote Camera Steering Committee [RCSC], 2024</t>
  </si>
  <si>
    <t>Alberta Remote Camera Steering Committee [RCSC], 2024a</t>
  </si>
  <si>
    <t>rcsc_2024a</t>
  </si>
  <si>
    <t>https://onlinelibrary.wiley.com/doi/pdf/10.1002/ece3.4240</t>
  </si>
  <si>
    <t>Randler, C., &amp; Kalb, N. (2018). Distance and size matters: A comparison of six wildlife camera traps and their usefulness for wild birds. *Ecology and Evolution*, 1-13. &lt;https://onlinelibrary.wiley.com/doi/pdf/10.1002/ece3.4240&gt;</t>
  </si>
  <si>
    <t>Randler &amp; Kalb, 2018</t>
  </si>
  <si>
    <t>randler_kalb_2018</t>
  </si>
  <si>
    <t>https://www.jstor.org/stable/23525262</t>
  </si>
  <si>
    <t>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t>
  </si>
  <si>
    <t>Ramage et al., 2013</t>
  </si>
  <si>
    <t>ramage_et_al_2013</t>
  </si>
  <si>
    <t>https://www.nature.com/scitable/knowledge/library/characterizing-communities-13241173/</t>
  </si>
  <si>
    <t>Pyron, M. (2010) Characterizing Communities. *Nature Education Knowledge, 3*(10):39. &lt;https://www.nature.com/scitable/knowledge/library/characterizing-communities-13241173/&gt;</t>
  </si>
  <si>
    <t>Pyron, 2010</t>
  </si>
  <si>
    <t>pyron_2010</t>
  </si>
  <si>
    <t>https://www.proteus.co.nz/news-tips-and-tricks/occupancy-modelling-more-than-species-presenceabsence</t>
  </si>
  <si>
    <t>Proteus (N.D.). *Occupancy modelling - more than species presence/absence!* [Webpage]. &lt;https://www.proteus.co.nz/news-tips-and-tricks/occupancy-modelling-more-than-species-presenceabsence&gt;</t>
  </si>
  <si>
    <t>Proteus, N.D.</t>
  </si>
  <si>
    <t>proteus_nd</t>
  </si>
  <si>
    <t>Website</t>
  </si>
  <si>
    <t>https://www.youtube.com/watch?v=tCh7rTu6fvQ</t>
  </si>
  <si>
    <t>Proteus. (2019b, Aug 22). *Occupancy models - how many covariates can I include?* [Video]. YouTube. &lt;https://www.youtube.com/watch?v=tCh7rTu6fvQ&gt;</t>
  </si>
  <si>
    <t>Proteus, 2019b</t>
  </si>
  <si>
    <t>proteus_2019b</t>
  </si>
  <si>
    <t>https://www.youtube.com/watch?v=zKQFY8W4ceU</t>
  </si>
  <si>
    <t>Proteus. (2019a, May 30). *Occupancy modelling - the difference between probability and proportion of units occupied* [Video]. YouTube. &lt;https://www.youtube.com/watch?v=zKQFY8W4ceU&gt;</t>
  </si>
  <si>
    <t>Proteus, 2019a</t>
  </si>
  <si>
    <t>proteus_2019a</t>
  </si>
  <si>
    <t>https://www.youtube.com/watch?v=Sp4kb4_TiBA&amp;t=2s</t>
  </si>
  <si>
    <t>https://www.youtube.com/embed/Sp4kb4_TiBA?si=HfYJ3DgqOJfiJ4Z4l</t>
  </si>
  <si>
    <t>Proteus (2018, Mar 19). *Occupancy modelling - more than species presence/absence!* [Video]. YouTube. &lt;https://www.youtube.com/watch?v=Sp4kb4_TiBA&amp;t=2s&gt;</t>
  </si>
  <si>
    <t>Proteus, 2018</t>
  </si>
  <si>
    <t>proteus_2018</t>
  </si>
  <si>
    <t>https://www.youtube.com/watch?v=ghhZClDRK_g&amp;source_ve_path=OTY3MTQbqI</t>
  </si>
  <si>
    <t>Project Dragonfly. (2019, Jan 24). *Abundance, species richness, and diversity* [Video]. YouTube. &lt;https://www.youtube.com/watch?v=ghhZClDRK_g&amp;source_ve_path=OTY3MTQbqI&gt;</t>
  </si>
  <si>
    <t>Project Dragonfly, 2019</t>
  </si>
  <si>
    <t>project_dragonfly_2019</t>
  </si>
  <si>
    <t>https://doi.org/10.1016/j.gecco.2022.e02080</t>
  </si>
  <si>
    <t>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t>
  </si>
  <si>
    <t>Proctor et al., 2022</t>
  </si>
  <si>
    <t>proctor_et_al_2022</t>
  </si>
  <si>
    <t>https://doi.org/10.1644/11-mamm-s-177.1</t>
  </si>
  <si>
    <t>Powell, R. A., &amp; Mitchell, M. S. (2012). What is a home range? *Journal of Mammalogy, 93*(4), 948-958. &lt;https://doi.org/10.1644/11-mamm-s-177.1&gt;</t>
  </si>
  <si>
    <t>Powell &amp; Mitchell, 2012</t>
  </si>
  <si>
    <t>powell_mitchell_2012</t>
  </si>
  <si>
    <t>https://doi.org/10.1002/rse2.67</t>
  </si>
  <si>
    <t>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t>
  </si>
  <si>
    <t>Pfeffer et al., 2018</t>
  </si>
  <si>
    <t>pfeffer_et_al_2018</t>
  </si>
  <si>
    <t>https://doi.org/10.1111/j.1469-1795.2009.00309.x</t>
  </si>
  <si>
    <t>Pettorelli, N., Lobora, A. L., Msuha, M. J., Foley, C., &amp; Durant, S. M. (2010). Carnivore biodiversity in Tanzania: Revealing the distribution patterns of secretive mammals using camera traps. *Animal Conservation, 13*(2), 131-139. &lt;https://doi.org/10.1111/j.1469-1795.2009.00309.x&gt;</t>
  </si>
  <si>
    <t>Pettorelli et al., 2010</t>
  </si>
  <si>
    <t>pettorelli_et_al_2010</t>
  </si>
  <si>
    <t>https://doi.org/10.1002/ece3.7619</t>
  </si>
  <si>
    <t>Pettigrew, P., Sigouin, D., &amp; St‐Laurent, M. (2021). Testing the precision and sensitivity of density estimates obtained with a camera‐trap method revealed limitations and opportunities. *Ecology and Evolution, 11*(12), 7879-7889. &lt;https://doi.org/10.1002/ece3.7619&gt;</t>
  </si>
  <si>
    <t>Pettigrew, Sigouin, &amp; St‐Laurent, 2021</t>
  </si>
  <si>
    <t>Pettigrew et al., 2021</t>
  </si>
  <si>
    <t>pettigrew_et_al_2021</t>
  </si>
  <si>
    <t>https://doi.org/10.1371/journal.pone.0166689</t>
  </si>
  <si>
    <t>Pease, B. S., Nielsen, C. K., &amp; Holzmueller, E. J. (2016). Single-Camera Trap Survey Designs Miss Detections: Impacts on Estimates of Occupancy and Community Metrics. *PloS One, 11*(11), e0166689. &lt;https://doi.org/10.1371/journal.pone.0166689&gt;</t>
  </si>
  <si>
    <t>Pease, Nielsen &amp; Holzmueller, 2016</t>
  </si>
  <si>
    <t>Pease et al., 2016</t>
  </si>
  <si>
    <t>pease_et_al_2016</t>
  </si>
  <si>
    <t>https://jamesepaterson.github.io/jamespatersonblog/2024-06-02_implicitdynamicsoccupancy.html</t>
  </si>
  <si>
    <t>Paterson, J. (2024). *Implicit dynamics occupancy models in R.* &lt;https://jamesepaterson.github.io/jamespatersonblog/2024-06-02_implicitdynamicsoccupancy.html&gt;</t>
  </si>
  <si>
    <t>Paterson, 2024</t>
  </si>
  <si>
    <t>paterson_2024</t>
  </si>
  <si>
    <t>https://doi.org/10.1111/2041-210X.13501.</t>
  </si>
  <si>
    <t>https://conservation-decisions.shinyapps.io/smsPOMDP/</t>
  </si>
  <si>
    <t>Pascal, L., Memarzadeh, M., Boettiger, C., Lloyd, H., &amp; Chadès, I. (2020). A Shiny R app to solve the problem of when to stop managing or surveying species under imperfect detection. Methods in *Ecology and Evolution, 11*(12), 1707-1715. &lt;https://doi.org/10.1111/2041-210X.13501&gt;.</t>
  </si>
  <si>
    <t>Pascal et al., 2020</t>
  </si>
  <si>
    <t>pascal_et_al_2020</t>
  </si>
  <si>
    <t>https://doi.org/10.1111/brv.12334</t>
  </si>
  <si>
    <t>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t>
  </si>
  <si>
    <t>Parsons et al., 2018</t>
  </si>
  <si>
    <t>parsons_et_al_2018</t>
  </si>
  <si>
    <t>https://doi.org/10.1093/jmammal/gyx128</t>
  </si>
  <si>
    <t>Parsons, A. W., Forrester, T., McShea, W. J., Baker-Whatton, M. C., Millspaugh, J. J., &amp; Kays, R. (2017). Do occupancy or detection rates from camera traps reflect deer density? *Journal of Mammalogy, 98*(6), 1547-1557. &lt;https://doi.org/10.1093/jmammal/gyx128&gt;</t>
  </si>
  <si>
    <t>Parsons et al., 2017</t>
  </si>
  <si>
    <t>parsons_et_al_2017</t>
  </si>
  <si>
    <t>https://doi.org/10.1890/0012-9615(2003)073[0001:Smdeaf]2.0.Co;2</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</si>
  <si>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t>
  </si>
  <si>
    <t>Parmenter et al., 2003</t>
  </si>
  <si>
    <t>parmenter_et_al_2003</t>
  </si>
  <si>
    <t>https://onlinelibrary.wiley.com/doi/abs/10.1111/aje.12566</t>
  </si>
  <si>
    <t>Palmer, M. S., Swanson, A., Kosmala, M., Arnold, T., &amp; Packer, C. (2018). Evaluating relative abundance indices for terrestrial herbivores from large‐scale camera trap Surveys. *African Journal of Ecology*, 56, 791-803. &lt;https://onlinelibrary.wiley.com/doi/abs/10.1111/aje.12566&gt;</t>
  </si>
  <si>
    <t>Palmer et al., 2018</t>
  </si>
  <si>
    <t>palmer_et_al_2018</t>
  </si>
  <si>
    <t>https://doi.org/10.1002/rse2.269</t>
  </si>
  <si>
    <t>Palencia, P., Barroso, P., Vicente, J., Hofmeester, T. R., Ferreres, J., &amp; Acevedo, P. (2022b). Random encounter model is a reliable method for estimating population density of multiple species using camera traps. *Remote Sensing in Ecology and Conservation, 8*(5), 670-682. &lt;https://doi.org/10.1002/rse2.269&gt;</t>
  </si>
  <si>
    <t>Palencia et al., 2022b</t>
  </si>
  <si>
    <t>palencia_et_al_2022b</t>
  </si>
  <si>
    <t>https://doi.org/10.1111/jzo.12945</t>
  </si>
  <si>
    <t>Palencia, P., Vicente, J., Soriguer, R. C., &amp; Acevedo, P. (2022). Towards a best‐practices guide for camera trapping: assessing differences among camera trap models and settings under field conditions. *Journal of Zoology, 316*(3), 197-208. &lt;https://doi.org/10.1111/jzo.12945&gt;</t>
  </si>
  <si>
    <t>Palencia et al., 2022</t>
  </si>
  <si>
    <t>palencia_et_al_2022</t>
  </si>
  <si>
    <t>https://doi.org/10.1111/1365-2664.13913</t>
  </si>
  <si>
    <t>Palencia, P., Rowcliffe, J. M., Vicente, J., &amp; Acevedo, P. (2021). Assessing the camera trap methodologies used to estimate Density of unmarked populations. *Journal of Applied Ecology, 58*(8), 1583-1592. &lt;https://doi.org/10.1111/1365-2664.13913&gt;</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</si>
  <si>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</si>
  <si>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</si>
  <si>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</si>
  <si>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</si>
  <si>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</si>
  <si>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</si>
  <si>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</si>
  <si>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K., Reich, B. J., Dorazio, R. M., Conroy, M. J., &amp; McPherson, J. (2016). Occupancy estimation for rare species using a spatially‐adaptive sampling design. *Methods in Ecology and Evolution, 7*(3), 285-293. &lt;https://doi.org/10.1111/2041-210x.12499&gt;</t>
  </si>
  <si>
    <t>Pacifici et al., 2016</t>
  </si>
  <si>
    <t>pacifici_et_al_2016</t>
  </si>
  <si>
    <t>https://pubs.usgs.gov/publication/70119899</t>
  </si>
  <si>
    <t>Otis, D. L., Burnham, K. P., White, G. C.. &amp; Anderson, D. R. (1978). Statistical Inference from Capture Data on Closed Animal Populations. *Wildlife Monographs, 62*, 3-135. &lt;https://pubs.usgs.gov/publication/70119899&gt;</t>
  </si>
  <si>
    <t>Otis et al., 1978</t>
  </si>
  <si>
    <t>otis_et_al_1978</t>
  </si>
  <si>
    <t>https://www.youtube.com/channel/UCc87aAzhX7EUOalyCohzqsQ</t>
  </si>
  <si>
    <t>oscrpackage206 (2020) *oSCR Package.* [Channel]. YouTube. &lt;https://www.youtube.com/channel/UCc87aAzhX7EUOalyCohzqsQ&gt;</t>
  </si>
  <si>
    <t>oscrpackage206, 2020</t>
  </si>
  <si>
    <t>oscrpackage206</t>
  </si>
  <si>
    <t>https://doi.org/10.32614/CRAN.package.vegan</t>
  </si>
  <si>
    <t>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t>
  </si>
  <si>
    <t>Oksanen et al., 2024</t>
  </si>
  <si>
    <t>oksanen_et_al_2024</t>
  </si>
  <si>
    <t>https://doi.org/10.1098/rspb.2016.1234</t>
  </si>
  <si>
    <t>Ofstad, E. G., Herfindal, I., Solberg, E. J., &amp; Saether, B. E. (2016). Home ranges, habitat and body mass: Simple correlates of home range size in ungulates. *Proceedings of the Royal Society B: Biological Sciences, 283* (1845), 20161234. &lt;https://doi.org/10.1098/rspb.2016.1234&gt;</t>
  </si>
  <si>
    <t>Ofstad, 2016</t>
  </si>
  <si>
    <t>ofstad_2016</t>
  </si>
  <si>
    <t>https://doi.org/10.1371/journal.pone.0175684</t>
  </si>
  <si>
    <t>O'Connor, K. M., Nathan, L. R., Liberati, M. R., Tingley, M. W., Vokoun, J. C., &amp; Rittenhouse, T. A. G. (2017). Camera trap arrays improve detection probability of wildlife: Investigating study design considerations using an empirical dataset. *PloS One, 12*(4), e0175684. &lt;https://doi.org/10.1371/journal.pone.0175684&gt;</t>
  </si>
  <si>
    <t>Obbard, Howe &amp; Kyle, 2010</t>
  </si>
  <si>
    <t>O'Connor et al., 2017</t>
  </si>
  <si>
    <t>oconnor_et_al_2017</t>
  </si>
  <si>
    <t>https://doi.org/10.2193/0022-541X(2006)70[1625:ESOADP]2.0.CO;2</t>
  </si>
  <si>
    <t>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t>
  </si>
  <si>
    <t>O'Connell et al., 2011</t>
  </si>
  <si>
    <t>oconnell_et_al_2011</t>
  </si>
  <si>
    <t>https://doi.org/10.1007/978-4-431-99495-4_6</t>
  </si>
  <si>
    <t>O'Connell, A. F., &amp; Bailey, L. L. (2011a). Inference for Occupancy and Occupancy Dynamics. In O'Connell, A. F. Nichols, J. D. &amp; Karanth, K. U. (Eds.), *Camera Traps In Animal Ecology: Methods and Analyses* (pp. 191-206). Springer. &lt;https://doi.org/10.1007/978-4-431-99495-4_6&gt;</t>
  </si>
  <si>
    <t>O'Connell et al., 2006</t>
  </si>
  <si>
    <t>oconnell_et_al_2006</t>
  </si>
  <si>
    <t>https://doi.org/10.1007/978-4-431-99495-4</t>
  </si>
  <si>
    <t>O'Connell, A. F., Nichols, J. D., &amp; Karanth, K. U. (Eds. ). (2010). *Camera traps in Animal Ecology: Methods and Analyses*. Springer. &lt;https://doi.org/10.1007/978-4-431-99495-4&gt;</t>
  </si>
  <si>
    <t>O'Connell &amp; Bailey, 2011a</t>
  </si>
  <si>
    <t>oconnell_bailey_2011a</t>
  </si>
  <si>
    <t>O'Brien, T. G. (2011). Abundance, Density and Relative Abundance: A Conceptual Framework. In A. F. O'Connell, J. D. Nichols, &amp; K. U. Karanth (Eds.), *Camera Traps In Animal Ecology: Methods and Analyses* (pp. 71-96). Springer. &lt;https://doi.org/10.1007/978-4-431-99495-4_6&gt;</t>
  </si>
  <si>
    <t>O'Brien, 2010</t>
  </si>
  <si>
    <t>O'Brien &amp; Kinnaird, 2011</t>
  </si>
  <si>
    <t>obrien_kinnaird_2011</t>
  </si>
  <si>
    <t>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t>
  </si>
  <si>
    <t>O'Brien et al., 2013</t>
  </si>
  <si>
    <t>obrien_et_al_2013</t>
  </si>
  <si>
    <t>https://www.jstor.org/stable/41417102</t>
  </si>
  <si>
    <t>O'Brien, T. G., &amp; Kinnaird, M. F. (2011). Density estimation of sympatric carnivores using spatially explicit capture-recapture methods and standard trapping grid. *Ecological Applications, 21*(8), 2908-2916. &lt;https://www.jstor.org/stable/41417102&gt;</t>
  </si>
  <si>
    <t>O'Brien, Kinnaird &amp; Wibisono, 2013</t>
  </si>
  <si>
    <t>O'Brien et al., 2011</t>
  </si>
  <si>
    <t>obrien_et_al_2011</t>
  </si>
  <si>
    <t>https://doi.org/10.1017/s1367943003003172</t>
  </si>
  <si>
    <t>O'Brien, T. G., Kinnaird, M. F., &amp; Wibisono, H. T. (2003). Crouching tigers, hidden prey: Sumatran tiger and prey populations in a tropical forest landscape. *Animal Conservation, 6*(2), 131-139. &lt;https://doi.org/10.1017/s1367943003003172&gt;</t>
  </si>
  <si>
    <t>O'Brien, Kinnaird &amp; Wibisono, 2011</t>
  </si>
  <si>
    <t>O'Brien, 2011</t>
  </si>
  <si>
    <t>obrien_2011</t>
  </si>
  <si>
    <t>https://library.wcs.org/doi/ctl/view/mid/33065/pubid/DMX534800000.aspx</t>
  </si>
  <si>
    <t>O'Brien, K. M. (2010). *Wildlife Picture Index: Implementation Manual Version 1. 0.* WCS Working Paper No. 39. &lt;https://library.wcs.org/doi/ctl/view/mid/33065/pubid/DMX534800000.aspx&gt;</t>
  </si>
  <si>
    <t>obrien_2010</t>
  </si>
  <si>
    <t>https://doi.org/10.1111/j.1365-2664.2009.01758.x</t>
  </si>
  <si>
    <t>Obbard, M. E., Howe, E. J., &amp; Kyle, C. J. (2010). Empirical Comparison of Density Estimators for Large Carnivores. *Journal of Applied Ecology*, 47(1), 76-84. &lt;https://doi.org/10.1111/j.1365-2664.2009.01758.x&gt;</t>
  </si>
  <si>
    <t>Obbard et al., 2010</t>
  </si>
  <si>
    <t>obbard_et_al_2010</t>
  </si>
  <si>
    <t>https://doi.org/10.1111/j.1469-1795.2012.00545.x</t>
  </si>
  <si>
    <t>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t>
  </si>
  <si>
    <t>Noss et al., 2012</t>
  </si>
  <si>
    <t>noss_et_al_2012</t>
  </si>
  <si>
    <t>https://www.researchgate.net/publication/228541823_A_Camera_trapping_and_radio_telemetry_study_of_lowland_tapir_Tapirus_terrestris_in_Bolivian_dry_forests</t>
  </si>
  <si>
    <t>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t>
  </si>
  <si>
    <t>Noss et al., 2003</t>
  </si>
  <si>
    <t>noss_et_al_2003</t>
  </si>
  <si>
    <t>https://doi.org/10.1111/2041-210x.1350</t>
  </si>
  <si>
    <t>Norouzzadeh, M. S., Morris, D., Beery, S., Joshi, N., Jojic, N., Clune, J., &amp; Schofield, M. (2020). A deep active learning system for species identification and counting in camera trap images. *Methods in Ecology and Evolution, 12*(1), 150-161. &lt;https://doi.org/10.1111/2041-210x.1350&gt;</t>
  </si>
  <si>
    <t>Norouzzadeh et al., 2020</t>
  </si>
  <si>
    <t>norouzzadeh_et_al_2020</t>
  </si>
  <si>
    <t>https://doi.org/10.1111/j.1523-1739.2012.01855.x.</t>
  </si>
  <si>
    <t>Noon, B. R., Bailey, L. L., Sisk, T. D., &amp; McKelvey, K. S. (2012). Efficient Species-Level Monitoring at the Landscape Scale. *Conservation Biology, 26*(3), 432-41. &lt;https://doi.org/10.1111/j.1523-1739.2012.01855.x.&gt;</t>
  </si>
  <si>
    <t>Noon et al., 2012</t>
  </si>
  <si>
    <t>noon_et_al_2012</t>
  </si>
  <si>
    <t>https://doi.org/10.1071/WR08083</t>
  </si>
  <si>
    <t>Newbold, H. G., &amp; King, C. M. (2009). Can a predator see invisible light? Infrared vision in ferrets (*Mustelo furo*). *Wildlife Research, 36*(4), 309-318. &lt;https://doi.org/10.1071/WR08083&gt;</t>
  </si>
  <si>
    <t>Newbold &amp; King, 2009</t>
  </si>
  <si>
    <t>newbold_king_2009</t>
  </si>
  <si>
    <t>https://doi.org/10.1002/ecs2.2092</t>
  </si>
  <si>
    <t>Neilson, E. W., Avgar, T., Burton, A. C., Broadley, K., &amp; Boutin, S. (2018). Animal movement affects interpretation of occupancy models from camera‐trap Surveys of unmarked animals. *Ecosphere, 9*(1). &lt;https://doi.org/10.1002/ecs2.2092&gt;</t>
  </si>
  <si>
    <t>Neilson et al., 2018</t>
  </si>
  <si>
    <t>neilson_et_al_2018</t>
  </si>
  <si>
    <r>
      <t>National Boreal Caribou Knowledge Consortium [NBCKC / CNSCB]. (2024). *</t>
    </r>
    <r>
      <rPr>
        <i/>
        <sz val="12"/>
        <color theme="1"/>
        <rFont val="Calibri"/>
        <family val="2"/>
      </rPr>
      <t>National Boreal Caribou Knowledge Consortium Glossary: Creating a common language</t>
    </r>
    <r>
      <rPr>
        <sz val="12"/>
        <color theme="1"/>
        <rFont val="Calibri"/>
        <family val="2"/>
      </rPr>
      <t>.* National Boreal Caribou Knowledge Consortium (NBCKC / CNSCB). &lt;https://www.cclmportal.ca/resource/creating-common-language-glossary#:~:text=The%20goal%20of%20the%20National,A%20Toolkit%20for%20Respectful%20Collaboration&gt;</t>
    </r>
  </si>
  <si>
    <t>NBCKC / CNSCB, 2024</t>
  </si>
  <si>
    <t>https://doi.org/10.1038/s41598-021-92361-2</t>
  </si>
  <si>
    <t>Nawaz, M. A., Khan, B. U., Mahmood, A., Younas, M., Din, J. U., &amp; Sutherland, C. (2021). An empirical demonstration of the effect of study design on density estimations. *Scientific Reports, 11*(1), 13104. PubMed-not-MEDLINE. &lt;https://doi.org/10.1038/s41598-021-92361-2&gt;</t>
  </si>
  <si>
    <t>Nawaz et al., 2021</t>
  </si>
  <si>
    <t>nawaz_et_al_2021</t>
  </si>
  <si>
    <t>https://open.alberta.ca/publications/0778545725</t>
  </si>
  <si>
    <t>Natural Regions Committee. (2006). *Natural regions and subregions of Alberta* (T/852; p. 264). Government of Alberta. &lt;https://open.alberta.ca/publications/0778545725&gt;</t>
  </si>
  <si>
    <t>Natural Regions Committee., 2006</t>
  </si>
  <si>
    <t>natural_regions_committee._2006</t>
  </si>
  <si>
    <t>https://doi.org/10.1016/j.biocon.2019.108381</t>
  </si>
  <si>
    <t>Nakashima, Y., Hongo, S., &amp; Akomo-Okoue, E. F. (2020). Landscape-scale estimation of forest ungulate density and biomass using camera traps: Applying the REST model. *Biological Conservation, 241*, 108381. &lt;https://doi.org/10.1016/j.biocon.2019.108381&gt;</t>
  </si>
  <si>
    <t>Nakashima, Hongo, &amp; Akomo-Okoue, 2020</t>
  </si>
  <si>
    <t>Nakashima et al., 2020</t>
  </si>
  <si>
    <t>nakashima_et_al_2020</t>
  </si>
  <si>
    <t>https://doi.org/10.1111/1365-2664.13059</t>
  </si>
  <si>
    <t>Nakashima, Y., Fukasawa, &amp; K., Samejima, H. (2017). Estimating Animal Density Without Individual Recognition Using Information Derivable Exclusively from Camera Traps. *Journal of Applied Ecology, 55*(2), 735-744. &lt;https://doi.org/10.1111/1365-2664.13059&gt;</t>
  </si>
  <si>
    <t>Nakashima et al., 2017</t>
  </si>
  <si>
    <t>nakashima_et_al_2017</t>
  </si>
  <si>
    <t>https://www.youtube.com/watch?v=s-d81K72yWs&amp;list=PLNlLe3RjftYun9Xh2pJOAuisHaTVyEwAB&amp;index=3</t>
  </si>
  <si>
    <t>https://www.youtube.com/embed/s-d81K72yWs?si=PqWOR_dvvkCfoLY7</t>
  </si>
  <si>
    <t>Nakajima. (2021d, Jul 1). *Density Estimation with the REST Model &gt; REST_03_MeasureStayingTime.* [Video]. YouTube. &lt;https://www.youtube.com/watch?v=s-d81K72yWs&amp;list=PLNlLe3RjftYun9Xh2pJOAuisHaTVyEwAB&amp;index=3&gt;</t>
  </si>
  <si>
    <t>中島啓裕, 2021d</t>
  </si>
  <si>
    <t>Nakajima, 2021d</t>
  </si>
  <si>
    <t>nakajima_2021d</t>
  </si>
  <si>
    <t>https://www.youtube.com/watch?v=wqEF_up7EGs&amp;list=PLNlLe3RjftYun9Xh2pJOAuisHaTVyEwAB&amp;index=2</t>
  </si>
  <si>
    <t>https://www.youtube.com/embed/wqEF_up7EGs?si=IL2_moYR0XpdR-Fk</t>
  </si>
  <si>
    <t>Nakajima. (2021c, Jul 1). *Density Estimation with the REST Model &gt; REST_02_Set_Up_Emv.* [Video]. YouTube. &lt;https://www.youtube.com/watch?v=wqEF_up7EGs&amp;list=PLNlLe3RjftYun9Xh2pJOAuisHaTVyEwAB&amp;index=2&gt;</t>
  </si>
  <si>
    <t>中島啓裕, 2021c</t>
  </si>
  <si>
    <t>Nakajima, 2021c</t>
  </si>
  <si>
    <t>nakajima_2021c</t>
  </si>
  <si>
    <t>https://www.youtube.com/watch?v=pUa9rgxSGVA&amp;list=PLNlLe3RjftYun9Xh2pJOAuisHaTVyEwAB&amp;index=1</t>
  </si>
  <si>
    <t>https://www.youtube.com/embed/pUa9rgxSGVA?si=pOIqFPL6AxNuUYJt</t>
  </si>
  <si>
    <t>Nakajima. (2021b, Jul 1). *Density Estimation with the REST Model &gt; REST_01_Set_Focal_Area* [Video]. YouTube. &lt;https://www.youtube.com/watch?v=pUa9rgxSGVA&amp;list=PLNlLe3RjftYun9Xh2pJOAuisHaTVyEwAB&amp;index=1&gt;</t>
  </si>
  <si>
    <t>中島啓裕, 2021b</t>
  </si>
  <si>
    <t>Nakajima, 2021b</t>
  </si>
  <si>
    <t>nakajima_2021b</t>
  </si>
  <si>
    <t>https://www.youtube.com/playlist?list=PLNlLe3RjftYun9Xh2pJOAuisHaTVyEwAB</t>
  </si>
  <si>
    <t>Nakajima. (2021a, Jul 1). *Density Estimation with the REST Model.* [Playlist]. YouTube. &lt;https://www.youtube.com/playlist?list=PLNlLe3RjftYun9Xh2pJOAuisHaTVyEwAB&gt;</t>
  </si>
  <si>
    <t>中島啓裕, 2021a</t>
  </si>
  <si>
    <t>Nakajima, 2021a</t>
  </si>
  <si>
    <t>nakajima_2021a</t>
  </si>
  <si>
    <t>https://doi.org/10.1111/1365-2656.13515</t>
  </si>
  <si>
    <t>Murray, M. H., Fidino, M., Lehrer, E. W., Simonis, J. L., &amp; Magle, S. B. (2021). A multi-state occupancy model to non-invasively monitor visible signs of wildlife health with camera traps that accounts for image quality. *Journal of Animal Ecology, 90*(8), 1973-1984. &lt;https://doi.org/10.1111/1365-2656.13515&gt;</t>
  </si>
  <si>
    <t>Murray et al., 2021</t>
  </si>
  <si>
    <t>murray_et_al_2021</t>
  </si>
  <si>
    <t>https://www.ncbi.nlm.nih.gov/pubmed/27106524</t>
  </si>
  <si>
    <t>Murray, M. H., Hill, J., Whyte, P., &amp; St Clair, C. C. (2016) Urban Compost Attracts Coyotes, Contains Toxins, and may Promote Disease in Urban-Adapted Wildlife. *EcoHealth, 13*(2):285-92. &lt;https://www.ncbi.nlm.nih.gov/pubmed/27106524&gt;</t>
  </si>
  <si>
    <t>Murray et al., 2016</t>
  </si>
  <si>
    <t>murray_et_al_2016</t>
  </si>
  <si>
    <t>https://doi.org/10.1016/0304-4076(86)90002-3</t>
  </si>
  <si>
    <t>Mullahy, J. (1986). Specification and Testing of Some Modified Count Data Models. *Journal of Econometrics, 3*3(3), 341-365. &lt;https://doi.org/10.1016/0304-4076(86)90002-3&gt;</t>
  </si>
  <si>
    <t>Mullahy, 1986</t>
  </si>
  <si>
    <t>mullahy_1986</t>
  </si>
  <si>
    <t>https://doi.org/10.1371/journal.pone.0136933</t>
  </si>
  <si>
    <t>Muhly, T., Serrouya, R., Neilson, E., Li, H., &amp; Boutin, S. (2015). Influence of In-Situ Oil Sands Development on Caribou (*Rangifer tarandus*) Movement. *PloS One, 10*(9), e0136933. &lt;https://doi.org/10.1371/journal.pone.0136933&gt;</t>
  </si>
  <si>
    <t>Muhly et al., 2015</t>
  </si>
  <si>
    <t>muhly_et_al_2015</t>
  </si>
  <si>
    <t>https://doi.org/10.1371/journal.pone.0017050</t>
  </si>
  <si>
    <t>Muhly, T. B., Semeniuk, C., Massolo, A., Hickman, L., &amp; Musiani, M. (2011). Human activity helps prey win the predator-prey space race. *PloS One, 6*(3), e17050. &lt;https://doi.org/10.1371/journal.pone.0017050&gt;</t>
  </si>
  <si>
    <t>Muhly et al., 2011</t>
  </si>
  <si>
    <t>muhly_et_al_2011</t>
  </si>
  <si>
    <t>https://doi.org/10.1007/978-0-387-75528-1</t>
  </si>
  <si>
    <t>Morrison, M. L., Block, W. M., Strickland, M. D., Collier, B. A. &amp; Peterson, M. J. (2008). *Wildlife Study Design*. Springer, New York. &lt;https://doi.org/10.1007/978-0-387-75528-1&gt;</t>
  </si>
  <si>
    <t>Morrison et al., 2018</t>
  </si>
  <si>
    <t>morrison_et_al_2018</t>
  </si>
  <si>
    <t>https://agentmorris.github.io/camera-trap-ml-Survey/</t>
  </si>
  <si>
    <t>Morris, D. (2022). *Everything I know about machine learning and camera traps.* &lt;https://agentmorris.github.io/camera-trap-ml-Survey/&gt;</t>
  </si>
  <si>
    <t>Morris, 2022</t>
  </si>
  <si>
    <t>morris_2022</t>
  </si>
  <si>
    <t>https://doi.org/10.1016/j.gecco.2022.e02058</t>
  </si>
  <si>
    <t>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t>
  </si>
  <si>
    <t>Morin et al., 2022</t>
  </si>
  <si>
    <t>morin_et_al_2022</t>
  </si>
  <si>
    <t>https://doi.org/10.1007/s10980-021-01283-x</t>
  </si>
  <si>
    <t>Moqanaki, E. S., Milleret, C., Tourani, M., Dupont, P., &amp; Bischof, R. (2021). Consequences of ignoring variable and spatially autocorrelated detection probability in spatial capture- recapture. *Landscape Ecology, 36, 2879-2895*. &lt;https://doi.org/10.1007/s10980-021-01283-x&gt;</t>
  </si>
  <si>
    <t>Moqanaki et al., 2021</t>
  </si>
  <si>
    <t>moqanaki_et_al_2021</t>
  </si>
  <si>
    <t>https://doi.org/10.13140/RG.2.2.28025.57449</t>
  </si>
  <si>
    <t>Molloy, S. W. (2018). *A Practical Guide to Using Camera Traps for Wildlife Monitoring in Natural Resource Management Projects*. &lt;https://doi.org/10.13140/RG.2.2.28025.57449&gt;</t>
  </si>
  <si>
    <t>Molloy, 2018</t>
  </si>
  <si>
    <t>molloy_2018</t>
  </si>
  <si>
    <t>https://doi.org/10.1071/wr19004</t>
  </si>
  <si>
    <t>Moll, R. J., Ortiz-Calo, W., Cepek, J. D., Lorch, P. D., Dennis, P. M., Robison, T., &amp; Montgomery, R. A. (2020). The effect of camera-trap viewshed obstruction on wildlife detection: implications for inference. *Wildlife Research, 47*(2). &lt;https://doi.org/10.1071/wr19004&gt;</t>
  </si>
  <si>
    <t>Moll et al., 2020</t>
  </si>
  <si>
    <t>moll_et_al_2020</t>
  </si>
  <si>
    <t>https://doi.org/10.1007/s42991-021-00181-8</t>
  </si>
  <si>
    <t>Moeller &amp; Lukacs, 2021</t>
  </si>
  <si>
    <t>https://doi.org/10.1002/rse2.300</t>
  </si>
  <si>
    <t>Moeller, A. K., Waller, S. J., DeCesare, N. J., Chitwood, M. C., &amp; Lukacs, P. M. (2023). Best practices to account for capture probability and viewable area in camera‐based abundance estimation. *Remote Sensing in Ecology and Conservation.* &lt;https://doi.org/10.1002/rse2.300&gt;</t>
  </si>
  <si>
    <t>Moeller et al., 2023</t>
  </si>
  <si>
    <t>moeller_et_al_2023</t>
  </si>
  <si>
    <t>https://doi.org/10.1002/ecs2.2331</t>
  </si>
  <si>
    <t>Moeller, A. K., Lukacs, P. M., &amp; Horne, J. S. (2018). Three Novel Methods to Estimate Abundance of Unmarked Animals using Remote Cameras. *Ecosphere, 9*(8), Article e02331. &lt;https://doi.org/10.1002/ecs2.2331&gt;</t>
  </si>
  <si>
    <t>Moeller, Lukacs &amp; Horne, 2018</t>
  </si>
  <si>
    <t>Moeller et al., 2018</t>
  </si>
  <si>
    <t>moeller_et_al_2018</t>
  </si>
  <si>
    <t>https://doi.org/10.1371/journal.pone.0216447</t>
  </si>
  <si>
    <t>Mills, D., Fattebert, J., Hunter, L., &amp; Slotow, R. (2019). Maximising camera trap data: Using attractants to improve detection of elusive species in multi-species Surveys. *PLoS ONE, 14(5)*, e0216447. &lt;https://doi.org/10.1371/journal.pone.0216447&gt;</t>
  </si>
  <si>
    <t>Mills et al., 2019</t>
  </si>
  <si>
    <t>mills_et_al_2019</t>
  </si>
  <si>
    <t>https://doi.org/10.1371/journal.pone.0146142</t>
  </si>
  <si>
    <t>Mills, C. A., Godley, B. J., &amp; Hodgson, D. J. (2016). Take Only Photographs, Leave Only Footprints: Novel Applications of Non-Invasive Survey Methods for Rapid Detection of Small, Arboreal Animals. *PloS One, 11*(1), e0146142. &lt;https://doi.org/10.1371/journal.pone.0146142&gt;</t>
  </si>
  <si>
    <t>Mills, Godley &amp; Hodgson, 2016</t>
  </si>
  <si>
    <t>Mills et al., 2016</t>
  </si>
  <si>
    <t>mills_et_al_2016</t>
  </si>
  <si>
    <t>https://detcal-shiny.2.rahtiapp.fi/</t>
  </si>
  <si>
    <t>https://detcal-shiny.2.rahtiapp.fi</t>
  </si>
  <si>
    <t>Mikkelä, A. (2024). *Probabilistic detection calculator (online application).* R shiny version v2. &lt;https://detcal-shiny.2.rahtiapp.fi/&gt;</t>
  </si>
  <si>
    <t>Mikkelä, 2024</t>
  </si>
  <si>
    <t>mikkela_2024</t>
  </si>
  <si>
    <t>https://doi.org/10.1002/rse2.28</t>
  </si>
  <si>
    <t>Meek, P. D., Ballard, G. A., &amp; Falzon, G. (2016). The Higher You Go the Less You Will Know: Placing Camera Traps High to Avoid Theft Will Affect Detection. *Remote Sensing in Ecology and Conservation, 2*(4), 204-211. &lt;https://doi.org/10.1002/rse2.28&gt;</t>
  </si>
  <si>
    <t>Meek, Ballard &amp; Falzon, 2016</t>
  </si>
  <si>
    <t>Meek et al., 2016</t>
  </si>
  <si>
    <t>meek_et_al_2016</t>
  </si>
  <si>
    <t>https://doi.org/10.1371/journal.pone.0110832</t>
  </si>
  <si>
    <t>Meek, P. D., Ballard, G. A., Fleming, P. J. S., Schaefer, M., Williams, W., &amp; Falzon, G. (2014a). Camera Traps Can Be Heard and Seen by Animals. *PLoS One, 9*(10), e110832. &lt;https://doi.org/10.1371/journal.pone.0110832&gt;</t>
  </si>
  <si>
    <t>Meek et al., 2014b</t>
  </si>
  <si>
    <t>meek_et_al_2014b</t>
  </si>
  <si>
    <t>https://doi.org/10.1007/s10531-014-0712-8</t>
  </si>
  <si>
    <t>Meek, P. D., Ballard, G., Claridge, A., Kays, R., Moseby, K., O'Brien, T., O'Connell, A., Sanderson, J., Swann, D. E., Tobler, M., &amp; Townsend, S. (2014a). Recommended Guiding Principles for Reporting on Camera trap Trapping Research. *Biodiversity and Conservation, 23*(9), 2321-2343. &lt;https://doi.org/10.1007/s10531-014-0712-8&gt;</t>
  </si>
  <si>
    <t>Meek et al., 2014a</t>
  </si>
  <si>
    <t>meek_et_al_2014a</t>
  </si>
  <si>
    <t>https://www.youtube.com/watch?v=4gcmAUpo9TU</t>
  </si>
  <si>
    <t>mecks100 (2018, Feb 7). *Species accumulation and rarefaction curves* [Video]. YouTube. &lt;https://www.youtube.com/watch?v=4gcmAUpo9TU&gt;</t>
  </si>
  <si>
    <t>mecks100, 2018</t>
  </si>
  <si>
    <t>mecks100_2018</t>
  </si>
  <si>
    <t>https://doi.org/10.1007/s10980-015-0262-9</t>
  </si>
  <si>
    <t>McShea, W. J., Forrester, T., Costello, R., He, Z., &amp; Kays, R. (2015). Volunteer-Run Cameras as Distributed Sensors for Macrosystem Mammal Research. *Landscape Ecology, 31,* 1-13. &lt;https://doi.org/10.1007/s10980-015-0262-9&gt;</t>
  </si>
  <si>
    <t>McShea et al., 2015</t>
  </si>
  <si>
    <t>mcshea_et_al_2015</t>
  </si>
  <si>
    <t>https://darinjmcneil.weebly.com/multi-season-occupancy.html</t>
  </si>
  <si>
    <t>McNeil, D. (n.d.). *Multi-season Occupancy Models*. &lt;https://darinjmcneil.weebly.com/multi-season-occupancy.html&gt;</t>
  </si>
  <si>
    <t>McNeil (n.d.)</t>
  </si>
  <si>
    <t>mcneil_nd</t>
  </si>
  <si>
    <t>https://doi.org/10.1002/wsb.1390</t>
  </si>
  <si>
    <t>McMurry, S., Moeller, A. K., Goerz, J., &amp; Robinson, H. S. (2023). Using space to event modeling to estimate density of multiple species in northeastern Washington. *Wildlife Society Bulletin, 47*(1). &lt;https://doi.org/10.1002/wsb.1390&gt;</t>
  </si>
  <si>
    <t>McMurry et al., 2023</t>
  </si>
  <si>
    <t>mcmurray_et_al_2023</t>
  </si>
  <si>
    <t>https://doi.org/10.1002/ece3.6797</t>
  </si>
  <si>
    <t>McFarlane, S., Manseau, M., Steenweg, R., Hervieux, D., Hegel, T., Slater, S., &amp; Wilson, P. J. (2020). An assessment of sampling designs using SCR analyses to estimate abundance of boreal caribou. *Ecology and Evolution, 10*(20), 11631-11642. &lt;https://doi.org/10.1002/ece3.6797&gt;</t>
  </si>
  <si>
    <t>McFarlane et al., 2020</t>
  </si>
  <si>
    <t>mcfarlane_et_al_2020</t>
  </si>
  <si>
    <t>http://dx.doi.org/10.1007/978-1-4899-3242-6</t>
  </si>
  <si>
    <t>McCullagh, P., &amp; Nelder, J. A. (1989). *Generalised Linear Models,* 2nd edn. Chapman and Hall, London. &lt;http://dx.doi.org/10.1007/978-1-4899-3242-6&gt;</t>
  </si>
  <si>
    <t>McCullagh &amp; Nelder, 1989</t>
  </si>
  <si>
    <t>mccullagh_nelder_1989</t>
  </si>
  <si>
    <t>https://openlibrary-repo.ecampusontario.ca/xmlui/bitstream/handle/123456789/850/Monitoring-Animal-Populations-and-Their-Habitats-A-Practitioner039s-Guide-1598474504._print.pdf?sequence=4&amp;isAllowed=y</t>
  </si>
  <si>
    <t>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t>
  </si>
  <si>
    <t>Mccomb, Vesely &amp; Jordan, 2010</t>
  </si>
  <si>
    <t>Mccomb et al., 2010</t>
  </si>
  <si>
    <t>mccomb_et_al_2010</t>
  </si>
  <si>
    <t>https://doi.org/10.1002/ece3.1676</t>
  </si>
  <si>
    <t>McClintock, B. T. (2015). multimark: An R package for analysis of capture-recapture data consisting of multiple 'noninvasive' marks. *Ecology and Evolution, 5*(21), 4920-4931. &lt;https://doi.org/10.1002/ece3.1676&gt;</t>
  </si>
  <si>
    <t>McClintock et al., 2015</t>
  </si>
  <si>
    <t>mcclintock_et_al_2015</t>
  </si>
  <si>
    <t>https://doi.org/10.1111/j.1541-0420.2008.01047.x</t>
  </si>
  <si>
    <t>McClintock, B. T., White, G. C., Antolin, M. F., &amp; Tripp, D. W. (2009). Estimating abundance using mark-resight when sampling is with replacement or the number of marked individuals is unknown. *Biometrics, 65*(1), 237-246. &lt;https://doi.org/10.1111/j.1541-0420.2008.01047.x&gt;</t>
  </si>
  <si>
    <t>McClintock et al., 2009</t>
  </si>
  <si>
    <t>mcclintock_et_al_2009</t>
  </si>
  <si>
    <t>https://doi.org/10.1111/j.1461-0248.2005.00826.x</t>
  </si>
  <si>
    <t>Martin, T. G., Wintle, B. A., Rhodes, J. R., Kuhnert, P. M., Field, S. A., Low-Choy, S. J., Tyre, A. J., &amp; Possingham, H. P. (2005). Zero Tolerance Ecology: Improving Ecological Inference by Modelling the Source of Zero Observations. *Ecology Letters, 8*(11), 1235-1246. &lt;https://doi.org/10.1111/j.1461-0248.2005.00826.x&gt;</t>
  </si>
  <si>
    <t>Martin et al., 2005</t>
  </si>
  <si>
    <t>martin_et_al_2005</t>
  </si>
  <si>
    <t>https://doi.org/10.1016/j.ijpara.2020.02.001</t>
  </si>
  <si>
    <t>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t>
  </si>
  <si>
    <t>Markle et al., 2020</t>
  </si>
  <si>
    <t>markle_et_al_2020</t>
  </si>
  <si>
    <t>https://www.youtube.com/watch?v=eIY--zc5f24</t>
  </si>
  <si>
    <t>https://www.youtube.com/embed/eIY--zc5f24?si=dgtSF_vfwUxuG1Mi</t>
  </si>
  <si>
    <t>MarinStatsLectures-R Programming &amp; Statistics (2020b, Mar 17). *Poisson Regression: Zero Inflation (Excessive Zeros).* [Video]. YouTube. &lt;https://www.youtube.com/watch?v=eIY--zc5f24&gt;</t>
  </si>
  <si>
    <t>MarinStatsLectures-R Programming &amp; Statistics, 2020b</t>
  </si>
  <si>
    <t>marinstats_2020b</t>
  </si>
  <si>
    <t>https://www.youtube.com/watch?v=A8H6gc9Eq0w</t>
  </si>
  <si>
    <t>https://www.youtube.com/embed/A8H6gc9Eq0w?si=Ade-D5-J5JtCZwil</t>
  </si>
  <si>
    <t>MarinStatsLectures-R Programming &amp; Statistics (2020a, Mar 17). *Poisson Regression Review.* [Video]. YouTube. &lt;https://www.youtube.com/watch?v=A8H6gc9Eq0w&gt;</t>
  </si>
  <si>
    <t>MarinStatsLectures-R Programming &amp; Statistics, 2020a</t>
  </si>
  <si>
    <t>marinstats_2020a</t>
  </si>
  <si>
    <t>https://doi.org/10.1007/0-306-48151-0</t>
  </si>
  <si>
    <t>Manly, B. F. J., McDonald, L. L., &amp; Thomas, D. L. (1993). *Resource Selection by Animals: Statistical Design and Analysis for Field Studies*. Chapman &amp; Hall, London, p. 177. &lt;https://doi.org/10.1007/0-306-48151-0&gt;</t>
  </si>
  <si>
    <t>Manly, McDonald &amp; Thomas, 1993</t>
  </si>
  <si>
    <t>Manly et al., 1993</t>
  </si>
  <si>
    <t>manly_et_al_1993</t>
  </si>
  <si>
    <t>https://doi.org/10.1111/j.1744-7429.2007.00341.x</t>
  </si>
  <si>
    <t>Maffei, L., &amp; Noss, A. J. (2008). How Small Is Too Small? Camera Trap Survey Areas and Density Estimates for Ocelots in the Bolivian Chaco. *Biotropica, 40*(1), 71-75. &lt;https://doi.org/10.1111/j.1744-7429.2007.00341.x&gt;</t>
  </si>
  <si>
    <t>Maffei &amp; Noss, 2008</t>
  </si>
  <si>
    <t>maffei_noss_2008</t>
  </si>
  <si>
    <t>https://doi.org/10.1111/j.1365-2664.2005.01098.x</t>
  </si>
  <si>
    <t>Mackenzie, D. I., &amp; Royle, J. A. (2005). Designing occupancy studies: general advice and allocating Survey effort. *Journal of Applied Ecology, 42*, 1105-1114. &lt;https://doi.org/10.1111/j.1365-2664.2005.01098.x&gt;</t>
  </si>
  <si>
    <t>Mackenzie &amp; Royle, 2005</t>
  </si>
  <si>
    <t>mackenzie_royle_2005</t>
  </si>
  <si>
    <t>https://doi.org/10.1890/0012-9658(2002)083[2387:HSDPBI]2.0.CO;2</t>
  </si>
  <si>
    <t>MacKenzie, D. I., &amp; Kendall, W. L. (2002) How Should Detection Probability Be Incorporated into Estimates of Relative Abundance? *Ecology, 83*(9), 2387-93. &lt;https://doi.org/10.1890/0012-9658(2002)083[2387:HSDPBI]2.0.CO;2&gt;</t>
  </si>
  <si>
    <t>MacKenzie &amp; Kendall, 2002</t>
  </si>
  <si>
    <t>mackenzie_kendall_2002</t>
  </si>
  <si>
    <t>https://www.sciencedirect.com/book/9780124071971/occupancy-estimation-and-modeling.</t>
  </si>
  <si>
    <t>MacKenzie, D. I., Nichols, J. D., Royle, J. A., Pollock, K. H., Bailey, L. L., &amp; Hines, J. E. (2017). *Occupancy Estimation and Modeling: Inferring Patterns and Dynamics of Species Occurrence*. 2nd ed. Academic Press, San Diego. &lt;https://www.sciencedirect.com/book/9780124071971/occupancy-estimation-and-modeling&gt;.</t>
  </si>
  <si>
    <t>MacKenzie et al., 2017</t>
  </si>
  <si>
    <t>mackenzie_et_al_2017</t>
  </si>
  <si>
    <t>https://www.sciencedirect.com/book/9780124071971/occupancy-estimation-and-modeling</t>
  </si>
  <si>
    <t>MacKenzie, D. I., Nichols, J. D., Royle, J. A., Pollock, K. H., Bailey, L. L., &amp; Hines, J. E. (2006). *Occupancy Estimation and Modeling: Inferring Patterns and Dynamics of Species Occurrence*. Academic Press, USA. &lt;https://www.sciencedirect.com/book/9780124071971/occupancy-estimation-and-modeling&gt;</t>
  </si>
  <si>
    <t>MacKenzie et al., 2006</t>
  </si>
  <si>
    <t>mackenzie_et_al_2006</t>
  </si>
  <si>
    <t>https://doi.org/10.1111/j.0021-8790.2004.00828.x</t>
  </si>
  <si>
    <t>MacKenzie, D. I., Bailey, L. L., &amp; Nichols, J. D. (2004). Investigating Species Co-Occurrence Patterns When Species Are Detected Imperfectly. *Journal of Animal Ecology, 73*(3), 546-555. &lt;https://doi.org/10.1111/j.0021-8790.2004.00828.x&gt;</t>
  </si>
  <si>
    <t>MacKenzie, Bailey &amp; Nichols, 2004</t>
  </si>
  <si>
    <t>MacKenzie et al., 2004</t>
  </si>
  <si>
    <t>mackenzie_et_al_2004</t>
  </si>
  <si>
    <t>https://doi.org/10.1890/02-3090</t>
  </si>
  <si>
    <t>MacKenzie, D. I., Nichols, J. D., Hines, J. E., Knutson, M. G., &amp; Franklin, A. B. (2003). Estimating site occupancy, colonization, and local extinction when a species is detected imperfectly. *Ecology, 84*(8), 2200-2207. &lt;https://doi.org/10.1890/02-3090&gt;</t>
  </si>
  <si>
    <t>MacKenzie et al., 2003</t>
  </si>
  <si>
    <t>mackenzie_et_al_2003</t>
  </si>
  <si>
    <t>https://doi.org/10.2307/3072056</t>
  </si>
  <si>
    <t>MacKenzie, D. I., Nichols, J. D., Lachman, G. B., Droege, S., Royle, J. A., &amp; Langtimm, C. A. (2002). Estimating Site Occupancy Rates When Detection Probabilities Are Less Than One. *Ecology, 83*(8), 2248-2255. &lt;https://doi.org/10.2307/3072056&gt;</t>
  </si>
  <si>
    <t>MacKenzie et al., 2002</t>
  </si>
  <si>
    <t>mackenzie_et_al_2002</t>
  </si>
  <si>
    <t>https://doi.org/10.1111/2041-210X.12339</t>
  </si>
  <si>
    <t>Lynch, T. P., Alderman, R., &amp; Hobday, A. J. (2015). A high-resolution panorama camera system for monitoring colony-wide seabird nesting behaviour. *Methods in Ecology and Evolution, 6*(5), 491-499. &lt;https://doi.org/10.1111/2041-210X.12339&gt;</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</si>
  <si>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</si>
  <si>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</si>
  <si>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</si>
  <si>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</si>
  <si>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</si>
  <si>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</si>
  <si>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</si>
  <si>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</si>
  <si>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t>
  </si>
  <si>
    <t>Loreau, 2010</t>
  </si>
  <si>
    <t>loreau_2010</t>
  </si>
  <si>
    <t>https://doi.org/10.1002/eap.2388</t>
  </si>
  <si>
    <t>Loonam, K. E., Lukacs, P. M., Ausband, D. E., Mitchell, M. S., &amp; Robinson, H. S. (2021b). Assessing the robustness of time-to-event models for estimating unmarked wildlife abundance using remote cameras. *Ecological Applications, 31*(6), Article e02388. &lt;https://doi.org/10.1002/eap.2388&gt;</t>
  </si>
  <si>
    <t>Loonam et al., 2021b</t>
  </si>
  <si>
    <t>loonam_et_al_2021b</t>
  </si>
  <si>
    <t>https://doi.org/10.1002/jwmg.21950</t>
  </si>
  <si>
    <t>Loonam, K. E., Ausband, D. E., Lukacs, P. M., Mitchell, M. S., &amp; Robinson, H. S. (2021a). Estimating Abundance of an Unmarked, Low‐Density Species using Cameras. *The Journal of Wildlife Management, 85*(1), 87-96. &lt;https://doi.org/10.1002/jwmg.21950&gt;</t>
  </si>
  <si>
    <t>Loonam et al., 2021a</t>
  </si>
  <si>
    <t>loonam_et_al_2021a</t>
  </si>
  <si>
    <t>https://scholarworks.umt.edu/cgi/viewcontent.cgi?article=12550&amp;context=etd</t>
  </si>
  <si>
    <t>Loonam, K. E. (2019). *Assessing the Robustness of Time-to-Event Abundance Estimation* [Thesis: Master of Science in Wildlife Biology, University of Montana]. &lt;https://scholarworks.umt.edu/cgi/viewcontent.cgi?article=12550&amp;context=etd&gt;</t>
  </si>
  <si>
    <t>Loonam, 2019</t>
  </si>
  <si>
    <t>loonam_2019</t>
  </si>
  <si>
    <t>Thesis</t>
  </si>
  <si>
    <t>https://doi.org/10.1111/1365-2664.12883</t>
  </si>
  <si>
    <t>Linden, D. W., Fuller, A. K., Royle, J. A., &amp; Hare, M. P. (2017). Examining the occupancy-Density relationship for a low‐Density carnivore. *Journal of Applied Ecology, 54*(6), 2043-2052. &lt;https://doi.org/10.1111/1365-2664.12883&gt;</t>
  </si>
  <si>
    <t>Linden et al., 2017</t>
  </si>
  <si>
    <t>linden_et_al_2017</t>
  </si>
  <si>
    <t>https://doi.org/10.1002/wsb.161</t>
  </si>
  <si>
    <t>Li, S., McShea, W. J., Wang, D. J., Huang, J. Z., &amp; Shao, L. K. (2012). A Direct Comparison of Camera-Trapping and Sign Transects for Monitoring Wildlife in the Wanglang National Nature Reserve, China. *Wildlife Society Bulletin, 36*(3), 538-545. &lt;https://doi.org/10.1002/wsb.161&gt;</t>
  </si>
  <si>
    <t>Li et al., 2012</t>
  </si>
  <si>
    <t>li_et_al_2012</t>
  </si>
  <si>
    <t>https://doi.org/10.1016/j.anbehav.2009.03.018</t>
  </si>
  <si>
    <t>Levitis, D. A., Lidicker, W. Z., &amp; Freund, G. (2009). Behavioural biologists don't agree on what constitutes behaviour. *Animal Behaviour, 78* (1), 103-110. &lt;https://doi.org/10.1016/j.anbehav.2009.03.018&gt;</t>
  </si>
  <si>
    <t>Levitis et al., 2009</t>
  </si>
  <si>
    <t>levitis_et_al_2009</t>
  </si>
  <si>
    <t>https://borisleroy.com/en/research/rarity-indices/</t>
  </si>
  <si>
    <t>Leroy, B. (2024). *Rarity Indices.* &lt;https://borisleroy.com/en/research/rarity-indices/&gt;</t>
  </si>
  <si>
    <t>Leroy, 2024</t>
  </si>
  <si>
    <t>leroy_2024</t>
  </si>
  <si>
    <t>https://cran.r-project.org/web/packages/Rarity/</t>
  </si>
  <si>
    <t>Leroy, B. (2023). *Package ‘Rarity’: Calculation of Rarity Indices for Species and Assemblages of Species.* R package version 1.3-8, &lt;https://cran.r-project.org/web/packages/Rarity/&gt;</t>
  </si>
  <si>
    <t>Leroy, 2023</t>
  </si>
  <si>
    <t>leroy_2023</t>
  </si>
  <si>
    <t>https://doi.org/10.1111/1365-2656.12141</t>
  </si>
  <si>
    <t>Lele, S. R., Merrill, E. H., Keim, J., &amp; Boyce, M. S. (2013). Selection, use, choice and occupancy: Clarifying concepts in resource selection studies. *Journal of Animal Ecology, 82*(6), 1183-1191. &lt;https://doi.org/10.1111/1365-2656.12141&gt;</t>
  </si>
  <si>
    <t>Lele et al., 2013</t>
  </si>
  <si>
    <t>lele_et_al_2013</t>
  </si>
  <si>
    <t>https://doi.org/10.2307/2661</t>
  </si>
  <si>
    <t>Le Cren, E. D. (1965). A Note on the History of Mark-Recapture Population Estimates. *The Journal of Animal Ecology, 34*(2),453-54. &lt;https://doi.org/10.2307/2661&gt;</t>
  </si>
  <si>
    <t>Le Cren, 1965</t>
  </si>
  <si>
    <t>lecren_1965</t>
  </si>
  <si>
    <t>https://doi.org/10.1890/ES14-00522.1</t>
  </si>
  <si>
    <t>Lazenby, B. T., Mooney, N. J., &amp; Dickman, C. R. (2015). Detecting species interactions using remote cameras: Effects on small mammals of predators, conspecifics, and climate. *Ecosphere, 6*(12), 1-18. &lt;https://doi.org/10.1890/ES14-00522.1&gt;</t>
  </si>
  <si>
    <t>Lazenby, Mooney &amp; Dickman, 2015</t>
  </si>
  <si>
    <t>Lazenby et al., 2015</t>
  </si>
  <si>
    <t>lazenby_et_al_2015</t>
  </si>
  <si>
    <t>https://doi.org/10.2307/1269547</t>
  </si>
  <si>
    <t>Lambert, D. (1992). Zero-Inflated Poisson Regression, with an application to Defects in Manufacturing. *Technometrics, 34*(1), 1-14. &lt;https://doi.org/10.2307/1269547&gt;</t>
  </si>
  <si>
    <t>Lambert, 1992</t>
  </si>
  <si>
    <t>lambert_1992</t>
  </si>
  <si>
    <t>https://doi.org/10.1093/biosci/biab073</t>
  </si>
  <si>
    <t>Lahoz-Monfort, J. J., &amp; Magrath, M. J. L. (2021). A Comprehensive Overview of Technologies for Species and Habitat Monitoring and Conservation. *Bioscience, 71*(10), 1038-1062. &lt;https://doi.org/10.1093/biosci/biab073&gt;</t>
  </si>
  <si>
    <t>Lahoz-Monfort &amp; Magrath, 2021</t>
  </si>
  <si>
    <t>lahoz_monfort_magrath_2021</t>
  </si>
  <si>
    <t>https://doi.org/10.1071/WR22055</t>
  </si>
  <si>
    <t>Ladd, R., Meek, P., &amp; Leung, L. K.-P. (2022). The influence of camera-trap flash type on the behavioural response, detection rate and individual recognition of Eld's deer. *Wildlife Research, 50*(6), 475-483. &lt;https://doi.org/10.1071/WR22055&gt;</t>
  </si>
  <si>
    <t>Ladd et al., 2022</t>
  </si>
  <si>
    <t>ladd_et_al_2022</t>
  </si>
  <si>
    <t>https://doi.org/10.1146/annurev.es.20.110189.000525</t>
  </si>
  <si>
    <t>LaBarbera, M. (2003). Analyzing Body Size as a Factor in Ecology and Evolution. *Annual Review of Ecology and Systematics, 20*(1), 97-117. &lt;https://doi.org/10.1146/annurev.es.20.110189.000525&gt;</t>
  </si>
  <si>
    <t>LaBarbera, 2003</t>
  </si>
  <si>
    <t>labarbera_1989</t>
  </si>
  <si>
    <t>https://doi.org/10.1111/csp2.165</t>
  </si>
  <si>
    <t>Kusi, N., Sillero‐Zubiri, C., Macdonald, D. W., Johnson, P. J., &amp; Werhahn, G. (2019). Perspectives of traditional Himalayan communities on fostering coexistence with Himalayan wolf and snow leopard. *Conservation Science and Practice, 2*(3). &lt;https://doi.org/10.1111/csp2.165&gt;</t>
  </si>
  <si>
    <t>Kusi et al., 2019</t>
  </si>
  <si>
    <t>kusi_et_al_2019</t>
  </si>
  <si>
    <t>https://link.springer.com/book/10.1007/978-94-011-5874-9</t>
  </si>
  <si>
    <t>Kunin, W. K. (1997). Introduction: on the causes and consequences of rare-common differences. In Kunin, W. K., &amp; Kevin, J. G. (Eds) *The Biology of Rarity. * (pp. 3-4). Chapman &amp; Hall. &lt;https://link.springer.com/book/10.1007/978-94-011-5874-9&gt;</t>
  </si>
  <si>
    <t>Kucera &amp; Barrett., 2011</t>
  </si>
  <si>
    <t>Kunin, 1997</t>
  </si>
  <si>
    <t>kunin_1997</t>
  </si>
  <si>
    <t>Kucera, T. E., &amp; R. H. Barrett. (2011). A History of Camera Trapping. In A. F. O'Connell, J. D. Nichols, &amp; K. U. Karanth (Eds.), *Camera Traps In Animal Ecology: Methods and Analyses* (pp. 9-26). Springer. &lt;https://doi.org/10.1007/978-4-431-99495-4_6&gt;</t>
  </si>
  <si>
    <t>kucera_barrett._2011</t>
  </si>
  <si>
    <t>https://doi.org/10.1007/s10344-018-1233-7</t>
  </si>
  <si>
    <t>Kruger, H., Vaananen, V. -M., Holopainen, S., &amp; Nummi, P. (2018). The new faces of nest predation in agricultural landscapes - a camera trap Survey with artificial nests. European *Journal of Wildlife Research, 64*(6), 76. &lt;https://doi.org/10.1007/s10344-018-1233-7&gt;</t>
  </si>
  <si>
    <t>Kruger et al., 2018</t>
  </si>
  <si>
    <t>kruger_et_al_2018</t>
  </si>
  <si>
    <t>https://doi.org/10.1644/10-M</t>
  </si>
  <si>
    <t>Krebs, C. J., Boonstra, R., Gilbert, S., Reid, D., Kenney, A. J., Hofer, E. J., &amp; an Vuren, D. H. (2011). Density estimation for small mammals from livetrapping grids: rodents in northern Canada. *Journal of Mammalogy, 92*(5), 974-981. &lt;https://doi.org/10.1644/10-M&gt;</t>
  </si>
  <si>
    <t>Krebs et al., 2011</t>
  </si>
  <si>
    <t>krebs_et_al_2011</t>
  </si>
  <si>
    <t>https://doi.org/10.1139/z87-087</t>
  </si>
  <si>
    <t>Krebs, C. J., Gilbert, B. S., Boutin, S., &amp; Boonstra, R. (1987). Estimation of snowshoe hare population density from turd transects. *Canadian Journal of Zoology, 65*(3), 565-567. &lt;https://doi.org/10.1139/z87-087&gt;</t>
  </si>
  <si>
    <t>Krebs et al., 1987</t>
  </si>
  <si>
    <t>krebs_et_al_1987</t>
  </si>
  <si>
    <t>https://doi.org/10.1080/00031305.2016.1173590</t>
  </si>
  <si>
    <t>Kleiber, C., &amp; Zeileis, A. (2016). Visualizing Count Data Regressions Using Rootograms. *The American Statistician, 70*(3), 296-303. &lt;https://doi.org/10.1080/00031305.2016.1173590&gt;</t>
  </si>
  <si>
    <t>Kleiber &amp; Zeileis, 2016</t>
  </si>
  <si>
    <t>kleiber_zeileis_2016</t>
  </si>
  <si>
    <t>https://www.pangolinsg.org/wp-content/uploads/sites/4/2018/06/Kitamura-et-al._2010_Mammal-diversity-in-small-forest-of-Southern-Thailand.pdf</t>
  </si>
  <si>
    <t>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t>
  </si>
  <si>
    <t>Kitamura et al., 2010</t>
  </si>
  <si>
    <t>kitamura_et_al_2010</t>
  </si>
  <si>
    <t>Kinnaird, M. F., &amp; O'Brien, T. G. (2011). Density estimation of sympatric carnivores using spatially explicit capture-recapture methods and standard trapping grid. *Ecological Applications, 21*(8), 2908-2916. &lt;https://www.jstor.org/stable/41417102&gt;</t>
  </si>
  <si>
    <t>Kinnaird &amp; O'Brien, 2012</t>
  </si>
  <si>
    <t>kinnaird_obrien_2012</t>
  </si>
  <si>
    <t>https://wildcams.ca/site/assets/files/1386/cbm_wildlife_camera_guide-_aug2022.pdf</t>
  </si>
  <si>
    <t>Kemp, C., Yarchuk, K., Menzies, A., &amp; Popp, J. (2022). *A Guide to Using Wildlife Cameras for Ecological Monitoring in a Community-based Context*. WISE Lab. &lt;https://wildcams.ca/site/assets/files/1386/cbm_wildlife_camera_guide-_aug2022.pdf&gt;</t>
  </si>
  <si>
    <t>Kemp et al., 2022</t>
  </si>
  <si>
    <t>https://doi.org/10.1644/06-MAMM-A-424R.1</t>
  </si>
  <si>
    <t>Kelly, M. J., Noss, A. J., Bitetti, M. S., Maffei, L., Arispe, R. L., Paviolo, A., Angelo, C. D. D., &amp; Di Blanco, Y. E. (2008). Estimating Puma Densities from Camera Trapping Across Three Study Sites: Bolivia, Argentina, And Belize. *Journal of Mammalogy, 89*(2), 408-418. &lt;https://doi.org/10.1644/06-MAMM-A-424R.1&gt;</t>
  </si>
  <si>
    <t>Kelly et al., 2008</t>
  </si>
  <si>
    <t>kelly_et_al_2008</t>
  </si>
  <si>
    <t>https://www.jstatsoft.org/v43/i10</t>
  </si>
  <si>
    <t>Fiske, I. &amp; Chandler, R. (2011). unmarked: An R Package for Fitting Hierarchical Models of Wildlife Occurrence and Abundance. *Journal of Statistical Software, 43* (10), 1-23. &lt;https://www.jstatsoft.org/v43/i10&gt;</t>
  </si>
  <si>
    <t>Kellner et al., 2023</t>
  </si>
  <si>
    <t>kellner_et_al_2023</t>
  </si>
  <si>
    <t>https://doi.org/10.1023/A:1007707430416</t>
  </si>
  <si>
    <t>Kelejian, H. H., &amp; Prucha, I. R. (1998). A Generalized Spatial Two-Stage Least Squares Procedure for Estimating a Spatial Autoregressive Model with Autoregressive Disturbances. *Journal of Real Estate Finance and Economics, 17*, 99-121. &lt;https://doi.org/10.1023/A:1007707430416&gt;</t>
  </si>
  <si>
    <t>Kelejian &amp; Prucha, 1998</t>
  </si>
  <si>
    <t>kelejian_prucha_1998</t>
  </si>
  <si>
    <t>https://esajournals.onlinelibrary.wiley.com/doi/10.1002/fee.2358</t>
  </si>
  <si>
    <t>Keim, J. L., DeWitt, P. D., Wilson, S. F., Fitzpatrick, J. J., Jenni, N. S., &amp; Lele, S. R. (2021). Managing animal movement conserves predator-prey dynamics. *Frontiers in Ecology and the Environment, 19*(7), 379-385. &lt;https://esajournals.onlinelibrary.wiley.com/doi/10.1002/fee.2358&gt;</t>
  </si>
  <si>
    <t>Keim et al., 2021</t>
  </si>
  <si>
    <t>keim_et_al_2021</t>
  </si>
  <si>
    <t>https://doi.org/10.1111/1365-2656.12960</t>
  </si>
  <si>
    <t>Keim, J. L., Lele, S. R., DeWitt, P. D., Fitzpatrick, J. J., Jenni, N. S. (2019). Estimating the intensity of use by interacting predators and prey using camera traps. *Journal of Animal Ecology, 88*, 690-701. &lt;https://doi.org/10.1111/1365-2656.12960&gt;</t>
  </si>
  <si>
    <t>Keim et al., 2019</t>
  </si>
  <si>
    <t>keim_et_al_2019</t>
  </si>
  <si>
    <t>https://doi.org/10.1890/10-0949.1</t>
  </si>
  <si>
    <t>Keim, J. L., DeWitt, P. D., &amp; Lele, S. R. (2011). Predators choose prey over prey habitats: Evidence from a lynx-hare system. *Ecological Applications, 21*(4), 1011-1016. &lt;https://doi.org/10.1890/10-0949.1&gt;</t>
  </si>
  <si>
    <t>Keim et al., 2011</t>
  </si>
  <si>
    <t>keim_et_al_2011</t>
  </si>
  <si>
    <t>https://doi.org/10.1186/s40462-021-00277-3.</t>
  </si>
  <si>
    <t>Kays, R., Hody, A., Jachowski, D. S., &amp; Parsons, A. W. (2021). Empirical Evaluation of the Spatial Scale and Detection Process of Camera Trap Surveys. *Movement Ecology, 9*, 41. &lt;https://doi.org/10.1186/s40462-021-00277-3.&gt;</t>
  </si>
  <si>
    <t>Kays et al., 2021</t>
  </si>
  <si>
    <t>kays_et_al_2021</t>
  </si>
  <si>
    <t>https://doi.org/10.1111/2041-210x.13370</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</si>
  <si>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t>
  </si>
  <si>
    <t>Kays et al., 2020</t>
  </si>
  <si>
    <t>kays_et_al_2020</t>
  </si>
  <si>
    <t>https://arxiv.org/pdf/1009.5718</t>
  </si>
  <si>
    <t>Kays, R., Tilak, S., Kranstauber, B., Jansen, P. A., Carbone, C., Rowcliffe, M. J., &amp; He, Z. (2010). Monitoring wild animal communities with arrays of motion sensitive camera traps. *arXiv Preprint*, arXiv:1009. 5718. &lt;https://arxiv.org/pdf/1009.5718&gt;</t>
  </si>
  <si>
    <t>Kays et al., 2010</t>
  </si>
  <si>
    <t>kays_et_al_2010</t>
  </si>
  <si>
    <t>https://doi.org/10.1109/lcn.2009.5355046</t>
  </si>
  <si>
    <t>Kays, R., Kranstauber, B., Jansen, P., Carbone, C., Rowcliffe, M., Fountain, T., &amp; Tilak, S. (2009). Camera traps as sensor networks for monitoring animal communities. *2009 IEEE 34th Conference on Local Computer Networks*, 811-818. &lt;https://doi.org/10.1109/lcn.2009.5355046&gt;</t>
  </si>
  <si>
    <t>Kays et al., 2009</t>
  </si>
  <si>
    <t>kays_et_al_2009</t>
  </si>
  <si>
    <t>https://doi.org/10.1007/s10344-021-01530-1</t>
  </si>
  <si>
    <t>Kavčić, K., Palencia, P., Apollonio, M., Vicente, J., &amp; Šprem, N. (2021). Random encounter model to estimate density of mountain-dwelling ungulate. *European Journal of Wildlife Research, 67*(5), 87. &lt;https://doi.org/10.1007/s10344-021-01530-1&gt;</t>
  </si>
  <si>
    <t>Kavčić et al., 2021</t>
  </si>
  <si>
    <t>kavcic_et_al_2021</t>
  </si>
  <si>
    <t>https://doi.org/10.1890/0012-9658(1998)079[2852:EOTDII]2.0.CO;2</t>
  </si>
  <si>
    <t>Karanth, K. U., &amp; Nichols, J. D. (1998). Estimation of tiger densities in India using photographic captures and recaptures. *Ecology, 79*(8), 2852-2862. &lt;https://doi.org/10.1890/0012-9658(1998)079[2852:EOTDII]2.0.CO;2&gt;</t>
  </si>
  <si>
    <t>Karanth &amp; Nichols, 1998</t>
  </si>
  <si>
    <t>karanth_nichols_1998</t>
  </si>
  <si>
    <t>Karanth, K. U., Nichols, J. D., &amp; Kumar, N. S. (2011). Estimating tiger abundance from camera trap data: field Surveys and analytical issues. In A. F. O'Connell, J. D. Nichols, &amp; K. U. Karanth (Eds.), *Camera Traps In Animal Ecology: Methods and Analyses* (pp. 9-117). Springer. &lt;https://doi.org/10.1007/978-4-431-99495-4&gt;</t>
  </si>
  <si>
    <t>Karanth, Nichols &amp; Kumar, 2011</t>
  </si>
  <si>
    <t>Karanth et al., 2011</t>
  </si>
  <si>
    <t>karanth_et_al_2011</t>
  </si>
  <si>
    <t>https://doi.org/10.1890/0012-9658(2006)87[2925:ATPDUP]2.0.CO;2</t>
  </si>
  <si>
    <t>Karanth, K. U., Nichols, J. D., Kumar, N. S., &amp; Hines, J. E. (2006). Assessing Tiger Population Dynamics Using Photographic Capture-Recapture Sampling. *Ecology, 87*(11), 2925-2937. &lt;https://doi.org/10.1890/0012-9658(2006)87[2925:ATPDUP]2.0.CO;2&gt;</t>
  </si>
  <si>
    <t>Karanth et al., 2006</t>
  </si>
  <si>
    <t>karanth_et_al_2006</t>
  </si>
  <si>
    <t>https://doi.org/10.1016/0006-3207(94)00057-W</t>
  </si>
  <si>
    <t>Karanth, K. U. (1995). Estimating tiger Panthera tigris populations from camera-trap data using capture-recapture models. *Biological Conservation, 71*(3), 333-338. &lt;https://doi.org/10.1016/0006-3207(94)00057-W&gt;</t>
  </si>
  <si>
    <t>Karanth, 1995</t>
  </si>
  <si>
    <t>karanth_1995</t>
  </si>
  <si>
    <t>https://doi.org/10.11647/obp.0267.07</t>
  </si>
  <si>
    <t>Junker, J., Kühl, H., Orth, L., Smith, R., Petrovan, S., &amp; Sutherland, W. (2021). *7. Primate Conservation.* In (pp. 435-486). &lt;https://doi.org/10.11647/obp.0267.07&gt;</t>
  </si>
  <si>
    <t>Junker et al., 2021</t>
  </si>
  <si>
    <t>junker_et_al_2021</t>
  </si>
  <si>
    <t>https://doi.org/10.1890/08-1494.1</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</si>
  <si>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t>
  </si>
  <si>
    <t>Jones et al., 2009</t>
  </si>
  <si>
    <t>jones_et_al_2009</t>
  </si>
  <si>
    <t>https://doi.org/10.2307/1937156</t>
  </si>
  <si>
    <t>Johnson, D. H. (1980). The Comparison of Usage and Availability Measurements for Evaluating Resource Preference. *Ecology, 61*(1), 65-71. &lt;https://doi.org/10.2307/1937156&gt;</t>
  </si>
  <si>
    <t>Johnson, 1980</t>
  </si>
  <si>
    <t>johnson_2008</t>
  </si>
  <si>
    <t>https://doi.org/10.48550/arXiv.2202.04613</t>
  </si>
  <si>
    <t>Johanns, P, Haucke, T., &amp; Steinhage, V. (2022) Automated Distance Estimation and Animal Tracking for Wildlife Camera Trapping. *Ecological Informatics, 70,* arXiv:2202. 04613. &lt;https://doi.org/10.48550/arXiv.2202.04613&gt;</t>
  </si>
  <si>
    <t>Johanns, Haucke &amp; Steinhage, 2022</t>
  </si>
  <si>
    <t>Johanns et al., 2022</t>
  </si>
  <si>
    <t>johanns_et_al_2022</t>
  </si>
  <si>
    <t>https://www.youtube.com/watch?v=u8crevEd3yI</t>
  </si>
  <si>
    <t>https://www.youtube.com/embed/u8crevEd3yI?si=uJUNZfNvuw_L24GK</t>
  </si>
  <si>
    <t>JNCC (2022, Mar 29). *Introduction to Distance Sampling Video 1* [Video]. YouTube. &lt;https://www.youtube.com/watch?v=u8crevEd3yI&gt;</t>
  </si>
  <si>
    <t>JNCC, 2022</t>
  </si>
  <si>
    <t>jncc_2022</t>
  </si>
  <si>
    <t>https://doi.org/10.1002/ece3.7091</t>
  </si>
  <si>
    <t>Jiménez, J., C. Augustine, B., Linden, D. W., B. Chandler, R., &amp; Royle, J. A. (2021). Spatial capture-recapture with random thinning for unidentified encounters. *Ecology and Evolution, 11*, 1187-1198. &lt;https://doi.org/10.1002/ece3.7091&gt;</t>
  </si>
  <si>
    <t>Jiménez et al., 2021</t>
  </si>
  <si>
    <t>jimenez_et_al_2021</t>
  </si>
  <si>
    <t>https://doi.org/10.1093/jmammal/gyac009</t>
  </si>
  <si>
    <t>Jensen, P. O., Wirsing, A. J., &amp; Thornton, D. H. (2022). Using camera traps to estimate density of snowshoe hare ( Lepus americanus ): A keystone boreal forest herbivore. *Journal of Mammalogy, 103*(3), 693-710. &lt;https://doi.org/10.1093/jmammal/gyac009&gt;</t>
  </si>
  <si>
    <t>Jensen, Wirsing, &amp; Thornton, 2022</t>
  </si>
  <si>
    <t>Jensen et al., 2022</t>
  </si>
  <si>
    <t>jensen_et_al_2022</t>
  </si>
  <si>
    <t>https://doi.org/10.1111/j.1469-7998.1996.tb05296.x</t>
  </si>
  <si>
    <t>Jenny, D. (1996). Spatial organization of leopards Panthera pardus in Taï National Park, Ivory Coast: Is rainforest habitat a ‘tropical haven’? *Journal of Zoology, 240*(3), 427-440. &lt;https://doi.org/10.1111/j.1469-7998.1996.tb05296.x&gt;</t>
  </si>
  <si>
    <t>Jenny, 1996</t>
  </si>
  <si>
    <t>jenny_1996</t>
  </si>
  <si>
    <t>https://doi.org/https://doi.org/10.1016/0022-5193(69)90002-2</t>
  </si>
  <si>
    <t>Jennrich, R. I., &amp; Turner, F. B. (1969). Measurement of non-circular home range. *Journal of Theoretical Biology, 22*(2), 227-237. &lt;https://doi.org/https://doi.org/10.1016/0022-5193(69)90002-2&gt;</t>
  </si>
  <si>
    <t>Jennrich &amp; Turner, 1969</t>
  </si>
  <si>
    <t>jennrich_turner_1969</t>
  </si>
  <si>
    <t>https://doi.org/10.1017/s1367943002002160</t>
  </si>
  <si>
    <t>Jennelle, C. S., Runge, M. C., &amp; MacKenzie, D. I. (2002). The Use of Photographic Rates to Estimate Densities of Tigers and Other Cryptic Mammals: A Comment on Misleading Conclusions. *Animal Conservation, 5*(2), 119-120. &lt;https://doi.org/10.1017/s1367943002002160&gt;</t>
  </si>
  <si>
    <t>Jennelle, Runge &amp; MacKenzie, 2002</t>
  </si>
  <si>
    <t>Jennelle et al., 2002</t>
  </si>
  <si>
    <t>jennelle_et_al_2002</t>
  </si>
  <si>
    <t>https://cran.r-project.org/web/packages/pscl/index.html</t>
  </si>
  <si>
    <t>Jackman,  2024</t>
  </si>
  <si>
    <t>jackman_2024</t>
  </si>
  <si>
    <t>https://doi.org/10.1016/j.tree.2013.10.012</t>
  </si>
  <si>
    <t>Iknayan, K. J., Tingley, M. W., Furnas, B. J., &amp; Beissinger, S. R. (2014). Detecting Diversity: Emerging Methods to Estimate Species Diversity. *Trends in Ecology &amp; Evolution, 29*(2), 97-106. &lt;https://doi.org/10.1016/j.tree.2013.10.012&gt;</t>
  </si>
  <si>
    <t>Iknayan et al., 2014</t>
  </si>
  <si>
    <t>iknayan_et_al_2014</t>
  </si>
  <si>
    <t>https://doi.org/10.3106/ms2019-0082</t>
  </si>
  <si>
    <t>Iijima, H. (2020). A Review of Wildlife Abundance Estimation Models: Comparison of Models for Correct Application. *Mammal Study, 45*(3), 177. &lt;https://doi.org/10.3106/ms2019-0082&gt;</t>
  </si>
  <si>
    <t>Iijima, 2020</t>
  </si>
  <si>
    <t>iijima_2020</t>
  </si>
  <si>
    <t>https://doi.org/10.2981/wlb.00726</t>
  </si>
  <si>
    <t>Iannarilli, F., Erb, J., Arnold, T. W., &amp; Fieberg, J. R. (2021). Evaluating species-specific responses to camera-trap Survey designs. *Wildlife Biology, 2021*(1). &lt;https://doi.org/10.2981/wlb.00726&gt;</t>
  </si>
  <si>
    <t>Iannarilli et al., 2021</t>
  </si>
  <si>
    <t>iannarilli_et_al_2021</t>
  </si>
  <si>
    <t>https://doi.org/10.2307/1942661</t>
  </si>
  <si>
    <t>Hurlbert, S. (1984). Pseudoreplication and the design of ecological field experiments. *Ecological Monographs, 54*(2), 187-211. &lt;https://doi.org/10.2307/1942661&gt;</t>
  </si>
  <si>
    <t>Hurlbert, 1984</t>
  </si>
  <si>
    <t>hurlbert_1984</t>
  </si>
  <si>
    <t>https://www.abmi.ca/home/publications/501-550/516</t>
  </si>
  <si>
    <t>Huggard, D. (2018). *Animal Density from Camera Data*. Alberta Biodiversity Monitoring Institute. &lt;https://www.abmi.ca/home/publications/501-550/516&gt;</t>
  </si>
  <si>
    <t>Huggard, 2018</t>
  </si>
  <si>
    <t>huggard_2018</t>
  </si>
  <si>
    <t>https://doi.org/10.32614/CRAN.package.iNEXT</t>
  </si>
  <si>
    <t>Hsieh, T. C., Ma, K. H., &amp; Chao, A. (2015). *iNEXT: Interpolation and Extrapolation for Species Diversity*. R package Version 2.6-6.1. &lt;https://doi.org/10.32614/CRAN.package.iNEXT&gt;</t>
  </si>
  <si>
    <t>Hsieh, Ma &amp; Chao, 2015</t>
  </si>
  <si>
    <t>Hsieh et al., 2015</t>
  </si>
  <si>
    <t>hsieh_et_al_2015</t>
  </si>
  <si>
    <t>https://doi.org/https://doi.org/10.1111/2041-210X.12790</t>
  </si>
  <si>
    <t>Howe, E. J., Buckland, S. T., Després-Einspenner, M. -L., &amp; Kühl, H. S. (2017). Distance sampling with camera traps. *Methods in Ecology and Evolution, 8*(11), 1558-1565. &lt;https://doi.org/https://doi.org/10.1111/2041-210X.12790&gt;</t>
  </si>
  <si>
    <t>Howe et al., 2017</t>
  </si>
  <si>
    <t>howe_et_al_2017</t>
  </si>
  <si>
    <t>https://doi.org/10.1371/journal.pone.0229055</t>
  </si>
  <si>
    <t>Holinda, D., Burgar, J. M., &amp; Burton, A. C. (2020). Effects of scent lure on camera trap detections vary across mammalian predator and prey species. *PLoS One, 15*(5), e0229055. &lt;https://doi.org/10.1371/journal.pone.0229055&gt;</t>
  </si>
  <si>
    <t>Holinda et al., 2020</t>
  </si>
  <si>
    <t>holinda_et_al_2020</t>
  </si>
  <si>
    <t>https://doi.org/10.1002/ece3.4878</t>
  </si>
  <si>
    <t>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t>
  </si>
  <si>
    <t>Hofmeester et al., 2019</t>
  </si>
  <si>
    <t>hofmeester_et_al_2019</t>
  </si>
  <si>
    <t>https://doi.org/10.1002/rse2.25</t>
  </si>
  <si>
    <t>Hofmeester, T. R., Rowcliffe, J. M., Jansen, P. A., Williams, R., &amp; Kelly, N. (2017). A simple method for estimating the effective detection distance of camera traps. *Remote Sensing in Ecology and Conservation, 3*(2), 81-89. &lt;https://doi.org/10.1002/rse2.25&gt;</t>
  </si>
  <si>
    <t>Hofmeester et al., 2017</t>
  </si>
  <si>
    <t>hofmeester_et_al_2017</t>
  </si>
  <si>
    <t>https://github.com/SHoeks/HomeRange</t>
  </si>
  <si>
    <t>Hoeks, S., Tucker, M., &amp; Broekman, M. (2024). *HomeRange* &lt;https://github.com/SHoeks/HomeRange&gt;</t>
  </si>
  <si>
    <t>Hoeks, Tucker, &amp; Broekman, 2024</t>
  </si>
  <si>
    <t>Hoeks et al., 2024</t>
  </si>
  <si>
    <t>hoeks_et_al_2024</t>
  </si>
  <si>
    <t>https://www.mbr-pwrc.usgs.gov/software/presence.html.</t>
  </si>
  <si>
    <t>Hines, J. E. (2006). *PRESENCE - Software to estimate patch occupancy and related parameters.* &lt;https://www.mbr-pwrc.usgs.gov/software/presence.html&gt;.</t>
  </si>
  <si>
    <t>Hines, 2006</t>
  </si>
  <si>
    <t>hines_2006</t>
  </si>
  <si>
    <t>https://doi.org/10.3389/fevo.2022.881502</t>
  </si>
  <si>
    <t>Henrich, M., Hartig, F., Dormann, C. F., Kühl, H. S., Peters, W., Franke, F., Peterka, T., Šustr, P., &amp; Heurich, M. (2022). Deer Behavior Affects Density Estimates With Camera Traps, but Is Outweighed by Spatial Variability. *Frontiers in Ecology and Evolution, 10*, 881502. &lt;https://doi.org/10.3389/fevo.2022.881502&gt;</t>
  </si>
  <si>
    <t>Henrich et al., 2022</t>
  </si>
  <si>
    <t>henrich_et_al_2022</t>
  </si>
  <si>
    <t>https://doi.org/https://doi.org/10.1002/bimj.4710360505</t>
  </si>
  <si>
    <t>Heilbron, D. C. (1994). Zero-Altered and other Regression Models for Count Data with Added Zeros. *Biometrical Journal, 36*(5), 531-547. &lt;https://doi.org/https://doi.org/10.1002/bimj.4710360505&gt;</t>
  </si>
  <si>
    <t>Heilbron, 1994</t>
  </si>
  <si>
    <t>heilbron_1994</t>
  </si>
  <si>
    <t>https://doi.org/10.1016/j.ecoinf.2021.101536</t>
  </si>
  <si>
    <t>Haucke, T., Kühl, H. S., Hoyer, J., &amp; Steinhage, V. (2022). Overcoming the distance estimation bottleneck in estimating animal abundance with camera traps. *Ecological Informatics, 68*, 101536. &lt;https://doi.org/10.1016/j.ecoinf.2021.101536&gt;</t>
  </si>
  <si>
    <t>Haucke et al., 2022</t>
  </si>
  <si>
    <t>hauke_et_al_2022</t>
  </si>
  <si>
    <t>https://CRAN.R-project.org/package=DHARMa</t>
  </si>
  <si>
    <t>Hartig, F. (2019). *DHARMa: Residual Diagnostics for Hierarchical (Multi-Level/Mixed) Regression Models.* R package version 0.2.2, &lt;https://CRAN.R-project.org/package=DHARMa&gt;</t>
  </si>
  <si>
    <t>Hartig, 2019</t>
  </si>
  <si>
    <t>hartig_2019</t>
  </si>
  <si>
    <t>https://doi.org/10.7717/peerj.4794</t>
  </si>
  <si>
    <t>Harrison, X. A., Donaldson, L., Correa-Cano, M. E., Evans, J., Fisher, D. N., Goodwin, C. E. D., Robinson, B. S., Hodgson, D. J., &amp; Inger, R. (2018). A Brief Introduction to Mixed Effects Modelling and Multi-Model Inference in Ecology. *PeerJ, 6*, Article e4794. &lt;https://doi.org/10.7717/peerj.4794&gt;</t>
  </si>
  <si>
    <t>Harrison et al., 2018</t>
  </si>
  <si>
    <t>harrison_et_al_2018</t>
  </si>
  <si>
    <t>https://www.crewes.org/Documents/ResearchReports/2008/2008-15.pdf</t>
  </si>
  <si>
    <t>Hall, K. W., Cooper, J. K., &amp; Lawton, D. C. (2008). GPS accuracy: Hand-held versus RTK. *CREWES Research Report, 20*. &lt;https://www.crewes.org/Documents/ResearchReports/2008/2008-15.pdf&gt;</t>
  </si>
  <si>
    <t>Hall, Cooper &amp; Lawton, 2008</t>
  </si>
  <si>
    <t>Hall et al., 2008</t>
  </si>
  <si>
    <t>hall_et_al_2008</t>
  </si>
  <si>
    <t>Report</t>
  </si>
  <si>
    <t>https://doi.org/10.1111/ecog.02445</t>
  </si>
  <si>
    <t>Guillera‐Arroita, G. (2017). Modelling of species distributions, range dynamics and communities under imperfect detection: Advances, challenges and opportunities. *Ecography, 40*(2), 281-295. &lt;https://doi.org/10.1111/ecog.02445&gt;</t>
  </si>
  <si>
    <t>Guillera‐Arroita, 2017</t>
  </si>
  <si>
    <t>guilleraarroita_2016</t>
  </si>
  <si>
    <t>https://doi.org/10.1111/j.2041-210X.2012.00225.x</t>
  </si>
  <si>
    <t>Guillera-Arroita, G., &amp; Lahoz-Monfort, J. J. (2012). Designing studies to detect differences in species occupancy: Power analysis under imperfect detection. *Methods in Ecology and Evolution, 3*(5), 860-869. &lt;https://doi.org/10.1111/j.2041-210X.2012.00225.x&gt;</t>
  </si>
  <si>
    <t>Guillera-Arroita et al., 2012</t>
  </si>
  <si>
    <t>guillera_arroita_et_al_2012</t>
  </si>
  <si>
    <t>https://doi.org/10.1111/j.2041-210X.2010.00017.x</t>
  </si>
  <si>
    <t>Guillera-Arroita, G., Ridout, M. S., &amp; Morgan, B. J. T. (2010). Design of Occupancy Studies with Imperfect Detection. *Methods in Ecology and Evolution, 1*, 131-139. &lt;https://doi.org/10.1111/j.2041-210X.2010.00017.x&gt;</t>
  </si>
  <si>
    <t>Guillera-Arroita et al., 2010</t>
  </si>
  <si>
    <t>guillera_arroita_et_al_2010</t>
  </si>
  <si>
    <t>https://prism.ucalgary.ca/items/f68a0c27-8502-4fe4-a3b9-3a3c2d994762</t>
  </si>
  <si>
    <t>Greenberg, S. (2020). *Automated Image Recognition for Wildlife Camera Traps: Making it Work for You*. Research report, University of Calgary: Prism Digital Repository, August 21, 15 pages, &lt;https://prism.ucalgary.ca/items/f68a0c27-8502-4fe4-a3b9-3a3c2d994762&gt;</t>
  </si>
  <si>
    <t>Greenberg, 2020</t>
  </si>
  <si>
    <t>greenberg_2020</t>
  </si>
  <si>
    <t>https://saul.cpsc.ucalgary.ca/timelapse/pmwiki.php?n=Main.Download2./</t>
  </si>
  <si>
    <t>Greenberg, S. (2018). *Timelapse: An Image Analyser for Camera Traps.* University of Calgary. &lt;https://saul.cpsc.ucalgary.ca/timelapse/pmwiki.php?n=Main.Download2./&gt;</t>
  </si>
  <si>
    <t>Greenberg, 2018</t>
  </si>
  <si>
    <t>greenberg_2018</t>
  </si>
  <si>
    <t>https://doi.org/10.3389/fevo.2020.563477</t>
  </si>
  <si>
    <t>Green, A. M., Chynoweth, M. W., &amp; Şekercioğlu, Ç. H. (2020). Spatially Explicit Capture-Recapture Through Camera Trapping: A Review of Benchmark Analyses for Wildlife Density Estimation. *Frontiers in Ecology and Evolution*, 8, Article 563477. &lt;https://doi.org/10.3389/fevo.2020.563477&gt;</t>
  </si>
  <si>
    <t>Green, Chynoweth &amp; Şekercioğlu, 2020</t>
  </si>
  <si>
    <t>Green et al., 2020</t>
  </si>
  <si>
    <t>green_et_al_2020</t>
  </si>
  <si>
    <t>https://wildcams.ca/site/assets/files/1148/wildcam_guide_to_camera_trap_set_up_feb2021.pdf</t>
  </si>
  <si>
    <t>Granados, A. (2021). *WildCAM Guide to Camera Trap Set Up*. WildCAM. &lt;https://wildcams.ca/site/assets/files/1148/wildcam_guide_to_camera_trap_set_up_feb2021.pdf&gt;</t>
  </si>
  <si>
    <t>Granados, 2021</t>
  </si>
  <si>
    <t>granados_2021</t>
  </si>
  <si>
    <t>https://www.researchgate.net/publication/236734446_Estimating_species_richness</t>
  </si>
  <si>
    <t>Gotelli, N., &amp; Colwell, R. (2011). Estimating species richness. In *Biological Diversity: Frontiers in Measurement and Assessment* (eds. Magurran, A., &amp; McGill, B.). Oxford University Press. Oxford, pp. 39-54. &lt;https://www.researchgate.net/publication/236734446_Estimating_species_richness&gt;</t>
  </si>
  <si>
    <t>Gotelli &amp; Colwell, 2011</t>
  </si>
  <si>
    <t>gotelli_colwell_2011</t>
  </si>
  <si>
    <t>https://doi.org/10.1046/j.1461-0248.2001.00230.x</t>
  </si>
  <si>
    <t>Gotelli, N., &amp; Colwell, R. (2001). Quantifying biodiversity: procedures and pitfalls in the measurement and comparison of species richness. *Ecology Letters, 4*, 379-391. &lt;https://doi.org/10.1046/j.1461-0248.2001.00230.x&gt;</t>
  </si>
  <si>
    <t>Gotelli &amp; Colwell, 2001</t>
  </si>
  <si>
    <t>gotelli_colwell_2001</t>
  </si>
  <si>
    <t>https://doi.org/10.1016/B978-0-12-384719-5.00424-X</t>
  </si>
  <si>
    <t>Gotelli, N. J., &amp; Chao, A. (2013). Measuring and Estimating Species Richness, Species Diversity, and Biotic Similarity from Sampling Data. In *Encyclopedia of Biodiversity* (pp. 195-211). Elsevier. &lt;https://doi.org/10.1016/B978-0-12-384719-5.00424-X&gt;</t>
  </si>
  <si>
    <t>Gotelli &amp; Chao, 2013</t>
  </si>
  <si>
    <t>gotelli_chao_2013</t>
  </si>
  <si>
    <t>https://doi.org/10.1111/j.2041-210X.2012.00241.x</t>
  </si>
  <si>
    <t>Gopalaswamy, A. M., Royle, J. A., Hines, J. E., Singh, P., Jathanna, D., Kumar, N. S., &amp; Karanth, K. U. (2012). Program SPACECAP: software for estimating animal Density using spatially explicit capture-recapture models. *Methods in Ecology and Evolution, 3*(6), 1067-1072. &lt;https://doi.org/10.1111/j.2041-210X.2012.00241.x&gt;</t>
  </si>
  <si>
    <t>Gopalaswamy et al., 2012</t>
  </si>
  <si>
    <t>gopalaswamy_et_al_2012</t>
  </si>
  <si>
    <t>https://www.alberta.ca/proponent-led-indigenous-consultations.aspx</t>
  </si>
  <si>
    <t>Government of Alberta (2023b) *Proponent-led Indigenous consultations.* Edmonton, Alberta. &lt;https://www.alberta.ca/proponent-led-indigenous-consultations.aspx&gt;</t>
  </si>
  <si>
    <t>Government of Alberta, 2023b</t>
  </si>
  <si>
    <t>goa_2023b</t>
  </si>
  <si>
    <t>https://www.alberta.ca/lat-overview.aspx</t>
  </si>
  <si>
    <t>Government of Alberta (2023a) *LAT Overview.* Edmonton, Alberta. &lt;https://www.alberta.ca/lat-overview.aspx&gt;</t>
  </si>
  <si>
    <t>Government of Alberta, 2023a</t>
  </si>
  <si>
    <t>goa_2023a</t>
  </si>
  <si>
    <t>https://doi.org/10.1002/rse2.106</t>
  </si>
  <si>
    <t>Glover‐Kapfer, P., Soto‐Navarro, C. A., Wearn, O. R., Rowcliffe, M., &amp; Sollmann, R. (2019). Camera‐trapping version 3.0: Current constraints and future priorities for development. *Remote Sensing in Ecology and Conservation, 5*(3), 209-223. &lt;https://doi.org/10.1002/rse2.106&gt;</t>
  </si>
  <si>
    <t>Glover-Kapfer et al., 2017</t>
  </si>
  <si>
    <t>glover_kapfer_et_al_2019</t>
  </si>
  <si>
    <t>https://doi.org/10.1371/journal.pone.0067940</t>
  </si>
  <si>
    <t>Glen, A. S., Cockburn, S., Nichols, M., Ekanayake, J., &amp; Warburton, B. (2013) Optimising Camera Traps for Monitoring Small Mammals. *PloS one,* 8(6), Article e67940. &lt;https://doi.org/10.1371/journal.pone.0067940&gt;</t>
  </si>
  <si>
    <t>Glen et al., 2013</t>
  </si>
  <si>
    <t>glen_et_al_2013</t>
  </si>
  <si>
    <t>https://www.youtube.com/watch?v=rpjVrFI_dr8</t>
  </si>
  <si>
    <t>https://www.youtube.com/embed/rpjVrFI_dr8?si=2W5B5GNxqYDALBkn</t>
  </si>
  <si>
    <t>Gimenez, O. (2023, May 16). *Workshop on estimating (wolf) occupancy with R* [Video]. YouTube. &lt;https://www.youtube.com/watch?v=rpjVrFI_dr8&gt;</t>
  </si>
  <si>
    <t>Gimenez, 2023</t>
  </si>
  <si>
    <t>gimenez_2023</t>
  </si>
  <si>
    <t>https://github.com/oliviergimenez/bias_occupancy</t>
  </si>
  <si>
    <t>Gimenez, O. (2020b). *Bias in occupancy estimate for a static model.* &lt;https://github.com/oliviergimenez/bias_occupancy&gt;</t>
  </si>
  <si>
    <t>Gimenez, 2020b</t>
  </si>
  <si>
    <t>gimenez_2020b</t>
  </si>
  <si>
    <t>https://github.com/oliviergimenez/bias_occupancy_flexdashboard</t>
  </si>
  <si>
    <t xml:space="preserve">https://ecologicalstatistics.shinyapps.io/bias_occupancy; </t>
  </si>
  <si>
    <t>Gimenez, O. (2020a). *Bias in single-season occupancy models.* &lt;https://ecologicalstatistics.shinyapps.io/bias_occupancy&gt;; &lt;https://github.com/oliviergimenez/bias_occupancy_flexdashboard&gt;</t>
  </si>
  <si>
    <t>Gimenez, 2020a</t>
  </si>
  <si>
    <t>gimenez_2020a</t>
  </si>
  <si>
    <t>https://nesplandscapes.edu.au/wp-content/uploads/2015/10/5.2.4_a_guide_to_use_of_remote_cameras_for_wildlife_Surveys_final_web2.pdf</t>
  </si>
  <si>
    <t>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t>
  </si>
  <si>
    <t>Gillespie et al., 2015</t>
  </si>
  <si>
    <t>gillespie_et_al_2015</t>
  </si>
  <si>
    <t>Gilbert, N. A. (2022). *Towards a temporal ecology of wildlife populations and communities.* [Doctor of Philosophy]. University of Wisconsin-Madison. &lt; https://search.proquest.com/openview/bfe15ec06593d5a8d3904add35055867/1?pq-origsite=gscholar&amp;cbl=18750&amp;diss=y&gt;</t>
  </si>
  <si>
    <t>Gilbert, 2022</t>
  </si>
  <si>
    <t>gilbert_et_al_2022</t>
  </si>
  <si>
    <t>https://doi.org/10.1111/cobi.13517</t>
  </si>
  <si>
    <t>Gilbert, N. A., Clare, J. D. J., Stenglein, J. L., &amp; Zuckerberg, B. (2020). Abundance Estimation of Unmarked Animals based on Camera-Trap Data. *Conservation Biology, 35*(1), 88-100. &lt;https://doi.org/10.1111/cobi.13517&gt;</t>
  </si>
  <si>
    <t>Gilbert et al., 2020</t>
  </si>
  <si>
    <t>gilbert_et_al_2020</t>
  </si>
  <si>
    <t>https://bio.libretexts.org/Courses/University_of_California_Davis/BIS_2B%3A_Introduction_to_Biology_-_Ecology_and_Evolution/02%3A_Biodiversity/2.02%3A_Measuring_Species_Diversity</t>
  </si>
  <si>
    <t>Gerhart-Barley, L., M. (n.d.). *2.2: Measuring Species Diversity* &lt;https://bio.libretexts.org/Courses/University_of_California_Davis/BIS_2B%3A_Introduction_to_Biology_-_Ecology_and_Evolution/02%3A_Biodiversity/2.02%3A_Measuring_Species_Diversity&gt;</t>
  </si>
  <si>
    <t>Gerhart-Barley, L., M</t>
  </si>
  <si>
    <t>Gerhart-Barley, n.d.</t>
  </si>
  <si>
    <t>gerhartbarley_nd</t>
  </si>
  <si>
    <t>https://doi.org/10.1101/2023.06.21.545898</t>
  </si>
  <si>
    <t>Gerber, B. D., Devarajan, K., Farris, Z. J., &amp; Fidino, M. (2023). A model-based hypothesis framework to define and estimate the diel niche via the ‘Diel.Niche’ R package. *bioRxiv, 2023.06.21.545898.* &lt;https://doi.org/10.1101/2023.06.21.545898&gt;</t>
  </si>
  <si>
    <t>Gerber et al., 2023</t>
  </si>
  <si>
    <t>gerber_et_al_2023</t>
  </si>
  <si>
    <t>https://doi.org/10.1007/s10144-011-0276-3</t>
  </si>
  <si>
    <t>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t>
  </si>
  <si>
    <t>Gerber et al., 2011</t>
  </si>
  <si>
    <t>gerber_et_al_2011</t>
  </si>
  <si>
    <t>https://doi.org/10.1017/S0030605309991037</t>
  </si>
  <si>
    <t>Gerber, B., Karpanty, S. S. M., Crawford, C., Kotschwar, M., &amp; Randrianantenaina, J. (2010). An assessment of carnivore relative abundance and Density in the eastern rainforests of Madagascar using remotely-triggered camera traps. *Oryx, 44*(2), 219-222. &lt;https://doi.org/10.1017/S0030605309991037&gt;</t>
  </si>
  <si>
    <t>Gerber et al., 2010</t>
  </si>
  <si>
    <t>gerber_et_al_2010</t>
  </si>
  <si>
    <t>https://doi.org/10.1046/j.1365-2664.2000.00485.x</t>
  </si>
  <si>
    <t>Gaston, K. J., Blackburn, T. M., Greenwood, J. J. D., Gregory, R. D., Quinn, R. M., &amp; Lawton, J. H. (2000). Abundance-Occupancy Relationships. *The Journal of Applied Ecology, 37*(s1), 39-59. &lt;https://doi.org/10.1046/j.1365-2664.2000.00485.x&gt;</t>
  </si>
  <si>
    <t>Gaston et al., 2000</t>
  </si>
  <si>
    <t>gaston_et_al_2000</t>
  </si>
  <si>
    <t>https://doi.org/10.1002/jwmg.21879</t>
  </si>
  <si>
    <t>Garland, L., Neilson, E., Avgar, T., Bayne, E., &amp; Boutin, S. (2020). Random Encounter and Staying Time Model Testing with Human Volunteers. *The Journal of Wildlife Management, 84*(6), 1179-1184. &lt;https://doi.org/10.1002/jwmg.21879&gt;</t>
  </si>
  <si>
    <t>Garland et al., 2020</t>
  </si>
  <si>
    <t>garland_et_al_2020</t>
  </si>
  <si>
    <t>https://doi.org/10.1111/j.1469-7998.1983.tb02087.x</t>
  </si>
  <si>
    <t>Garland, T. (1983). The relation between maximal running speed and body mass in terrestrial mammals. *Journal of Zoology, 199*(2), 157-170. &lt;https://doi.org/10.1111/j.1469-7998.1983.tb02087.x&gt;</t>
  </si>
  <si>
    <t>Garland, 1983</t>
  </si>
  <si>
    <t>garland_1983</t>
  </si>
  <si>
    <t>https://doi.org/10.1016/j.anbehav.2015.11.009</t>
  </si>
  <si>
    <t>Garamszegi, L. Z. (2016). A simple statistical guide for the analysis of behaviour when data are constrained due to practical or ethical reasons. *Animal Behaviour, 120*, 223-234. &lt;https://doi.org/10.1016/j.anbehav.2015.11.009&gt;</t>
  </si>
  <si>
    <t>Garamszegi, 2016</t>
  </si>
  <si>
    <t>garamszegi_2016</t>
  </si>
  <si>
    <t>https://doi.org/10.2111/1551-5028(2007)60[350:GEISAA]2.0.CO;2</t>
  </si>
  <si>
    <t>Ganskopp, D. C., &amp; Johnson, D. D. (2007). GPS Error in Studies Addressing Animal Movements and Activities. *Rangeland Ecology and Management, 60*, 350-358. &lt;https://doi.org/10.2111/1551-5028(2007)60[350:GEISAA]2.0.CO;2&gt;</t>
  </si>
  <si>
    <t>Ganskopp &amp; Johnson, 2007</t>
  </si>
  <si>
    <t>ganskopp_johnson_2007</t>
  </si>
  <si>
    <t>https://doi.org/10.1016/j.biocon.2016.10.019</t>
  </si>
  <si>
    <t>Gálvez, N., Guillera-Arroita, G., Morgan, B. J. T., &amp; Davies, Z. G. (2016). Cost-Efficient Effort Allocation for Camera-Trap Occupancy Surveys of Mammals. *Biological Conservation, 204*(B), 350-359. &lt;https://doi.org/10.1016/j.biocon.2016.10.019&gt;</t>
  </si>
  <si>
    <t>Gálvez et al., 2016</t>
  </si>
  <si>
    <t>galvez_et_al_2016</t>
  </si>
  <si>
    <t>https://doi.org/10.7554/eLife.74756</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</si>
  <si>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t>
  </si>
  <si>
    <t>Gallo et al., 2022</t>
  </si>
  <si>
    <t>gallo_et_al_2022</t>
  </si>
  <si>
    <t>https://doi.org/10.1111/1365-2656.12967</t>
  </si>
  <si>
    <t>Gallo, T., Fidino, M., Lehrer, E. W., &amp; Magle, S. (2019). Urbanization Alters Predator-Avoidance Behaviours. *Journal of Animal Ecology, 88*(5), 793-803. &lt;https://doi.org/10.1111/1365-2656.12967&gt;</t>
  </si>
  <si>
    <t>Gallo et al., 2019</t>
  </si>
  <si>
    <t>gallo_et_al_2019</t>
  </si>
  <si>
    <t>https://zslpublications.onlinelibrary.wiley.com/doi/10.1002/rse2.60</t>
  </si>
  <si>
    <t>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t>
  </si>
  <si>
    <t>Frey et al., 2017</t>
  </si>
  <si>
    <t>frey_et_al_2017</t>
  </si>
  <si>
    <t>https://www.fs.usda.gov/rm/pubs_other/rmrs_2008_freeman_e001.pdf</t>
  </si>
  <si>
    <t>Freeman, E. A. &amp; Moisen, G. (2008). PresenceAbsence: An R Package for Presence Absence Analysis. *Journal of Statistical Software, 23*(11). &lt;https://www.fs.usda.gov/rm/pubs_other/rmrs_2008_freeman_e001.pdf&gt;</t>
  </si>
  <si>
    <t>Freeman &amp; Moisen, 2008</t>
  </si>
  <si>
    <t>freeman_gretchen_2008</t>
  </si>
  <si>
    <t>https://doi.org/10.1186/s13750-022-00264-0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</si>
  <si>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t>
  </si>
  <si>
    <t>Frampton et al., 2022</t>
  </si>
  <si>
    <t>frampton_et_al_2022</t>
  </si>
  <si>
    <t>https://cwbm.ca/wp-content/uploads/2020/05/Found-Patterson.pdf</t>
  </si>
  <si>
    <t>Found, R., &amp; Patterson, B. R. (2020). Assessing Ungulate Populations in Temperate North America. *Canadian Wildlife Biology and Management, 9*(1), 21-42. &lt;https://cwbm.ca/wp-content/uploads/2020/05/Found-Patterson.pdf&gt;</t>
  </si>
  <si>
    <t>Found &amp; Patterson, 2020</t>
  </si>
  <si>
    <t>found_patterson_2020</t>
  </si>
  <si>
    <t>https://doi.org/10.1002/jwmg.275</t>
  </si>
  <si>
    <t>Foster, R. J., &amp; Harmsen, B. J. (2012). A Critique of Density Estimation from Camera Trap Data. *Journal of* *Wildlife Management, 76*(2), 224-36. &lt;https://doi.org/10.1002/jwmg.275&gt;</t>
  </si>
  <si>
    <t>Foster &amp; Harmsen, 2012</t>
  </si>
  <si>
    <t>foster_harmsen_2012</t>
  </si>
  <si>
    <t>https://doi.org/10.3897/BDJ.4.e10197</t>
  </si>
  <si>
    <t>Forrester, T., O'Brien, T., Fegraus, E., Jansen, P. A., Palmer, J., Kays, R., Ahumada, J., Stern, B., &amp; McShea, W. (2016). An Open Standard for Camera Trap Data. *Biodiversity Data Journal, 4*, e10197. &lt;https://doi.org/10.3897/BDJ.4.e10197&gt;</t>
  </si>
  <si>
    <t>Forrester et al., 2016</t>
  </si>
  <si>
    <t>forrester_et_al_2016</t>
  </si>
  <si>
    <t>https://doi.org/10.1007/s10344-020-01385-y</t>
  </si>
  <si>
    <t>Ford, A. T., Sunter, E. J., Fauvelle, C., Bradshaw, J. L., Ford, B., Hutchen, J., Phillipow, N., &amp; Teichman, K. J. (2020). Effective corridor width: Linking the spatial ecology of wildlife with land use policy. *European Journal of Wildlife Research, 66*(4), 69. &lt;https://doi.org/10.1007/s10344-020-01385-y&gt;</t>
  </si>
  <si>
    <t>Ford et al., 2020</t>
  </si>
  <si>
    <t>ford_et_al_2020</t>
  </si>
  <si>
    <t>https://doi.org/10.7939/r3-bm8f-yj13</t>
  </si>
  <si>
    <t>Foca, J. M. (2021). *Camera Traps for Evaluating Ungulate Densities and Interspecific Interactions in the Beaver Hills Region of Alberta*. [Master's thesis, University of Alberta]. &lt;https://doi.org/10.7939/r3-bm8f-yj13&gt;</t>
  </si>
  <si>
    <t>Foca, 2021</t>
  </si>
  <si>
    <t>foca_2021</t>
  </si>
  <si>
    <t>https://doi.org/10.1002/eap.2419</t>
  </si>
  <si>
    <t>Fleming, J., Grant, E. H. C., Sterrett, S. C., &amp; Sutherland, C. (2021). Experimental evaluation of spatial capture-recapture study design. *Ecological Applications, 31*(7), e02419. &lt;https://doi.org/10.1002/eap.2419&gt;</t>
  </si>
  <si>
    <t>Fleming et al., 2021</t>
  </si>
  <si>
    <t>fleming_et_al_2021</t>
  </si>
  <si>
    <t>https://www.researchgate.net/publication/236965289_Species_rarity_definition_causes_and_classification#:~:text=Rarity%20is%20a%20relative%20concept,of%20other%20organisms%20of%20comparable</t>
  </si>
  <si>
    <t>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t>
  </si>
  <si>
    <t>Flather &amp; Sieg, 2007</t>
  </si>
  <si>
    <t>flather_sieg_2007</t>
  </si>
  <si>
    <t>https://www.jstatsoft.org/v43/i10/</t>
  </si>
  <si>
    <t>Kellner, K. F., Smith, A. D., Royle, J. A., Kery, M, Belant, J. L., &amp; Chandler, R. B. (2023). The unmarked R package: Twelve years of advances in occurrence and abundance modelling in ecology. *Methods in Ecology and Evolution, 14* (6), 1408-1415. &lt;https://www.jstatsoft.org/v43/i10/&gt;</t>
  </si>
  <si>
    <t>Fiske &amp; Chandler, 2011</t>
  </si>
  <si>
    <t>fiske_chandler_2011</t>
  </si>
  <si>
    <t>https://doi.org/10.1111/cobi.12302</t>
  </si>
  <si>
    <t>Fisher, J. T., Wheatley, M., &amp; Mackenzie, D. (2014). Spatial Patterns of Breeding Success of Grizzly Bears derived from Hierarchical Multistate Models. *Conservation Biology, 28*(5), 1249-1259. &lt;https://doi.org/10.1111/cobi.12302&gt;</t>
  </si>
  <si>
    <t>Fisher, Wheatley &amp; Mackenzie, 2014</t>
  </si>
  <si>
    <t>Fisher et al., 2014</t>
  </si>
  <si>
    <t>fisher_et_al_2014</t>
  </si>
  <si>
    <t>https://doi.org/10.1002/ece3.45</t>
  </si>
  <si>
    <t>Fisher, J. T., Anholt, B., &amp; Volpe, J. P. (2011). Body Mass Explains Characteristic Scales of Habitat Selection in Terrestrial Mammals. *Ecology and Evolution, 1*(4), 517-528. &lt;https://doi.org/10.1002/ece3.45&gt;</t>
  </si>
  <si>
    <t>Fisher et al., 2011</t>
  </si>
  <si>
    <t>fisher_et_al_2011</t>
  </si>
  <si>
    <t>https://doi.org/0.13140/RG.2.1.3944.3680</t>
  </si>
  <si>
    <t>Fisher, J. T., &amp; Burton, C. (2012). *Monitoring Mammals in Alberta: Recommendations for Remote Camera Trapping*. Alberta Innovates - Technology Futures &amp; Alberta Biodiversity Monitoring Institute. &lt;https://doi.org/0.13140/RG.2.1.3944.3680&gt;</t>
  </si>
  <si>
    <t>Fisher &amp; Burton, 2012</t>
  </si>
  <si>
    <t>fisher_burton_2012</t>
  </si>
  <si>
    <t>https://doi.org/10.1007/s13364-020-00478-y</t>
  </si>
  <si>
    <t>Findlay, M. A., Briers, R. A., &amp; White, P. J. C. (2020). Component processes of detection probability in camera-trap studies: understanding the occurrence of false-negatives. *Mammal Research, 65*, 167-180. &lt;https://doi.org/10.1007/s13364-020-00478-y&gt;</t>
  </si>
  <si>
    <t>Findlay, Briers &amp; White, 2020</t>
  </si>
  <si>
    <t>Findlay et al., 2020</t>
  </si>
  <si>
    <t>findlay_et_al_2020</t>
  </si>
  <si>
    <t>https://doi.org/10.1002/ecs2.1944</t>
  </si>
  <si>
    <t>Fidino, M., &amp; Magle, S. B. (2017). Using Fourier series to predict periodic patterns in dynamic occupancy models. *Ecosphere, 8*(9) , e01944. &lt;https://doi.org/10.1002/ecs2.1944&gt;</t>
  </si>
  <si>
    <t>Fidino &amp; Magle, 2017</t>
  </si>
  <si>
    <t>fidino_magle_2017</t>
  </si>
  <si>
    <t>https://doi.org/10.1002/wsb.1122</t>
  </si>
  <si>
    <t>Fidino, M., Barnas, G. R., Lehrer, E. W., Murray, M. H., &amp; Magle, S. B. (2020). Effect of Lure on Detecting Mammals with Camera Traps. *Wildlife Society Bulletin*. &lt;https://doi.org/10.1002/wsb.1122&gt;</t>
  </si>
  <si>
    <t>Fidino et al., 2020</t>
  </si>
  <si>
    <t>fidino_et_al_2020</t>
  </si>
  <si>
    <t>https://github.com/mfidino/autoOcc</t>
  </si>
  <si>
    <t>Fidino, M. (2023) *autoOcc: An R package for fitting autologistic occupancy models.* R package version 0.1.1, &lt;https://github.com/mfidino/autoOcc&gt;</t>
  </si>
  <si>
    <t>Fidino, 2023</t>
  </si>
  <si>
    <t>fidino_2023</t>
  </si>
  <si>
    <t>https://masonfidino.com/generalized_additive_occupancy_model</t>
  </si>
  <si>
    <t>Fidino, M. (2021F) *Using the mgcvmgcv package to create a generalized additive occupancy model in R.* &lt;https://masonfidino.com/generalized_additive_occupancy_model&gt;</t>
  </si>
  <si>
    <t>Fidino, 2021f</t>
  </si>
  <si>
    <t>fidino_2021f</t>
  </si>
  <si>
    <t>https://github.com/mfidino/auto-logistic-occupancy</t>
  </si>
  <si>
    <t>Fidino, M. (2021e) *auto-logistic-occupancy.* &lt;https://github.com/mfidino/auto-logistic-occupancy&gt;</t>
  </si>
  <si>
    <t>Fidino, 2021e</t>
  </si>
  <si>
    <t>fidino_2021e</t>
  </si>
  <si>
    <t>https://masonfidino.com/autologistic_occupancy_model</t>
  </si>
  <si>
    <r>
      <t>Fidino, M. (2021d) *</t>
    </r>
    <r>
      <rPr>
        <sz val="12"/>
        <color theme="1"/>
        <rFont val="Calibri"/>
        <family val="2"/>
      </rPr>
      <t>So, you don't have enough data to fit a dynamic occupancy model? An introduction to auto-logistic occupancy models.</t>
    </r>
    <r>
      <rPr>
        <sz val="12"/>
        <color rgb="FF000000"/>
        <rFont val="Calibri"/>
        <family val="2"/>
      </rPr>
      <t>* &lt;https://masonfidino.com/autologistic_occupancy_model&gt;</t>
    </r>
  </si>
  <si>
    <t>Fidino, 2021d</t>
  </si>
  <si>
    <t>fidino_2021d</t>
  </si>
  <si>
    <t>https://github.com/mfidino/integrated-occupancy-model</t>
  </si>
  <si>
    <r>
      <t>Fidino, M. (2021c) *integrated-occupancy-models* &lt;</t>
    </r>
    <r>
      <rPr>
        <sz val="12"/>
        <color theme="1"/>
        <rFont val="Calibri"/>
        <family val="2"/>
      </rPr>
      <t>https://github.com/mfidino/integrated-occupancy-model</t>
    </r>
    <r>
      <rPr>
        <u/>
        <sz val="12"/>
        <color rgb="FF365F91"/>
        <rFont val="Calibri"/>
        <family val="2"/>
      </rPr>
      <t>&gt;</t>
    </r>
  </si>
  <si>
    <t>Fidino, 2021c</t>
  </si>
  <si>
    <t>fidino_2021c</t>
  </si>
  <si>
    <t>https://masonfidino.com/bayesian_integrated_model</t>
  </si>
  <si>
    <r>
      <t>Fidino, M. (2021b) *A gentle introduction to an integrated occupancy model that combines presence-only and detection/non-detection data, and how to fit it in JAGS* &lt;</t>
    </r>
    <r>
      <rPr>
        <sz val="12"/>
        <color theme="1"/>
        <rFont val="Calibri"/>
        <family val="2"/>
      </rPr>
      <t>https://masonfidino.com/bayesian_integrated_model</t>
    </r>
    <r>
      <rPr>
        <u/>
        <sz val="12"/>
        <color rgb="FF365F91"/>
        <rFont val="Calibri"/>
        <family val="2"/>
      </rPr>
      <t>&gt;</t>
    </r>
  </si>
  <si>
    <t>Fidino, 2021b</t>
  </si>
  <si>
    <t>fidino_2021b</t>
  </si>
  <si>
    <t>Fidino, M. (2021a) *multi-state-occupancy-models.* &lt;https://github.com/mfidino/integrated-occupancy-model&gt;</t>
  </si>
  <si>
    <t>Fidino, 2021a</t>
  </si>
  <si>
    <t>fidino_2021a</t>
  </si>
  <si>
    <t>https://doi.org/10.1007/s13364-018-00414-1</t>
  </si>
  <si>
    <t>Ferreira-Rodríguez, N., &amp; Pombal, M. A. (2019). Bait effectiveness in camera trap studies in the Iberian Peninsula. *Mammal Research, 64*(2), 155-164. &lt;https://doi.org/10.1007/s13364-018-00414-1&gt;</t>
  </si>
  <si>
    <t>Ferreira-Rodríguez et al., 2019</t>
  </si>
  <si>
    <t>ferreira_rodriguez_et_al_2019</t>
  </si>
  <si>
    <t>https://doi.org/10.1016/j.gecco.2022.e02104</t>
  </si>
  <si>
    <t>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t>
  </si>
  <si>
    <t>Fennell, Beirne &amp; Burton, 2022</t>
  </si>
  <si>
    <t>Fennell et al., 2022</t>
  </si>
  <si>
    <t>fennell_et_al_2022</t>
  </si>
  <si>
    <t>https://doi.org/10.1016/j.ecoinf.2011.06.003</t>
  </si>
  <si>
    <t>Fegraus, E. H., Lin, K., Ahumada, J. A., Baru, C., Chandra, S., &amp; Youn, C. (2011). Data acquisition and management software for camera trap data: A case study from the TEAM Network. *Ecological Informatics, 6*(6), 345-353. &lt;https://doi.org/10.1016/j.ecoinf.2011.06.003&gt;</t>
  </si>
  <si>
    <t>Fegraus et al., 2011</t>
  </si>
  <si>
    <t>fegraus_et_al_2011</t>
  </si>
  <si>
    <t>https://doi.org/10.1007/s00265-016-2162-7</t>
  </si>
  <si>
    <t>Fancourt, B. A. (2016). Avoiding the subject: The implications of avoidance behaviour for detecting predators. *Behavioral Ecology and Sociobiology, 70*(9), 1535-1546. &lt;https://doi.org/10.1007/s00265-016-2162-7&gt;</t>
  </si>
  <si>
    <t>Fancourt, 2016</t>
  </si>
  <si>
    <t>fancourt_2016</t>
  </si>
  <si>
    <t>https://doi.org/10.1111/1365-2664.13194</t>
  </si>
  <si>
    <t>Evans, M. J. &amp; Rittenhouse, T. A. G. (2018). Evaluating Spatially Explicit Density Estimates of Unmarked Wildlife Detected by Remote Cameras. *The Journal of Applied Ecology 55*(6), 2565-74. &lt;https://doi.org/10.1111/1365-2664.13194&gt;</t>
  </si>
  <si>
    <t>Evans &amp; Rittenhouse, 2018</t>
  </si>
  <si>
    <t>evans_rittenhouse_2018</t>
  </si>
  <si>
    <t>https://doi.org/10.1371/journal.pone.0179489</t>
  </si>
  <si>
    <t>Estevo, C. A., Nagy-Reis, M. B., &amp; Nichols, J. D. (2017). When habitat matters: Habitat preferences can modulate co-occurrence patterns of similar sympatric species. *PLOS One, 12*(7), e0179489. &lt;https://doi.org/10.1371/journal.pone.0179489&gt;</t>
  </si>
  <si>
    <t>Estevo et al., 2017</t>
  </si>
  <si>
    <t>estevo_et_al_2017</t>
  </si>
  <si>
    <t>Estevo, C. A., Nagy-Reis, M. B., &amp; Nichols, J. D. (2017). When habitat matters: Habitat preferences can modulate co-occurrence patterns of similar sympatric species. *PLOS ONE, 12*(7), e0179489. &lt;https://doi.org/10.1371/journal.pone.0179489&gt;</t>
  </si>
  <si>
    <t>Estevo, Nagy-Reis, &amp; Nichols, 2017</t>
  </si>
  <si>
    <t>esteveo_et_al_2017</t>
  </si>
  <si>
    <t>https://doi.org/10.1007/s10531-011-0110-4</t>
  </si>
  <si>
    <t>Espartosa, K. D., Pinotti, B. T., &amp; Pardini, R. (2011). Performance of Camera Trapping and Track Counts for Surveying Large Mammals in Rainforest Remnants. *Biodiversity Conservation, 20*(12), 2815-2829. &lt;https://doi.org/10.1007/s10531-011-0110-4&gt;</t>
  </si>
  <si>
    <t>Espartosa, Pinotti &amp; Pardini, 2011</t>
  </si>
  <si>
    <t>Espartosa et al., 2011</t>
  </si>
  <si>
    <t>espartosa_et_al_2011</t>
  </si>
  <si>
    <t>https://doi.org/10.1111/biom.12766</t>
  </si>
  <si>
    <t>Efford, M. G., &amp; Hunter, C. M. (2018). Spatial Capture-mark-resight Estimation of Animal Population Density. *Biometrics, 74*(2), 411-420. &lt;https://doi.org/10.1111/biom.12766&gt;</t>
  </si>
  <si>
    <t>Efford &amp; Hunter, 2018</t>
  </si>
  <si>
    <t>efford_hunter_2018</t>
  </si>
  <si>
    <t>https://doi.org/10.1890/08-1735.1</t>
  </si>
  <si>
    <t>Efford, M. G., Dawson, D. K., &amp; Borchers, D. L. (2009b). Population Density estimated from locations of individuals on a passive detector array. *Ecology, 90*(10), 2676-2682. &lt;https://doi.org/10.1890/08-1735.1&gt;</t>
  </si>
  <si>
    <t>Efford, Dawson &amp; Borchers, 2009b</t>
  </si>
  <si>
    <t>Efford et al., 2009b</t>
  </si>
  <si>
    <t>efford_et_al_2009b</t>
  </si>
  <si>
    <t>https://doi.org/10.1007/978-0-387-78151-8_11</t>
  </si>
  <si>
    <t>Efford, M. G., Borchers, D. L., &amp; Byrom, A. E. (2009a). Density Estimation by Spatially Explicit Capture-Recapture: Likelihood-Based Methods. *In* D. L. Thomson, E. G. Cooch, &amp; M. J. Conroy (Eds.), *Modeling Demographic Processes In Marked Populations* (pp. 255-269). &lt;https://doi.org/10.1007/978-0-387-78151-8_11&gt;</t>
  </si>
  <si>
    <t>Efford, Borchers &amp; Byrom, 2009a</t>
  </si>
  <si>
    <t>Efford et al., 2009a</t>
  </si>
  <si>
    <t>efford_et_al_2009a</t>
  </si>
  <si>
    <t>https://doi.org/10.32800/abc.2004.27.0217</t>
  </si>
  <si>
    <t>Efford, M. G., Dawson, D. K., &amp; Robbins, C. S. (2004). DENSITY: Software for analysing capture-recapture data from passive detector arrays. *Animal Biodiversity and Conservation, 27*(1), 217-228. &lt;https://doi.org/10.32800/abc.2004.27.0217&gt;</t>
  </si>
  <si>
    <t>Efford et al., 2004</t>
  </si>
  <si>
    <t>efford_et_al_2004</t>
  </si>
  <si>
    <t>https://doi.org/10.1890/es11-00308.1</t>
  </si>
  <si>
    <t>Efford, M. G., &amp; Dawson, D. K. (2012). Occupancy in continuous habitat. *Ecosphere, 3*(4). Article 32. &lt;https://doi.org/10.1890/es11-00308.1&gt;</t>
  </si>
  <si>
    <t>Efford &amp; Dawson, 2012</t>
  </si>
  <si>
    <t>efford_dawson_2012</t>
  </si>
  <si>
    <t>https://doi.org/10.1111/2041-210X.13239</t>
  </si>
  <si>
    <t>Efford, M. G., &amp; Boulanger, J. (2019). Fast Evaluation of Study Designs for Spatially Explicit Capture-Recapture. *Methods in Ecology and Evolution, 10*(9), 1529-1535. &lt;https://doi.org/10.1111/2041-210X.13239&gt;</t>
  </si>
  <si>
    <t>Efford &amp; Boulanger, 2019</t>
  </si>
  <si>
    <t>efford_boulanger_2019</t>
  </si>
  <si>
    <t>https://cran.r-project.org/web/packages/secr/vignettes/secr-overview.pdf</t>
  </si>
  <si>
    <t>Efford, M. (2024b). *secr 4.6 - spatially explicit capture-recapture in R.* &lt;https://cran.r-project.org/web/packages/secr/vignettes/secr-overview.pdf&gt;</t>
  </si>
  <si>
    <t>Efford, 2024b</t>
  </si>
  <si>
    <t>efford_2024b</t>
  </si>
  <si>
    <t>https://CRAN.R-project.org/package=secr</t>
  </si>
  <si>
    <t>Efford, M. (2024a). *Package 'secr': Spatially Explicit Capture-Recapture* R package version 4.6.9. &lt;https://CRAN.R-project.org/package=secr&gt;</t>
  </si>
  <si>
    <t>Efford, 2024a</t>
  </si>
  <si>
    <t>efford_2024a</t>
  </si>
  <si>
    <t>https://CRAN.R-project.org/package=openCR</t>
  </si>
  <si>
    <t>Efford, M. (2023). *openCR: Open population capture-recapture models*. R package version 2.2.6. &lt;https://CRAN.R-project.org/package=openCR&gt;</t>
  </si>
  <si>
    <t>Efford, 2023</t>
  </si>
  <si>
    <t>efford_2023</t>
  </si>
  <si>
    <t>https://www.otago.ac.nz/Density/pdfs/secr-markresight.pdf</t>
  </si>
  <si>
    <t>Efford, M. G. (2022). *Mark-resight in secr 4. 5. 1-20*. &lt;https://www.otago.ac.nz/Density/pdfs/secr-markresight.pdf&gt;</t>
  </si>
  <si>
    <t>Efford, 2022</t>
  </si>
  <si>
    <t>efford_2022</t>
  </si>
  <si>
    <t>http://www.jstor.org.login.ezproxy.library.ualberta.ca/stable/3548382</t>
  </si>
  <si>
    <t>Efford, M. (2004). Density Estimation in Live-Trapping Studies. *Oikos, 106*(3), 598-610. &lt;http://www.jstor.org.login.ezproxy.library.ualberta.ca/stable/3548382&gt;</t>
  </si>
  <si>
    <t>Efford, 2004</t>
  </si>
  <si>
    <t>efford_2004</t>
  </si>
  <si>
    <t>https://www.academia.edu/23421255/.</t>
  </si>
  <si>
    <t>Duquette, J. F., Belant, J. L., Svoboda, N. J., Beyer Jr., D. E., &amp; Albright, C. A. (2014). Comparison of occupancy modeling and radiotelemetry to estimate ungulate population dynamics. *Population Ecology, 56,* 481-492. &lt;https://www.academia.edu/23421255/.&gt;</t>
  </si>
  <si>
    <t>Dunne &amp; Quinn, 2009</t>
  </si>
  <si>
    <t>Duquette et al., 2014</t>
  </si>
  <si>
    <t>duquette_et_al_2014</t>
  </si>
  <si>
    <t>https://doi.org/10.1002/ecy.3262</t>
  </si>
  <si>
    <t>Dupont, G., Royle, J. A., Nawaz, M. A., &amp; Sutherland, C. (2021). Optimal sampling design for spatial capture-recapture. *Ecology, 102*(3), e03262. &lt;https://doi.org/10.1002/ecy.3262&gt;</t>
  </si>
  <si>
    <t>Dupont et al., 2021</t>
  </si>
  <si>
    <t>dupont_et_al_2021</t>
  </si>
  <si>
    <t>https://doi.org/10.1016/j.biocon.2008.10.029</t>
  </si>
  <si>
    <t>Dunne, B. M., &amp; Quinn, M. S. (2009). Effectiveness of above-ground pipeline mitigation for moose (*Alces alces*) and other large mammals. *Biological Conservation, 142* (2), 332-343. &lt;https://doi.org/10.1016/j.biocon.2008.10.029&gt;</t>
  </si>
  <si>
    <t>dunne_quinn_2009</t>
  </si>
  <si>
    <t>https://www.britannica.com/science/species-abundance</t>
  </si>
  <si>
    <t>Dubey, A (n.d.). *species abundance*. &lt;https://www.britannica.com/science/species-abundance&gt;</t>
  </si>
  <si>
    <t>Dubey (n.d.)</t>
  </si>
  <si>
    <t>dubey_nd</t>
  </si>
  <si>
    <t>https://doi.org/10.7939/R3Q815805</t>
  </si>
  <si>
    <t>Doran-Myers, D. (2018). *Methodological Comparison of Canada Lynx Density Estimation* [Master of Science in Ecology thesis, University of Alberta]. ERA: Education and Research Archive. &lt;https://doi.org/10.7939/R3Q815805&gt;</t>
  </si>
  <si>
    <t>Doran-Myers, 2018</t>
  </si>
  <si>
    <t>doran_myers_2018</t>
  </si>
  <si>
    <t>https://doi.org/10.1111/2041-210X.14285</t>
  </si>
  <si>
    <t>Donovan, T., Hines, J., &amp; MacKenzie, D. (2024). OCCUPANCYTUTS: Occupancy modelling tutorials with RPRESENCE. *Methods in Ecology and Evolution, 15*(3), 477-483. &lt;https://doi.org/10.1111/2041-210X.14285&gt;</t>
  </si>
  <si>
    <t xml:space="preserve">Donovan, Hines &amp; MacKenzie, 2024 </t>
  </si>
  <si>
    <t xml:space="preserve">Donovan et al., 2024 </t>
  </si>
  <si>
    <t>donovan_et_al_2024</t>
  </si>
  <si>
    <t>https://doi.org/10.1111/j.1469-7998.2008.00452.x</t>
  </si>
  <si>
    <t>Dillon, A., &amp; Kelly, M. J. (2008). Ocelot Home Range, Overlap and Density: Comparing Radio Telemetry with Camera Trapping. *Journal of Zoology, 275*, 391-398. &lt;https://doi.org/10.1111/j.1469-7998.2008.00452.x&gt;</t>
  </si>
  <si>
    <t>Dillon &amp; Kelly, 2008</t>
  </si>
  <si>
    <t>dillon_kelly_2008</t>
  </si>
  <si>
    <t>https://twitter.com/MelanieDickie/status/1516432277009403904</t>
  </si>
  <si>
    <t>Dickie, M. (2022, April 19). *“NEW PAPER ALERT!”* Tweet. @MelanieDickie. &lt;https://twitter.com/MelanieDickie/status/1516432277009403904&gt;</t>
  </si>
  <si>
    <t>Dickie, 2022</t>
  </si>
  <si>
    <t>dickie_2022</t>
  </si>
  <si>
    <t>Social media</t>
  </si>
  <si>
    <t>https://doi.org/10.1016/j.ecolmodel.2023.110324</t>
  </si>
  <si>
    <t>Dey, S., Moqanaki, E., Milleret, C., Dupont, P., Tourani, M., &amp; Bischof, R. (2023). Modelling spatially autocorrelated detection probabilities in spatial capture-recapture using random effects. *Ecological Modelling, 479*, 110324. &lt;https://doi.org/10.1016/j.ecolmodel.2023.110324&gt;</t>
  </si>
  <si>
    <t>Dey et al., 2023</t>
  </si>
  <si>
    <t>dey_et_al_2023</t>
  </si>
  <si>
    <t>https://doi.org/10.1002/ajp.22647</t>
  </si>
  <si>
    <t>Després‐Einspenner, M., Howe, E. J., Drapeau, P., &amp; Kühl, H. S. (2017). An empirical evaluation of camera trapping and spatially explicit capture‐recapture models for estimating chimpanzee density. *American Journal of Primatology, 79*(7), e22647. &lt;https://doi.org/10.1002/ajp.22647&gt;</t>
  </si>
  <si>
    <t>Després‐Einspenner et al., 2017</t>
  </si>
  <si>
    <t>despres_einspenner_et_al_2017</t>
  </si>
  <si>
    <t>https://doi.org/10.1007/s40484-015-0049-7</t>
  </si>
  <si>
    <t>Deng, C., Daley, T., &amp; Smith, A. (2015). Applications of species accumulation curves in large‐scale biological data analysis. *Quantitative Biology, 3*(3), 135-144. &lt;https://doi.org/10.1007/s40484-015-0049-7&gt;</t>
  </si>
  <si>
    <t>Deng et al., 2015</t>
  </si>
  <si>
    <t>deng_et_al_2015</t>
  </si>
  <si>
    <t>https://doi.org/10.1111/2041-210x.12333</t>
  </si>
  <si>
    <t>Dénes, F. V., Silveira, L. F., Beissinger, S. R., &amp; Isaac, N. (2015). Estimating Abundance of Unmarked Animal Populations: Accounting for Imperfect Detection and Other Sources of Zero Inflation. *Methods in Ecology and Evolution, 6*(5), 543-556. &lt;https://doi.org/10.1111/2041-210x.12333&gt;</t>
  </si>
  <si>
    <t>Dénes et al., 2015</t>
  </si>
  <si>
    <t>denes_et_al_2015</t>
  </si>
  <si>
    <t>https://doi.org/10.1111/2041-210X.14247</t>
  </si>
  <si>
    <t>Delisle, Z. J., Henrich, M., Palencia, P., &amp; Swihart, R. K. (2023). Reducing bias in density estimates for unmarked populations that exhibit reactive behaviour towards camera traps. *Methods in Ecology and Evolution, 14*(12), 3100-3111. &lt;https://doi.org/10.1111/2041-210X.14247&gt;</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</si>
  <si>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</si>
  <si>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</si>
  <si>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</si>
  <si>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</si>
  <si>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</si>
  <si>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</si>
  <si>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</si>
  <si>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R. S., Stone, E. L., Gentle, L. K., Mgoola, W. O., Uzal, A., &amp; Yarnell, R. W. (2021). Spatial Partial Identity Model Reveals Low Densities of Leopard and Spotted Hyaena in a Miombo Woodland. *Journal of Zoology, 313*, 43-53. &lt;https://zslpublications.onlinelibrary.wiley.com/doi/epdf/10.1111/jzo.12838&gt;</t>
  </si>
  <si>
    <t>Davis et al., 2021</t>
  </si>
  <si>
    <t>davis_et_al_2021</t>
  </si>
  <si>
    <t>https://doi.org/10.1371/journal.pone.0126373</t>
  </si>
  <si>
    <t>Cusack, J., Dickman, A. J., Rowcliffe, J. M., Carbone, C., Macdonald, D. W., &amp; Coulson, T. (2015). Random versus Game Trail-based Camera trap Placement Strategy for Monitoring Terrestrial Mammal Communities. *PloS One*,*10*(5), e0126373. &lt;https://doi.org/10.1371/journal.pone.0126373&gt;</t>
  </si>
  <si>
    <t>Cusack et al., 2015</t>
  </si>
  <si>
    <t>cusack_et_al_2015</t>
  </si>
  <si>
    <t>https://doi.org/10.1111/ecog.07037</t>
  </si>
  <si>
    <t>Crisfield, V. E., Guillaume Blanchet, F., Raudsepp‐Hearne, C., &amp; Gravel, D. (2024). How and why species are rare: Towards an understanding of the ecological causes of rarity. *Ecography, 2024* (2), e07037. &lt;https://doi.org/10.1111/ecog.07037&gt;</t>
  </si>
  <si>
    <t>Crisfield et al., 2024</t>
  </si>
  <si>
    <t>crisfield_et_al_2024</t>
  </si>
  <si>
    <t>https://www.youtube.com/watch?v=DVo4KVMPnWg</t>
  </si>
  <si>
    <t>https://www.youtube.com/embed/DVo4KVMPnWg?si=m_umrFr9FjNb9KlK</t>
  </si>
  <si>
    <t>Cove, M. (2020d, Sep 28). *Occupancy Modeling Video 4 -- How to Run and Interpret the Models in PRESENCE* [Video]. YouTube. &lt;https://www.youtube.com/watch?v=DVo4KVMPnWg&gt;</t>
  </si>
  <si>
    <t>Cove, 2020d</t>
  </si>
  <si>
    <t>cove_2020d</t>
  </si>
  <si>
    <t>https://www.youtube.com/watch?v=-F-txltI_iA</t>
  </si>
  <si>
    <t>https://www.youtube.com/embed/-F-txltI_iA?si=C8R-MQ3pKcskOcQt</t>
  </si>
  <si>
    <t>Cove, M. (2020c, Sep 27). *Occupancy Modeling Video 3 -- What are Occupancy Models and What are the Applications?* [Video]. YouTube. &lt;https://www.youtube.com/watch?v=-F-txltI_iA&gt;</t>
  </si>
  <si>
    <t>Cove, 2020c</t>
  </si>
  <si>
    <t>cove_2020c</t>
  </si>
  <si>
    <t>https://www.youtube.com/watch?v=u--F8_oRpVU&amp;t=1s</t>
  </si>
  <si>
    <t>https://www.youtube.com/embed/u--F8_oRpVU?si=XzL4GMaQmvlL-noj</t>
  </si>
  <si>
    <t>Cove, M. (2020b, Sep 27). *Occupancy Modeling Video 2 -- Introductory Statistical Review.* [Video]. YouTube. &lt;https://www.youtube.com/watch?v=u--F8_oRpVU&amp;t=1s&gt;</t>
  </si>
  <si>
    <t>Cove, 2020b</t>
  </si>
  <si>
    <t>cove_2020b</t>
  </si>
  <si>
    <t>https://www.youtube.com/watch?v=n21Ugw0lYcY</t>
  </si>
  <si>
    <t>https://www.youtube.com/embed/n21Ugw0lYcY?si=RUCD7WjcLPJdHR00</t>
  </si>
  <si>
    <t>Cove, M. (2020a, Sep 27). *Occupancy Modeling Video 1 -- Sampling Techniques for Mammals.* [Video]. YouTube. &lt;https://www.youtube.com/watch?v=n21Ugw0lYcY&gt;</t>
  </si>
  <si>
    <t>Cove, 2020a</t>
  </si>
  <si>
    <t>cove_2020a</t>
  </si>
  <si>
    <t>https://doi.org/10.1007/s10531-017-1448-z</t>
  </si>
  <si>
    <t>Colyn, R. B., Radloff, F., &amp; O'Riain, M. J. (2018). Camera trapping mammals in the scrubland’s of the cape floristic kingdom - the importance of effort, spacing and trap placement. *Biodiversity and Conservation, 27*(2), 503-520. &lt;https://doi.org/10.1007/s10531-017-1448-z&gt;</t>
  </si>
  <si>
    <t>Colyn, Radloff &amp; O'Riain, 2018</t>
  </si>
  <si>
    <t>Colyn et al., 2018</t>
  </si>
  <si>
    <t>colyn_et_al_2018</t>
  </si>
  <si>
    <t>https://doi.org/10.1093/jpe/rtr044</t>
  </si>
  <si>
    <t>Colwell, R., Chao, A., Gotelli, N., Lin, S., Mao, C., Chazdon, R., &amp; Longino, J. (2012). Models and estimators linking individual-based and sample-based rarefaction, extrapolation and comparison of assemblages. *Journal of Plant Ecology, 5*(1), 3-21. &lt;https://doi.org/10.1093/jpe/rtr044&gt;</t>
  </si>
  <si>
    <t>Colwell et al., 2012</t>
  </si>
  <si>
    <t>colwell_et_al_2012</t>
  </si>
  <si>
    <t>https://doi.org/10.1890/03-0557</t>
  </si>
  <si>
    <t>Colwell, R. K., Mao, C. X., &amp; Chang, J. (2004). Interpolating, Extrapolating, and Comparing Incidence-based Species Accumulation Curves. *Ecology, 85*(10), 2717-2727. &lt;https://doi.org/10.1890/03-0557&gt;</t>
  </si>
  <si>
    <t>Colwell, Mao &amp; Chang, 2004</t>
  </si>
  <si>
    <t>Colwell et al., 2004</t>
  </si>
  <si>
    <t>colwell_et_al_2004</t>
  </si>
  <si>
    <t>https://doi.org/10.1098/rstb.1994.0091</t>
  </si>
  <si>
    <t>Colwell, R. K., &amp; Coddington, J. A. (1994).Estimating terrestrial biodiversity through extrapolation. *Philosophical Transactions of the Royal Society of London. Series B, Biological Sciences, 345*, 101-118. &lt;https://doi.org/10.1098/rstb.1994.0091&gt;</t>
  </si>
  <si>
    <t>Colwell &amp; Coddington, 1994</t>
  </si>
  <si>
    <t>colwell_coddington_1994</t>
  </si>
  <si>
    <t>https://www.robertkcolwell.org/pages/1407</t>
  </si>
  <si>
    <t>Colwell, R. K. (2022). *EstimateS: Statistical Estimation of Species Richness and Shared Species from Samples*. Version 9.1. &lt;https://www.robertkcolwell.org/pages/1407&gt;</t>
  </si>
  <si>
    <t>Colwell, 2022</t>
  </si>
  <si>
    <t>colwell_2022</t>
  </si>
  <si>
    <t>https://doi.org/10.1002/jwmg.22636</t>
  </si>
  <si>
    <t>Coltrane, J., DeCesare, N. J., Horne, J. S., &amp; Lukacs, P. M. (2024). Comparing camera-based ungulate Density estimates: A case study using island populations of bighorn sheep and mule deer. *The Journal of Wildlife Management, 88*(7), e22636. &lt;https://doi.org/10.1002/jwmg.22636&gt;</t>
  </si>
  <si>
    <t>Coltrane et al., 2024</t>
  </si>
  <si>
    <t>coltrane_et_al_2024</t>
  </si>
  <si>
    <t>https://doi.org/10.1098/rsif.2008.0014</t>
  </si>
  <si>
    <t>Codling, E. A., Plank, M. J., &amp; Benhamou, S. (2008). Random walk models in biology. *Journal of The Royal Society Interface, 5*(25), 813-834. &lt;https://doi.org/10.1098/rsif.2008.0014&gt;</t>
  </si>
  <si>
    <t>Codling, Plank &amp; Benhamou, 2008</t>
  </si>
  <si>
    <t>Codling et al., 2008</t>
  </si>
  <si>
    <t>codling_et_al_2008</t>
  </si>
  <si>
    <t>https://www.youtube.com/watch?v=VadXgBMhiTY</t>
  </si>
  <si>
    <t>Columbia Mountains Institute of Applied Ecology [CMI]. (2020) *Chris Beirne: Tips and Tricks for the Organization and Analysis of Camera Trap Data*. &lt;https://www.youtube.com/watch?v=VadXgBMhiTY&gt;</t>
  </si>
  <si>
    <t>Columbia Mountains Institute of Applied Ecology [CMI], 2020</t>
  </si>
  <si>
    <t>cmi_2020</t>
  </si>
  <si>
    <t>https://doi.org/10.1016/j.biocon.2004.04.025</t>
  </si>
  <si>
    <t>Clevenger, A. P., &amp; Waltho, N. (2005). Performance indices to identify attributes of highway crossing structures facilitating movement of large mammals. *Biological Conservation, 121* (3), 453-464. &lt;https://doi.org/10.1016/j.biocon.2004.04.025&gt;</t>
  </si>
  <si>
    <t>Clevenger &amp; Waltho, 2005</t>
  </si>
  <si>
    <t>clevenger_waltho_2005</t>
  </si>
  <si>
    <t>https://doi.org/10.13140/RG.2.2.18364.72320</t>
  </si>
  <si>
    <t>Clarke, J., Bohm, H., Burton, C., Constantinou, A. (2023). *Using Camera Traps to Estimate Medium and Large Mammal Density: Comparison of Methods and Recommendations for Wildlife Managers*. &lt;https://doi.org/10.13140/RG.2.2.18364.72320&gt;</t>
  </si>
  <si>
    <t>Clarke et al., 2023</t>
  </si>
  <si>
    <t>https://doi.org/10.1002/1438-390X.1011</t>
  </si>
  <si>
    <t>Clarke, J. D. (2019).comparing Clustered Sampling Designs for Spatially Explicit Estimation of Population Density. *Population Ecology, 61*, 93-101. &lt;https://doi.org/10.1002/1438-390X.1011&gt;</t>
  </si>
  <si>
    <t>Clarke, 2019</t>
  </si>
  <si>
    <t>clarke_2019</t>
  </si>
  <si>
    <t>https://doi.org/10.1038/sj.bjc.6601118</t>
  </si>
  <si>
    <t>Clark, T. G., Bradburn, M. J., Love, S. B., &amp; Altman, D. G. (2003). Survival Analysis Part I: Basic Concepts and First Analyses. *British Journal of Cancer, 89*(2), 232-38. &lt;https://doi.org/10.1038/sj.bjc.6601118&gt;</t>
  </si>
  <si>
    <t>Clark et al., 2003</t>
  </si>
  <si>
    <t>clark_et_al_2003</t>
  </si>
  <si>
    <t>https://doi.org/10.1002/ecs2.3748</t>
  </si>
  <si>
    <t>Chatterjee, N., Schuttler, T. G., Nigam, P., &amp; Habib, B. (2021). Deciphering the rarity-detectability continuum: optimizing Survey design for terrestrial mammalian community. *Ecosphere 12*(9), e03748. &lt;https://doi.org/10.1002/ecs2.3748&gt;</t>
  </si>
  <si>
    <t>Chatterjee et al., 2021</t>
  </si>
  <si>
    <t>chatterjee_et_al_2021</t>
  </si>
  <si>
    <t>http://chao.stat.nthu.edu.tw/wordpress/software_download/inextonline/</t>
  </si>
  <si>
    <t>Chao, A., Ma, K. H., &amp; Hsieh, T. C. (2016). *iNEXT Online: Software for Interpolation and Extrapolation of Species Diversity.* Program and User’s Guide published at &lt;http://chao.stat.nthu.edu.tw/wordpress/software_download/inextonline/&gt;</t>
  </si>
  <si>
    <t>Chao et al., 2016</t>
  </si>
  <si>
    <t>chao_et_al_2016</t>
  </si>
  <si>
    <t>https://doi.org/10.1890/13-0133.1</t>
  </si>
  <si>
    <t>Chao, A., Gotelli, N.J., Hsieh, T. C., Sander, E. L., Ma, K. H., Colwell, R. K. &amp; Ellison, A. M. (2014). Rarefaction and extrapolation with Hill numbers: a framework for sampling and estimation in species diversity studies. *Ecological Monographs, 84*, 45-67. &lt;https://doi.org/10.1890/13-0133.1&gt;</t>
  </si>
  <si>
    <t>Chao et al., 2014</t>
  </si>
  <si>
    <t>chao_et_al_2014</t>
  </si>
  <si>
    <t>https://doi.org/10.1214/12-aoas610</t>
  </si>
  <si>
    <t>Chandler, R. B., &amp; Royle, J. A. (2013). Spatially explicit models for inference about Density in unmarked or partially marked populations. *The Annals of Applied Statistics, 7*(2), 936-954. &lt;https://doi.org/10.1214/12-aoas610&gt;</t>
  </si>
  <si>
    <t>Chandler &amp; Royle, 2013</t>
  </si>
  <si>
    <t>chandler_royle_2013</t>
  </si>
  <si>
    <t>https://books.google.ca/books/about/Analysis_of_Vertebrate_Populations.html?id=qAcUAQAAIAAJ&amp;redir_esc=y</t>
  </si>
  <si>
    <t>Caughley, G. (1977). *Analysis of Vertebrate Populations* (pp. 234). Wiley. &lt;https://books.google.ca/books/about/Analysis_of_Vertebrate_Populations.html?id=qAcUAQAAIAAJ&amp;redir_esc=y&gt;</t>
  </si>
  <si>
    <t>Caughley, 1977</t>
  </si>
  <si>
    <t>caughley_1977</t>
  </si>
  <si>
    <t>https://doi.org/10.1017/S1367943001001081</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</si>
  <si>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t>
  </si>
  <si>
    <t>Carbone et al., 2001</t>
  </si>
  <si>
    <t>carbone_et_al_2001</t>
  </si>
  <si>
    <t>https://doi.org/10.1111/csp2.239</t>
  </si>
  <si>
    <t>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t>
  </si>
  <si>
    <t>Caravaggi et al., 2020</t>
  </si>
  <si>
    <t>caravaggi_et_al_2020</t>
  </si>
  <si>
    <t>https://doi.org/10.1002/rse2.48</t>
  </si>
  <si>
    <t>Caravaggi, A., Banks, P. B., Burton, A. C., Finlay, C. M. V., Haswell, P. M., Hayward, M. W., Rowcliffe, M. J., Wood, M. D., Pettorelli, N., &amp; Sollmann, R. (2017). A review of camera trapping for conservation behaviour research*. Remote Sensing in Ecology and Conservation, 3*(3), 109-122. &lt;https://doi.org/10.1002/rse2.48&gt;</t>
  </si>
  <si>
    <t>Caravaggi et al., 2017</t>
  </si>
  <si>
    <t>caravaggi_et_al_2017</t>
  </si>
  <si>
    <t>https://doi.org/10.1002/ecs2.3299</t>
  </si>
  <si>
    <t>Cappelle, N., Howe, E. J., Boesch, C., &amp; Kühl, H. S. (2021). Estimating Animal Abundance and Effort-Precision Relationship with Camera Trap Distance Sampling. *Ecosphere, 12*(1). &lt;https://doi.org/10.1002/ecs2.3299&gt;</t>
  </si>
  <si>
    <t>Cappelle et al., 2021</t>
  </si>
  <si>
    <t>cappelle_et_al_2021</t>
  </si>
  <si>
    <t>https://doi.org/10.1002/ajp.22962</t>
  </si>
  <si>
    <t>Cappelle, N., Després‐Einspenner, M., Howe, E. J., Boesch, C., &amp; Kühl, H. S. (2019). Validating camera trap distance sampling for chimpanzees. *American Journal of Primatology, 81*(3), e22962. &lt;https://doi.org/10.1002/ajp.22962&gt;</t>
  </si>
  <si>
    <t>Cappelle et al., 2019</t>
  </si>
  <si>
    <t>cappelle_et_al_2019</t>
  </si>
  <si>
    <t>https://www.youtube.com/watch?v=q2NRQBcihQY</t>
  </si>
  <si>
    <t>Cao (2021)</t>
  </si>
  <si>
    <t>cao_2021</t>
  </si>
  <si>
    <t>https://cran.r-project.org/web/packages/overlap/index.html</t>
  </si>
  <si>
    <t>Campbell, A. (2024). *Package ‘overlap’*. R package version 0.3.9. &lt;https://cran.r-project.org/web/packages/overlap/index.html&gt;</t>
  </si>
  <si>
    <t>Campbell, 2024</t>
  </si>
  <si>
    <t>campbell_2024</t>
  </si>
  <si>
    <t>https://kevintshoemaker.github.io/NRES-746/Occupancy.html</t>
  </si>
  <si>
    <t>Byrne, M. &amp; Golden, J. (2021). *Occupancy Modeling.* &lt;https://kevintshoemaker.github.io/NRES-746/Occupancy.html&gt;</t>
  </si>
  <si>
    <t>Byrne &amp; Golden, 2021</t>
  </si>
  <si>
    <t>byrne_golden_2021</t>
  </si>
  <si>
    <t>https://doi.org/10.1111/1365-2664.12432</t>
  </si>
  <si>
    <t>Burton, A. C., Neilson, E., Moreira, D., Ladle, A., Steenweg, R., Fisher, J. T., Bayne, E., Boutin, S., &amp; Stephens, P. (2015). Camera trap Trapping: A Review and Recommendations for Linking Surveys to Ecological Processes. *Journal of Applied Ecology, 52*(3), 675-685. &lt;https://doi.org/10.1111/1365-2664.12432&gt;</t>
  </si>
  <si>
    <t>Burton et al., 2015</t>
  </si>
  <si>
    <t>burton_et_al_2015</t>
  </si>
  <si>
    <t>https://doi.org/10.1002/wsb.898</t>
  </si>
  <si>
    <t>Burkholder, E. N., Jakes, A. F., Jones, P. F., Hebblewhite, M., &amp; Bishop, C. J. (2018). To Jump or Not to Jump: Mule Deer and White-Tailed Deer Fence Crossing Decisions. *Wildlife Society Bulletin, 42*(3), 420-429. &lt;https://doi.org/10.1002/wsb.898&gt;</t>
  </si>
  <si>
    <t>Burkholder et al., 2018</t>
  </si>
  <si>
    <t>burkholder_et_al_2018</t>
  </si>
  <si>
    <t>https://doi.org/10.1111/cobi.13233</t>
  </si>
  <si>
    <t>Burgar, J. M., Burton, A. C., &amp; Fisher, J. T. (2019). The importance of considering multiple interacting species for conservation of species at risk. *Conservation Biology, 33*(3), 709-715. &lt;https://doi.org/10.1111/cobi.13233&gt;</t>
  </si>
  <si>
    <t>Burgar, Burton, &amp; Fisher, 2019</t>
  </si>
  <si>
    <t>Burgar et al., 2019</t>
  </si>
  <si>
    <t>burgar_et_al_2019</t>
  </si>
  <si>
    <t>https://doi.org/10.1016/j.gecco.2018.e00411</t>
  </si>
  <si>
    <t>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t>
  </si>
  <si>
    <t>Burgar et al., 2018</t>
  </si>
  <si>
    <t>burgar_et_al_2018</t>
  </si>
  <si>
    <t>Burgar, J. M. (2021). *Counting Elk Amongst the Trees: Improving the Accuracy of Roosevelt Elk Inventory via Modelling, Preliminary Report 2021*. Terrestrial Wildlife Resources, South Coast Resource Management, FLNRORD. (available upon request).</t>
  </si>
  <si>
    <t>Burgar, 2021</t>
  </si>
  <si>
    <t>burgar_2021</t>
  </si>
  <si>
    <t>https://doi.org/10.1007/978-3-319-19219-2</t>
  </si>
  <si>
    <t>Buckland, S. T., E. A. Rexstad, T. A. Marques, C. S. Oedekoven. (2015). *Mathematics and Statistics. Distance Sampling: Methods and Applications.* Springer International Publishing. &lt;https://doi.org/10.1007/978-3-319-19219-2&gt;</t>
  </si>
  <si>
    <t>Buckland et al., 2015</t>
  </si>
  <si>
    <t>buckland_et_al_2015</t>
  </si>
  <si>
    <t>https://doi.org/10.1007/978-94-011-1574-2</t>
  </si>
  <si>
    <t>Buckland, S. T., D.R. Anderson, K.P. Burnham, &amp; J.L. Laake. (1998). *Distance Sampling: Estimating Abundance of Biological Populations*. Chapman &amp; Hall, London. &lt;https://doi.org/10.1007/978-94-011-1574-2&gt;</t>
  </si>
  <si>
    <t>Buckland et al., 1998</t>
  </si>
  <si>
    <t>buckland_et_al_1993</t>
  </si>
  <si>
    <t>https://doi.org/10.1642/0004-8038(2006)123[345:PSFSRM]2.0.CO;2</t>
  </si>
  <si>
    <t>Buckland, S. T. (2006). Point-Transect Surveys for Songbirds: Robust Methodologies. *The American Ornithologists’ Union, 123*(2), 345-357. &lt;https://doi.org/10.1642/0004-8038(2006)123[345:PSFSRM]2.0.CO;2&gt;</t>
  </si>
  <si>
    <t>Buckland, 2006</t>
  </si>
  <si>
    <t>buckland_2006</t>
  </si>
  <si>
    <t>https://doi.org/10.1111/aje.12972</t>
  </si>
  <si>
    <t>Brownlee, M., Warbington, C., &amp; Boyce., M. (2022). Monitoring Sitatunga (*Tragelaphus Spekii*) Populations Using Camera Traps. *African Journal of Ecology, 60*(3), 377. &lt;https://doi.org/10.1111/aje.12972&gt;</t>
  </si>
  <si>
    <t>Brownlee, Warbington &amp; Boyce, 2022</t>
  </si>
  <si>
    <t>Brownlee et al., 2022</t>
  </si>
  <si>
    <t>brownlee_et_al_2022</t>
  </si>
  <si>
    <t>https://doi.org/10.1111/geb.13625</t>
  </si>
  <si>
    <t>Broekman, M. J. E., Hoeks, S., Freriks, R., Langendoen, M. M., Runge, K. M., Savenco, E., Ter Harmsel, R., Huijbregts, M. A. J., &amp; Tucker, M. A. (2023). HomeRange: A global database of mammalian home ranges. *Global Ecology and Biogeography, 32*(2), 198-205. &lt;https://doi.org/10.1111/geb.13625&gt;</t>
  </si>
  <si>
    <t>Broekman et al., 2022</t>
  </si>
  <si>
    <t>broekman_et_al_2022</t>
  </si>
  <si>
    <t>https://doi.org/10.1111/cobi.12389</t>
  </si>
  <si>
    <t>Brodie, J. F., Giordano, A. J., Zipkin, E. F., Bernard, H., Mohd‐Azlan, J., &amp; Ambu, L. (2015). Correlation and persistence of hunting and logging impacts on tropical rainforest mammals. *Conservation Biology, 29*(1), 110-121. &lt;https://doi.org/10.1111/cobi.12389&gt;</t>
  </si>
  <si>
    <t>Brodie et al., 2015</t>
  </si>
  <si>
    <t>brodie_et_al_2015</t>
  </si>
  <si>
    <t>https://doi.org/10.1002/ece3.5840.</t>
  </si>
  <si>
    <t>Broadley, K., Burton, A. C., Avgar, T., &amp; Boutin, S. (2019). Density‐dependent space use affects interpretation of camera trap detection rates. *Ecology and Evolution, 9*(24), 14031-14041. &lt;https://doi.org/10.1002/ece3.5840&gt;.</t>
  </si>
  <si>
    <t>Broadley et al., 2019</t>
  </si>
  <si>
    <t>broadley_et_al_2019</t>
  </si>
  <si>
    <t>Bridges, A. S., &amp; Noss, A. J. (2011). Behavior and Activity Patterns. In A. F. O'Connell, J. D. Nichols, &amp; K. U. Karanth (Eds.), *Camera Traps In Animal Ecology: Methods and Analyses* (pp. 57-70). Springer. &lt;https://doi.org/10.1007/978-4-431-99495-4&gt;</t>
  </si>
  <si>
    <t>Bridges &amp; Noss, 2011</t>
  </si>
  <si>
    <t>bridges_noss_2011</t>
  </si>
  <si>
    <t>https://www.press.jhu.edu/books/title/11858/quantitative-analyses-wildlife-science</t>
  </si>
  <si>
    <t>Brennan, L. A. (2019). *Quantitative Analyses in Wildlife Science*. Johns Hopkins University Press, Baltimore. &lt;https://www.press.jhu.edu/books/title/11858/quantitative-analyses-wildlife-science&gt;</t>
  </si>
  <si>
    <t>Brennan, 2019</t>
  </si>
  <si>
    <t>brennan_2019</t>
  </si>
  <si>
    <t>https://doi.org/10.1111/j.1365-2028.2007.00881.x</t>
  </si>
  <si>
    <t>Bowkett, A. E., Rovero, F., &amp; Marshall, A. R. (2008). The use of camera-trap data to model habitat use by antelope species in the udzungwa mountain forests, tanzania. *African Journal of Ecology, 46*(4), 479-487. &lt;https://doi.org/10.1111/j.1365-2028.2007.00881.x&gt;</t>
  </si>
  <si>
    <t>Bowkett, Rovero &amp; Marshall, 2008</t>
  </si>
  <si>
    <t>Bowkett et al., 2008</t>
  </si>
  <si>
    <t>bowkett_et_al_2008</t>
  </si>
  <si>
    <t>https://doi.org/10.1080/01621459.2014.893884</t>
  </si>
  <si>
    <t>Borchers, D. L., Stevenson, B. C., Kidney, D., Thomas, L., &amp; Marques, T. A. (2015). A Unifying Model for Capture-Recapture and Distance Sampling Surveys of Wildlife Populations. *Journal of the American Statistical Association, 110*(509), 195-204. &lt;https://doi.org/10.1080/01621459.2014.893884&gt;</t>
  </si>
  <si>
    <t>Borchers et al., 2015</t>
  </si>
  <si>
    <t>borchers_et_al_2015</t>
  </si>
  <si>
    <t>https://doi.org/10.1111/j.1541-0420.2007.00927.x</t>
  </si>
  <si>
    <t>Borchers, D. L., &amp; Efford, M. G. (2008). Spatially Explicit Maximum Likelihood Methods for Capture-Recapture Studies. *Biometrics, 64*(2), 377-385. &lt;https://doi.org/10.1111/j.1541-0420.2007.00927.x&gt;</t>
  </si>
  <si>
    <t>Borchers &amp; Efford, 2008</t>
  </si>
  <si>
    <t>borchers_efford_2008</t>
  </si>
  <si>
    <t>https://doi.org/10.1007/s10336-010-0583-z</t>
  </si>
  <si>
    <t>Borchers, D. (2012). A non-technical overview of spatially explicit capture-recapture models. *Journal of Ornithology, 152*(S2), 435-444. &lt;https://doi.org/10.1007/s10336-010-0583-z&gt;</t>
  </si>
  <si>
    <t>Borchers, 2012</t>
  </si>
  <si>
    <t>borchers_2012</t>
  </si>
  <si>
    <t>https://link.springer.com/article/10.1007/s10182-016-0287-7</t>
  </si>
  <si>
    <t>Borcher, D. L., &amp; Marques, T. A. (2017). From Distance Sampling to Spatial Capture-Recapture. *Asta Advances In Statistical Analysis, 101*, 475-494. &lt;https://link.springer.com/article/10.1007/s10182-016-0287-7&gt;</t>
  </si>
  <si>
    <t>Borcher &amp; Marques, 2017</t>
  </si>
  <si>
    <t>borcher_marques_2017</t>
  </si>
  <si>
    <t>https://doi.org/10.2307/3001850</t>
  </si>
  <si>
    <t>Bliss, C. I., &amp; Fisher, R. A. (1953). Fitting the Negative Binomial Distribution to Biological Data. *Biometrics, 9*(2), 176-200. &lt;https://doi.org/10.2307/3001850&gt;</t>
  </si>
  <si>
    <t>Bliss &amp; Fisher, 1953</t>
  </si>
  <si>
    <t>bliss_fisher_1953</t>
  </si>
  <si>
    <t>https://doi.org/10.1111/2041-210x.13185</t>
  </si>
  <si>
    <t>Blasco‐Moreno, A., Pérez‐Casany, M., Puig, P., Morante, M., Castells, E., &amp; O'Hara, R. B. (2019). What Does a Zero Mean? Understanding False, Random and Structural Zeros in Ecology. *Methods in Ecology and Evolution, 10*(7), 949-959. &lt;https://doi.org/10.1111/2041-210x.13185&gt;</t>
  </si>
  <si>
    <t>Blasco‐Moreno et al., 2019</t>
  </si>
  <si>
    <t>Blasco-Moreno et al., 2019</t>
  </si>
  <si>
    <t>blasco_moreno_et_al_2019</t>
  </si>
  <si>
    <t>https://doi.org/10.1002/jwmg.453</t>
  </si>
  <si>
    <t>Blanc, L., Marboutin, E., Gatti, S., &amp; Gimenez, O. (2013). Abundance of Rare and Elusive Species: Empirical Investigation of Closed versus Spatially Explicit Capture-Recapture Models with Lynx as a Case Study. *Journal of Wildlife Management, 77*(2), 372-78. &lt;https://doi.org/10.1002/jwmg.453&gt;</t>
  </si>
  <si>
    <t>Blanc et al., 2013</t>
  </si>
  <si>
    <t>blanc_et_al_2013</t>
  </si>
  <si>
    <t>https://doi.org/10.1016/S0065-2504(08)60033-1</t>
  </si>
  <si>
    <t>Blackburn, T., &amp; Gaston, K. (1999). The relationship between animal abundance and body size: A review of the mechanisms. In *A. Fitter &amp; D. Raffaelli (Eds.), Advances In Ecological Research, Vol 28*, 181-210. &lt;https://doi.org/10.1016/S0065-2504(08)60033-1&gt;</t>
  </si>
  <si>
    <t>Blackburn &amp; Gaston, 1999</t>
  </si>
  <si>
    <t>blackburn_gaston_1999</t>
  </si>
  <si>
    <t>https://doi.org/10.2981/wlb.00649</t>
  </si>
  <si>
    <t>Bischof, R., Dupont, P., Milleret, C., ChipperfIeld, J., &amp; Royle, J. A. (2020). Consequences of Ignoring Group Association in Spatial Capture-Recapture Analysis. *Wildlife Biology, 2020*(1). &lt;https://doi.org/10.2981/wlb.00649&gt;</t>
  </si>
  <si>
    <t>Bischof et al., 2020</t>
  </si>
  <si>
    <t>bischof_et_al_2020</t>
  </si>
  <si>
    <t>https://old-ib.bioninja.com.au/options/option-c-ecology-and-conser/c4-conservation-of-biodiver/biodiversity.html</t>
  </si>
  <si>
    <t>Bioninja (N.D.). *Biodiversity.* &lt;https://old-ib.bioninja.com.au/options/option-c-ecology-and-conser/c4-conservation-of-biodiver/biodiversity.html&gt;</t>
  </si>
  <si>
    <t>Bioninja, N.D.</t>
  </si>
  <si>
    <t>bioninja_nd</t>
  </si>
  <si>
    <t>https://doi.org/10.1111/1365-2664.13602</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</si>
  <si>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t>
  </si>
  <si>
    <t>Bessone et al., 2020</t>
  </si>
  <si>
    <t>bessone_et_al_2020</t>
  </si>
  <si>
    <t>https://shiny.posit.co/r/gallery/life-sciences/biodiversity-national-parks</t>
  </si>
  <si>
    <t>Benedetti, A. (2024). *Visualizing Biodiversity in [U.S.] National Parks.* &lt;https://shiny.posit.co/r/gallery/life-sciences/biodiversity-national-parks&gt;</t>
  </si>
  <si>
    <t>Benedetti, 2024</t>
  </si>
  <si>
    <t>benedetti_2024</t>
  </si>
  <si>
    <t>https://doi.org/10.48550/arXiv.1907.06772</t>
  </si>
  <si>
    <t>Beery, S., Morris, D., &amp; Yang, S. (2019). Efficient Pipeline for Camera Trap Image Review. *Microsoft AI for Earth*. &lt;https://doi.org/10.48550/arXiv.1907.06772&gt;</t>
  </si>
  <si>
    <t>Beery, Morris &amp; Yang, 2019</t>
  </si>
  <si>
    <t>Beery et al., 2019</t>
  </si>
  <si>
    <t>beery_et_al_2019</t>
  </si>
  <si>
    <t>https://doi.org/10.1002/ecs2.4005</t>
  </si>
  <si>
    <t>Becker, M., Huggard, D. J., Dickie, M., Warbington, C., Schieck, J., Herdman, E., Serrouya, R., &amp; Boutin, S. (2022). Applying and Testing a Novel Method to Estimate Animal Density from Motion-Triggered Cameras. *Ecosphere, 13*(4), 1-14. &lt;https://doi.org/10.1002/ecs2.4005&gt;</t>
  </si>
  <si>
    <t>Becker et al., 2022</t>
  </si>
  <si>
    <t>becker_et_al_2022</t>
  </si>
  <si>
    <t>https://github.com/mabecker89/tifc-method</t>
  </si>
  <si>
    <t>Becker, M. Huggard, D. J., &amp; Alberta Biodiversity Monitoring Institute [ABMI]. (2021).*Estimating animal density using TIFC (Time In Front of Camera).* &lt;https://github.com/mabecker89/tifc-method&gt;</t>
  </si>
  <si>
    <t>Becker et al., 2021</t>
  </si>
  <si>
    <t>becker_et_al_2021</t>
  </si>
  <si>
    <t>https://mabecker89.github.io/abmi.camera.extras</t>
  </si>
  <si>
    <t>Becker, M. Huggard, D. J., &amp; Alberta Biodiversity Monitoring Institute [ABMI]. (2020). *abmi.camera.extras.* R package version 0.0.1. &lt;https://mabecker89.github.io/abmi.camera.extras&gt;</t>
  </si>
  <si>
    <t>becker_et_al_2020</t>
  </si>
  <si>
    <t>https://ab-rcsc.github.io/GOA_Ungulate-monitoring-methods-workshop/1_pages/3_Speaker-Bios.html</t>
  </si>
  <si>
    <t>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t>
  </si>
  <si>
    <t>Becker, 2024</t>
  </si>
  <si>
    <t>becker_2024</t>
  </si>
  <si>
    <t>https://open.alberta.ca/publications/9781460151341</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</si>
  <si>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t>
  </si>
  <si>
    <t>Bayne et al., 2021</t>
  </si>
  <si>
    <t>bayne_et_al_2021</t>
  </si>
  <si>
    <t>https://www.youtube.com/watch?v=UXJ0r4hjbqI</t>
  </si>
  <si>
    <t>Baylor Tutoring Center. (2021, July 31). *Species Diversity and Species Richness* [Video]. YouTube. &lt;https://www.youtube.com/watch?v=UXJ0r4hjbqI&gt;</t>
  </si>
  <si>
    <t>Baylor Tutoring Center, 2021</t>
  </si>
  <si>
    <t>baylor_tutoring_center_2021</t>
  </si>
  <si>
    <t>https://doi.org/10.1111/1365-2664.12272</t>
  </si>
  <si>
    <t>Banks‐Leite, C., Pardini, R., Boscolo, D., Cassano, C. R., Püttker, T., Barros, C. S., &amp; Barlow, J. (2014). Assessing the utility of statistical adjustments for imperfect detection in tropical conservation science. *Journal of Applied Ecology, 51*(4), 849-859. &lt;https://doi.org/10.1111/1365-2664.12272&gt;</t>
  </si>
  <si>
    <t>Banks‐Leite et al., 2014</t>
  </si>
  <si>
    <t>banksleite_2014</t>
  </si>
  <si>
    <t>https://doi.org/10.1016/j.mambio.2016.05.005</t>
  </si>
  <si>
    <t>Balestrieri, A., Ruiz-González, A., Vergara, M., Capelli, E., Tirozzi, P., Alfino, S., Minuti, G., Prigioni, C., &amp; Saino, N. (2016). Pine marten density in lowland riparian woods: A test of the Random Encounter Model based on genetic data. *Mammalian Biology, 81*(5), 439-446. &lt;https://doi.org/10.1016/j.mambio.2016.05.005&gt;</t>
  </si>
  <si>
    <t>Balestrieri et al., 2016</t>
  </si>
  <si>
    <t>balestrieri_et_al_2016</t>
  </si>
  <si>
    <t>https://www.jstor.org/stable/40061993</t>
  </si>
  <si>
    <t>Bailey, L. L., Hines, J. E., Nichols, J. D., &amp; MacKenzie, D. I. (2007). Sampling Design Trade-Offs in Occupancy Studies with Imperfect Detection: Examples and Software. *Ecological Applications, 17*(1), 281-290. &lt;https://www.jstor.org/stable/40061993&gt;</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</si>
  <si>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</si>
  <si>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</si>
  <si>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</si>
  <si>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t>
  </si>
  <si>
    <t>Baddeley, n.d.</t>
  </si>
  <si>
    <t>baddeley_nd</t>
  </si>
  <si>
    <t>Babu, A. (N.D.). *Alpha, Beta and Gamma Diversity: Biodiversity at different scales*. &lt;https://eco-intelligent.com/2016/10/14/alpha-beta-gamma-diversity&gt;</t>
  </si>
  <si>
    <t>Babu, N.D.</t>
  </si>
  <si>
    <t>babu_nd</t>
  </si>
  <si>
    <t>https://doi.org/10.1002/ecs2.3933</t>
  </si>
  <si>
    <t>Ausband et al., 2022</t>
  </si>
  <si>
    <t>ausband_et_al_2022</t>
  </si>
  <si>
    <t>https://doi.org/10.1002/ecs2.2627</t>
  </si>
  <si>
    <t>Augustine, B. C., Royle, J. A., Murphy, S. M., Chandler, R. B., Cox, J. J., &amp; Kelly, M. J. (2019). Spatial Capture-Recapture for Categorically Marked Populations with an Application to Genetic Capture-Recapture. *Ecosphere, 10*(4) e02627-n/a. &lt;https://doi.org/10.1002/ecs2.2627&gt;</t>
  </si>
  <si>
    <t>Augustine et al., 2019</t>
  </si>
  <si>
    <t>augustine_et_al_2019</t>
  </si>
  <si>
    <t>https://doi.org/10.1214/17AOAS1091</t>
  </si>
  <si>
    <t>Augustine, B. C., Royle, J. A., Kelly, M. J., Satter, C. B., Alonso, R. S., Boydston, E. E., &amp; Crooks, K. R. (2018). Spatial Capture-Recapture with Partial Identity: An Application to Camera Traps. *The Annals of Applied Statistics, 12*(1), 67-95. &lt;https://doi.org/10.1214/17AOAS1091&gt;</t>
  </si>
  <si>
    <t>Augustine et al., 2018</t>
  </si>
  <si>
    <t>augustine_et_al_2018</t>
  </si>
  <si>
    <t>http://dx.doi.org/10.1101/056804</t>
  </si>
  <si>
    <t>Augustine, B. C., Royle, J. A., Kelly, M. J., Satter, C. B., Alonso, R. S., Boydston, E. E., &amp; Crooks, K. R. (2016). Spatial capture-recapture with partial identity: An application to camera traps. *bioRxiv.* &lt;http://dx.doi.org/10.1101/056804&gt;</t>
  </si>
  <si>
    <t>Augustine et al., 2016</t>
  </si>
  <si>
    <t>augustine_et_al_2016</t>
  </si>
  <si>
    <t>https://doi.org/10.2307/3809524</t>
  </si>
  <si>
    <t>Arnason, A. N., Schwarz, C. J., &amp; Gerrard, J. M. (1991). Estimating Closed Population Size and Number of Marked Animals from Sighting Data. *Journal of Wildlife Management, 55*(4), 716-730. &lt;https://doi.org/10.2307/3809524&gt;</t>
  </si>
  <si>
    <t>Arnason, Schwarz &amp; Gerrard, 1991</t>
  </si>
  <si>
    <t>Arnason et al., 1991</t>
  </si>
  <si>
    <t>arnason_et_al_1991</t>
  </si>
  <si>
    <t>https://doi.org/10.1111/aje.12563</t>
  </si>
  <si>
    <t>Apps, P. J., &amp; McNutt, J. W. (2018). How Camera Traps work and how to work them. *African Journal of Ecology, 56*(4), 702-709. &lt;https://doi.org/10.1111/aje.12563&gt;</t>
  </si>
  <si>
    <t>Apps &amp; McNutt, 2018</t>
  </si>
  <si>
    <t>apps_mcnutt_2018</t>
  </si>
  <si>
    <t>https://doi.org/10.1111/acv.12214</t>
  </si>
  <si>
    <t>Anile, S., &amp; Devillard, S. (2016). Study Design and Body Mass Influence RAIs from Camera Trap Studies: Evidence from the Felidae. *Animal Conservation, 19*(1), 35-45. &lt;https://doi.org/10.1111/acv.12214&gt;</t>
  </si>
  <si>
    <t>Anile &amp; Devillard, 2016</t>
  </si>
  <si>
    <t>anile_devillard_2016</t>
  </si>
  <si>
    <t>https://www.jstor.org/stable/3784156</t>
  </si>
  <si>
    <t>Anderson, D. R. (2001). The Need to Get the Basics Right in Wildlife Field Studies. *Wildlife Society Bulletin, 29*(4), 1294-1297. &lt;https://www.jstor.org/stable/3784156&gt;</t>
  </si>
  <si>
    <t>Anderson, 2001</t>
  </si>
  <si>
    <t>anderson_2001</t>
  </si>
  <si>
    <t>https://doi.org/10.1093/conphys/coaa019</t>
  </si>
  <si>
    <t>Ames E. M., Gade M. R., Nieman C. L., Wright J. R, Tonra C. M., Marroquin C. M., Tutterow A. M, &amp; Gray S. M. (2020) Striving for population-level conservation: integrating physiology across the biological hierarchy. *Conservation Physiology, 8*(1): coaa019. &lt;https://doi.org/10.1093/conphys/coaa019&gt;</t>
  </si>
  <si>
    <t>Ames et al., 2020</t>
  </si>
  <si>
    <t>ames_et_al_2011</t>
  </si>
  <si>
    <t>https://doi.org/10.1371/journal.pone.0123032</t>
  </si>
  <si>
    <t>Alonso, R. S., McClintock, B. T., Lyren, L. M., Boydston, E. E., &amp; Crooks, K. R. (2015). Mark-recapture and Mark-resight Methods for Estimating Abundance with Remote Cameras: A Carnivore Case Study. *PLoS One, 10*(3), e0123032. &lt;https://doi.org/10.1371/journal.pone.0123032&gt;</t>
  </si>
  <si>
    <t>Alonso et al., 2015</t>
  </si>
  <si>
    <t>alonso_et_al_2015</t>
  </si>
  <si>
    <t>https://doi.org/10.1017/s0376892919000298</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</si>
  <si>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t>
  </si>
  <si>
    <t>Ahumada et al., 2019</t>
  </si>
  <si>
    <t>ahumada_et_al_2019</t>
  </si>
  <si>
    <t>https://doi.org/10.1098/rstb.2011.0115</t>
  </si>
  <si>
    <t>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t>
  </si>
  <si>
    <t>Ahumada et al., 2011</t>
  </si>
  <si>
    <t>ahumada_et_al_2011</t>
  </si>
  <si>
    <t>https://open.alberta.ca/dataset/71c53d7b-0802-4800-9f95-0520b64b63c2/resource/ee933caa-bfc7-4334-a4d0-6085ebf198e7/download/aep-aerial-ungulate-surveys-using-distance-sampling-2016.pdf</t>
  </si>
  <si>
    <t>Alberta Environment and Parks. (2016). *Aerial Ungulate Surveys using Distance Sampling Techniques Protocol Manual.* &lt;https://open.alberta.ca/dataset/71c53d7b-0802-4800-9f95-0520b64b63c2/resource/ee933caa-bfc7-4334-a4d0-6085ebf198e7/download/aep-aerial-ungulate-surveys-using-distance-sampling-2016.pdf&gt;</t>
  </si>
  <si>
    <t>Alberta Environment and Parks, 2016</t>
  </si>
  <si>
    <t>aep_2016</t>
  </si>
  <si>
    <t>https://doi.org/10.1111/1365-2656.13085</t>
  </si>
  <si>
    <t>Abolaffio, M., Focardi, S., &amp; Santini, G. (2019). Avoiding misleading messages: Population assessment using camera trapping is not a simple task. *Journal of Animal Ecology, 88*(12), 2011-2016. Medline. &lt;https://doi.org/10.1111/1365-2656.13085&gt;</t>
  </si>
  <si>
    <t xml:space="preserve">Abolaffio, Focardi &amp; Santini, 2019 </t>
  </si>
  <si>
    <t>Abolaffio et al, 2019</t>
  </si>
  <si>
    <t>abolaffio_et_al_2019</t>
  </si>
  <si>
    <t>https://abmi.ca/home/publications/551-600/599</t>
  </si>
  <si>
    <t>Alberta Biodiversity Monitoring Institute [ABMI] (2021). *Terrestrial ARU and Remote Camera Trap Protocols.* Edmonton, Alberta. &lt;https://abmi.ca/home/publications/551-600/599&gt;</t>
  </si>
  <si>
    <t>Alberta Biodiversity Monitoring Institute [ABMI], 2021</t>
  </si>
  <si>
    <t>abmi_2021</t>
  </si>
  <si>
    <t>url2</t>
  </si>
  <si>
    <t>url</t>
  </si>
  <si>
    <t>refbib_html</t>
  </si>
  <si>
    <t>sub_bib</t>
  </si>
  <si>
    <t>sub_intext</t>
  </si>
  <si>
    <t>bib_code</t>
  </si>
  <si>
    <t>intext_code</t>
  </si>
  <si>
    <t>ref_bib</t>
  </si>
  <si>
    <t>ref_intext2</t>
  </si>
  <si>
    <t>ref_intext</t>
  </si>
  <si>
    <t>bib</t>
  </si>
  <si>
    <t>rctool</t>
  </si>
  <si>
    <t>meta</t>
  </si>
  <si>
    <t>new</t>
  </si>
  <si>
    <t>Brooks, M., Bolker, B., Kristensen, K., Maechler, M., Magnusson, A., Skaug, H., Nielsen, A., Berg, C., &amp; Van Bentham, K. (2017).*glmmTMB: Generalized Linear Mixed Models using Template Model Builder.* R package version 1.1.10. &lt;https://doi.org/10.32614/CRAN.package.glmmTMB&gt;</t>
  </si>
  <si>
    <t>Brooks et al., 2017</t>
  </si>
  <si>
    <r>
      <t>CREEM Mural (N.D.) *Spatial Capture-Recapture* &lt;</t>
    </r>
    <r>
      <rPr>
        <sz val="12"/>
        <color theme="1"/>
        <rFont val="Calibri"/>
        <family val="2"/>
      </rPr>
      <t>https://creemmural.org/secr.html</t>
    </r>
    <r>
      <rPr>
        <u/>
        <sz val="12"/>
        <color rgb="FF365F91"/>
        <rFont val="Calibri"/>
        <family val="2"/>
      </rPr>
      <t>&gt;</t>
    </r>
  </si>
  <si>
    <t>CREEM Mural, N.D.</t>
  </si>
  <si>
    <t>{{ header_</t>
  </si>
  <si>
    <t>h_how_relate_study_design</t>
  </si>
  <si>
    <t>h_how_does_it_work</t>
  </si>
  <si>
    <t>h_why_does_it_matter</t>
  </si>
  <si>
    <t>lookup_from_text</t>
  </si>
  <si>
    <t>lookup_from_key</t>
  </si>
  <si>
    <t>XX</t>
  </si>
  <si>
    <t>Zuur, A. K., Ieno, E. N., &amp; Smith, G. M. (2007). Generalised linear modelling. In, M. Gail, K. Krickeberg, J. Samet, A. Tsiatis, &amp; W. Wong (Eds.), &lt;i&gt;Analysing Ecological Data&lt;/i&gt; (pp 79-96). Springer. &lt;a target="_blank" href="https://doi.org/10.1111/j.1751-5823.2007.00030_17.x"&gt;{https://doi.org/10.1111/j.1751-5823.2007.00030_17.x}</t>
  </si>
  <si>
    <r>
      <t>Snow Leopard Network. (2020b, Aug 2).*PAWS: Spatial Capture Recapture Data Analysis Part 2.*</t>
    </r>
    <r>
      <rPr>
        <sz val="12"/>
        <color rgb="FF000000"/>
        <rFont val="Calibri"/>
        <family val="2"/>
      </rPr>
      <t xml:space="preserve"> [Video]. YouTube. &lt;https://www.youtube.com/watch?v=IHVez1a_hqg&amp;t=2675s&gt;</t>
    </r>
  </si>
  <si>
    <t>Ausband, D. E., Lukacs, P. M., Hurley, M., Roberts, S., Strickfaden, K., &amp; Moeller, A. K. (2022). Estimating Wolf Abundance from Cameras. *Ecosphere, 13*(2), e3933. &lt;https://doi.org/10.1002/ecs2.3933&gt;</t>
  </si>
  <si>
    <t>Cao, A. (2021, Jun 14) *Hurdle models.* [Video]. YouTube. &lt;https://www.youtube.com/watch?v=q2NRQBcihQY&gt;</t>
  </si>
  <si>
    <t>DE-CTR ACCEL (2016, Dec 21) *Using Hurdle Models to Analyze Zero-Inflated Count Data.* [Video]. YouTube. &lt;https://www.youtube.com/watch?v=CvM6j8hE8lE&gt;</t>
  </si>
  <si>
    <t>Jackman, (2024). *R package ’Pscl’*. R package version 1.5.9. &lt;https://cran.r-project.org/web/packages/pscl/index.html&gt;</t>
  </si>
  <si>
    <t>Lukacs, P. M. (2021, Oct 26).*Animal Abundance from Camera Data:Pipe Dream to Main Stream.* Presented at the FCFC Seminar. &lt;https://umontana.zoom.us/rec/play/eY6_CAjDNUjCAfFrmRvJH8NtrL4J38I46T5idY4gO3i1YHqxBnDUrDeufvgAps-D-aFJFJ_F9AMuE6k.VjerQ5kRpa5HsybV&gt;</t>
  </si>
  <si>
    <t>Moeller, A. K.,&amp; Lukacs, P. M. (2021) spaceNtime: an R package for estimating abundance of unmarked animals using camera-trap photographs. *Mammalian Biology, 102*, 581-590. &lt;https://doi.org/10.1007/s42991-021-00181-8&gt;</t>
  </si>
  <si>
    <t>Palencia, P. &amp; Project ENETWILD (2022, May 19). *Camera Trap Methods for Density Estimation.* [Video]. YouTube. &lt;https://www.youtube.com/watch?v=NUW4oLGeQwk&gt;</t>
  </si>
  <si>
    <t>Styring, A. (2020b, Jun 22). *Generating a species accumulation plot in excel for BBS data.* [Video]. YouTube. &lt;https://www.youtube.com/watch?reload=9&amp;app=desktop&amp;v=OEWdPm3zg9I&gt;</t>
  </si>
  <si>
    <t>Villette, P., Krebs, C. J., Jung, T. S., &amp; Boonstra, R. (2016). Can camera trapping provide accurate estimates of small mammal (*Myodes rutilus* and *Peromyscus maniculatus* density in the boreal forest? *Journal of Mammalogy, 97*(1), 32-40. &lt;https://doi.org/10.1093/jmammal/gyv150&gt;</t>
  </si>
  <si>
    <t>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t>
  </si>
  <si>
    <t>Gimenez, O. (2020a). &lt;i&gt;Bias in single-season occupancy models.&lt;/i&gt; &lt;a target="_blank" href="https://ecologicalstatistics.shinyapps.io/bias_occupancy; "&gt;{https://ecologicalstatistics.shinyapps.io/bias_occupancy; }</t>
  </si>
  <si>
    <t>Gimenez, O. (2020b). &lt;i&gt;Bias in occupancy estimate for a static model.&lt;/i&gt; &lt;a target="_blank" href="https://github.com/oliviergimenez/bias_occupancy"&gt;{https://github.com/oliviergimenez/bias_occupancy}</t>
  </si>
  <si>
    <t>Gimenez, O. (2023, May 16). &lt;i&gt;Workshop on estimating (wolf) occupancy with R&lt;/i&gt; [Video]. YouTube. &lt;a target="_blank" href="https://www.youtube.com/watch?v=rpjVrFI_dr8"&gt;{https://www.youtube.com/watch?v=rpjVrFI_dr8}</t>
  </si>
  <si>
    <t>Glen, A. S., Cockburn, S., Nichols, M., Ekanayake, J., &amp; Warburton, B. (2013) Optimising Camera Traps for Monitoring Small Mammals. &lt;i&gt;PloS one, 8&lt;/i&gt;(6), Article e67940. &lt;a target="_blank" href="https://doi.org/10.1371/journal.pone.0067940"&gt;{https://doi.org/10.1371/journal.pone.0067940}</t>
  </si>
  <si>
    <t>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t>
  </si>
  <si>
    <t>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t>
  </si>
  <si>
    <t>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t>
  </si>
  <si>
    <t>Gotelli, N., &amp; Colwell, R. (2001). Quantifying biodiversity: procedures and pitfalls in the measurement and comparison of species richness. &lt;i&gt;Ecology Letters, 4&lt;/i&gt;, 379-391. &lt;a target="_blank" href="https://doi.org/10.1046/j.1461-0248.2001.00230.x"&gt;{https://doi.org/10.1046/j.1461-0248.2001.00230.x}</t>
  </si>
  <si>
    <t>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t>
  </si>
  <si>
    <t>Government of Alberta (2023a) &lt;i&gt;LAT Overview.&lt;/i&gt; Edmonton, Alberta. &lt;a target="_blank" href="https://www.alberta.ca/lat-overview.aspx"&gt;{https://www.alberta.ca/lat-overview.aspx}</t>
  </si>
  <si>
    <t>Government of Alberta (2023b) &lt;i&gt;Proponent-led Indigenous consultations.&lt;/i&gt; Edmonton, Alberta. &lt;a target="_blank" href="https://www.alberta.ca/proponent-led-indigenous-consultations.aspx"&gt;{https://www.alberta.ca/proponent-led-indigenous-consultations.aspx}</t>
  </si>
  <si>
    <t>Granados, A. (2021). &lt;i&gt;WildCAM Guide to Camera Trap Set Up. &lt;/i&gt; WildCAM. &lt;a target="_blank" href="https://wildcams.ca/site/assets/files/1148/wildcam_guide_to_camera_trap_set_up_feb2021.pdf"&gt;{https://wildcams.ca/site/assets/files/1148/wildcam_guide_to_camera_trap_set_up_feb2021.pdf}</t>
  </si>
  <si>
    <t>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t>
  </si>
  <si>
    <t>Greenberg, S. (2018). &lt;i&gt;Timelapse: An Image Analyser for Camera Traps.&lt;/i&gt; University of Calgary. &lt;a target="_blank" href="https://saul.cpsc.ucalgary.ca/timelapse/pmwiki.php?n=Main.Download2./"&gt;{https://saul.cpsc.ucalgary.ca/timelapse/pmwiki.php?n=Main.Download2./}</t>
  </si>
  <si>
    <t>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t>
  </si>
  <si>
    <t>Guillera‐Arroita, G. (2017). Modelling of species distributions, range dynamics and communities under imperfect detection: Advances, challenges and opportunities. &lt;i&gt;Ecography, 40&lt;/i&gt;(2), 281-295. &lt;a target="_blank" href="https://doi.org/10.1111/ecog.02445"&gt;{https://doi.org/10.1111/ecog.02445}</t>
  </si>
  <si>
    <t>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t>
  </si>
  <si>
    <t>Guillera-Arroita, G., Ridout, M. S., &amp; Morgan, B. J. T. (2010). Design of Occupancy Studies with Imperfect Detection. &lt;i&gt;Methods in Ecology and Evolution, 1&lt;/i&gt;, 131-139. &lt;a target="_blank" href="https://doi.org/10.1111/j.2041-210X.2010.00017.x"&gt;{https://doi.org/10.1111/j.2041-210X.2010.00017.x}</t>
  </si>
  <si>
    <t>Hall, K. W., Cooper, J. K., &amp; Lawton, D. C. (2008). GPS accuracy: Hand-held versus RTK. &lt;i&gt;CREWES Research Report, 20&lt;/i&gt;. &lt;a target="_blank" href="https://www.crewes.org/Documents/ResearchReports/2008/2008-15.pdf"&gt;{https://www.crewes.org/Documents/ResearchReports/2008/2008-15.pdf}</t>
  </si>
  <si>
    <t>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t>
  </si>
  <si>
    <t>Hartig, F. (2019). &lt;i&gt;DHARMa: Residual Diagnostics for Hierarchical (Multi-Level/Mixed) Regression Models.&lt;/i&gt; R package version 0.2.2, &lt;a target="_blank" href="https://CRAN.R-project.org/package=DHARMa"&gt;{https://CRAN.R-project.org/package=DHARMa}</t>
  </si>
  <si>
    <t>Haucke, T., Kühl, H. S., Hoyer, J., &amp; Steinhage, V. (2022). Overcoming the distance estimation bottleneck in estimating animal abundance with camera traps. &lt;i&gt;Ecological Informatics, 68&lt;/i&gt;, 101536. &lt;a target="_blank" href="https://doi.org/10.1016/j.ecoinf.2021.101536"&gt;{https://doi.org/10.1016/j.ecoinf.2021.101536}</t>
  </si>
  <si>
    <t>Heilbron, D. C. (1994). Zero-Altered and other Regression Models for Count Data with Added Zeros. &lt;i&gt;Biometrical Journal, 36&lt;/i&gt;(5), 531-547. &lt;a target="_blank" href="https://doi.org/https://doi.org/10.1002/bimj.4710360505"&gt;{https://doi.org/https://doi.org/10.1002/bimj.4710360505}</t>
  </si>
  <si>
    <t>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t>
  </si>
  <si>
    <t>Hines, J. E. (2006). &lt;i&gt;PRESENCE - Software to estimate patch occupancy and related parameters.&lt;/i&gt; &lt;a target="_blank" href="https://www.mbr-pwrc.usgs.gov/software/presence.html."&gt;{https://www.mbr-pwrc.usgs.gov/software/presence.html.}</t>
  </si>
  <si>
    <t>Hoeks, S., Tucker, M., &amp; Broekman, M. (2024). &lt;i&gt;HomeRange&lt;/i&gt; &lt;a target="_blank" href="https://github.com/SHoeks/HomeRange"&gt;{https://github.com/SHoeks/HomeRange}</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</si>
  <si>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t>
  </si>
  <si>
    <t>Hofmeester, T. R., Rowcliffe, J. M., Jansen, P. A., Williams, R., &amp; Kelly, N. (2017). A simple method for estimating the effective detection distance of camera traps. &lt;i&gt;Remote Sensing in Ecology and Conservation, 3&lt;/i&gt;(2), 81-89. &lt;a target="_blank" href="https://doi.org/10.1002/rse2.25"&gt;{https://doi.org/10.1002/rse2.25}</t>
  </si>
  <si>
    <t>Holinda, D., Burgar, J. M., &amp; Burton, A. C. (2020). Effects of scent lure on camera trap detections vary across mammalian predator and prey species. &lt;i&gt;PLoS One, 15&lt;/i&gt;(5), e0229055. &lt;a target="_blank" href="https://doi.org/10.1371/journal.pone.0229055"&gt;{https://doi.org/10.1371/journal.pone.0229055}</t>
  </si>
  <si>
    <t>Howe, E. J., Buckland, S. T., Després-Einspenner, M. -L., &amp; Kühl, H. S. (2017). Distance sampling with camera traps. &lt;i&gt;Methods in Ecology and Evolution, 8&lt;/i&gt;(11), 1558-1565. &lt;a target="_blank" href="https://doi.org/https://doi.org/10.1111/2041-210X.12790"&gt;{https://doi.org/https://doi.org/10.1111/2041-210X.12790}</t>
  </si>
  <si>
    <t>Hsieh, T. C., Ma, K. H., &amp; Chao, A. (2015). &lt;i&gt;iNEXT: Interpolation and Extrapolation for Species Diversity&lt;/i&gt;. R package version 2.6-6.1. &lt;a target="_blank" href="https://doi.org/10.32614/CRAN.package.iNEXT"&gt;{https://doi.org/10.32614/CRAN.package.iNEXT}</t>
  </si>
  <si>
    <t>Huggard, D. (2018). &lt;i&gt;Animal Density from Camera Data&lt;/i&gt;. Alberta Biodiversity Monitoring Institute. &lt;a target="_blank" href="https://www.abmi.ca/home/publications/501-550/516"&gt;{https://www.abmi.ca/home/publications/501-550/516}</t>
  </si>
  <si>
    <t>Hurlbert, S. (1984). Pseudoreplication and the design of ecological field experiments. &lt;i&gt;Ecological Monographs, 54&lt;/i&gt;(2), 187-211. &lt;a target="_blank" href="https://doi.org/10.2307/1942661"&gt;{https://doi.org/10.2307/1942661}</t>
  </si>
  <si>
    <t>Iannarilli, F., Erb, J., Arnold, T. W., &amp; Fieberg, J. R. (2021). Evaluating species-specific responses to camera-trap Survey designs. &lt;i&gt;Wildlife Biology&lt;i&gt;, &lt;i&gt;2021&lt;/i&gt;(1). &lt;a target="_blank" href="https://doi.org/10.2981/wlb.00726"&gt;{https://doi.org/10.2981/wlb.00726}</t>
  </si>
  <si>
    <t>Iijima, H. (2020). A Review of Wildlife Abundance Estimation Models: Comparison of Models for Correct Application. &lt;i&gt;Mammal Study, 45&lt;/i&gt;(3), 177. &lt;a target="_blank" href="https://doi.org/10.3106/ms2019-0082"&gt;{https://doi.org/10.3106/ms2019-0082}</t>
  </si>
  <si>
    <t>Iknayan, K. J., Tingley, M. W., Furnas, B. J., &amp; Beissinger, S. R. (2014). Detecting Diversity: Emerging Methods to Estimate Species Diversity. &lt;i&gt;Trends in Ecology &amp; Evolution, 29&lt;/i&gt;(2), 97-106. &lt;a target="_blank" href="https://doi.org/10.1016/j.tree.2013.10.012"&gt;{https://doi.org/10.1016/j.tree.2013.10.012}</t>
  </si>
  <si>
    <t>Jackman, (2024). &lt;i&gt;R package ’Pscl’&lt;/i&gt;. R package version 1.5.9. &lt;a target="_blank" href="https://cran.r-project.org/web/packages/pscl/index.html"&gt;{https://cran.r-project.org/web/packages/pscl/index.html}</t>
  </si>
  <si>
    <t>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t>
  </si>
  <si>
    <t>Jennrich, R. I., &amp; Turner, F. B. (1969). Measurement of non-circular home range. &lt;i&gt;Journal of Theoretical Biology, 22&lt;/i&gt;(2), 227-237. &lt;a target="_blank" href="https://doi.org/https://doi.org/10.1016/0022-5193(69)90002-2"&gt;{https://doi.org/https://doi.org/10.1016/0022-5193(69)90002-2}</t>
  </si>
  <si>
    <t>Jenny, D. (1996). Spatial organization of leopards Panthera pardus in Taï National Park, Ivory Coast: Is rainforest habitat a ‘tropical haven’? &lt;i&gt;Journal of Zoology, 240&lt;/i&gt;(3), 427-440. &lt;a target="_blank" href="https://doi.org/10.1111/j.1469-7998.1996.tb05296.x"&gt;{https://doi.org/10.1111/j.1469-7998.1996.tb05296.x}</t>
  </si>
  <si>
    <t>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t>
  </si>
  <si>
    <t>Jiménez, J., C. Augustine, B., Linden, D. W., B. Chandler, R., &amp; Royle, J. A. (2021). Spatial capture-recapture with random thinning for unidentified encounters. &lt;i&gt;Ecology and Evolution, 11&lt;/i&gt;, 1187-1198. &lt;a target="_blank" href="https://doi.org/10.1002/ece3.7091"&gt;{https://doi.org/10.1002/ece3.7091}</t>
  </si>
  <si>
    <t>JNCC (2022, Mar 29). &lt;i&gt;Introduction to Distance Sampling Video 1&lt;/i&gt; [Video]. YouTube. &lt;a target="_blank" href="https://www.youtube.com/watch?v=u8crevEd3yI"&gt;{https://www.youtube.com/watch?v=u8crevEd3yI}</t>
  </si>
  <si>
    <t>Johanns, P, Haucke, T., &amp; Steinhage, V. (2022) Automated Distance Estimation and Animal Tracking for Wildlife Camera Trapping. &lt;i&gt;Ecological Informatics, 70,&lt;/i&gt; arXiv:2202. 04613. &lt;a target="_blank" href="https://doi.org/10.48550/arXiv.2202.04613"&gt;{https://doi.org/10.48550/arXiv.2202.04613}</t>
  </si>
  <si>
    <t>Johnson, D. H. (1980). The Comparison of Usage and Availability Measurements for Evaluating Resource Preference. &lt;i&gt;Ecology, 61&lt;/i&gt;(1), 65-71. &lt;a target="_blank" href="https://doi.org/10.2307/1937156"&gt;{https://doi.org/10.2307/1937156}</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</si>
  <si>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t>
  </si>
  <si>
    <t>Junker, J., Kühl, H., Orth, L., Smith, R., Petrovan, S., &amp; Sutherland, W. (2021). &lt;i&gt;7. Primate Conservation.&lt;/i&gt; (pp. 435-486). &lt;a target="_blank" href="https://doi.org/10.11647/obp.0267.07"&gt;{https://doi.org/10.11647/obp.0267.07}</t>
  </si>
  <si>
    <t>Karanth, K. U. (1995). Estimating tiger Panthera tigris populations from camera-trap data using capture-recapture models. &lt;i&gt;Biological Conservation, 71&lt;/i&gt;(3), 333-338. &lt;a target="_blank" href="https://doi.org/10.1016/0006-3207(94)00057-W"&gt;{https://doi.org/10.1016/0006-3207(94)00057-W}</t>
  </si>
  <si>
    <t>Karanth, K. U., &amp; Nichols, J. D. (1998). Estimation of tiger densities in India using photographic captures and recaptures. &lt;i&gt;Ecology&lt;i&gt;, &lt;i&gt;79&lt;/i&gt;(8), 2852-2862. &lt;a target="_blank" href="https://doi.org/10.1890/0012-9658(1998)079[2852:EOTDII]2.0.CO;2"&gt;{https://doi.org/10.1890/0012-9658(1998)079[2852:EOTDII]2.0.CO;2}</t>
  </si>
  <si>
    <t>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t>
  </si>
  <si>
    <t>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t>
  </si>
  <si>
    <t>Kavčić, K., Palencia, P., Apollonio, M., Vicente, J., &amp; Šprem, N. (2021). Random encounter model to estimate density of mountain-dwelling ungulate. &lt;i&gt;European Journal of Wildlife Research, 67&lt;/i&gt;(5), 87. &lt;a target="_blank" href="https://doi.org/10.1007/s10344-021-01530-1"&gt;{https://doi.org/10.1007/s10344-021-01530-1}</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</si>
  <si>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t>
  </si>
  <si>
    <t>Kays, R., Hody, A., Jachowski, D. S., &amp; Parsons, A. W. (2021). Empirical Evaluation of the Spatial Scale and Detection Process of Camera Trap Surveys. &lt;i&gt;Movement Ecology, 9&lt;/i&gt;, 41. &lt;a target="_blank" href="https://doi.org/10.1186/s40462-021-00277-3."&gt;{https://doi.org/10.1186/s40462-021-00277-3.}</t>
  </si>
  <si>
    <t>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t>
  </si>
  <si>
    <t>Kays, R., Tilak, S., Kranstauber, B., Jansen, P. A., Carbone, C., Rowcliffe, M. J., &amp; He, Z. (2010). Monitoring wild animal communities with arrays of motion sensitive camera traps. &lt;i&gt;arXiv Preprint&lt;/i&gt;, arXiv:1009. 5718. &lt;a target="_blank" href="https://arxiv.org/pdf/1009.5718"&gt;{https://arxiv.org/pdf/1009.5718}</t>
  </si>
  <si>
    <t>Keim, J. L., DeWitt, P. D., &amp; Lele, S. R. (2011). Predators choose prey over prey habitats: Evidence from a lynx-hare system. &lt;i&gt;Ecological Applications&lt;i&gt;, &lt;i&gt;21&lt;/i&gt;(4), 1011-1016. &lt;a target="_blank" href="https://doi.org/10.1890/10-0949.1"&gt;{https://doi.org/10.1890/10-0949.1}</t>
  </si>
  <si>
    <t>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t>
  </si>
  <si>
    <t>Keim, J. L., Lele, S. R., DeWitt, P. D., Fitzpatrick, J. J., Jenni, N. S. (2019). Estimating the intensity of use by interacting predators and prey using camera traps. &lt;i&gt;Journal of Animal Ecology, 88&lt;/i&gt;, 690-701. &lt;a target="_blank" href="https://doi.org/10.1111/1365-2656.12960"&gt;{https://doi.org/10.1111/1365-2656.12960}</t>
  </si>
  <si>
    <t>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t>
  </si>
  <si>
    <t>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t>
  </si>
  <si>
    <t>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t>
  </si>
  <si>
    <t>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t>
  </si>
  <si>
    <t>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t>
  </si>
  <si>
    <t>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t>
  </si>
  <si>
    <t>Kleiber, C., &amp; Zeileis, A. (2016). Visualizing Count Data Regressions Using Rootograms. &lt;i&gt;The American Statistician, 70&lt;/i&gt;(3), 296-303. &lt;a target="_blank" href="https://doi.org/10.1080/00031305.2016.1173590"&gt;{https://doi.org/10.1080/00031305.2016.1173590}</t>
  </si>
  <si>
    <t>Krebs, C. J., Boonstra, R., Gilbert, S., Reid, D., Kenney, A. J., Hofer, E. J., &amp; an Vuren, D. H. (2011). Density estimation for small mammals from livetrapping grids: rodents in northern Canada. &lt;i&gt;Journal of Mammalogy, 92&lt;/i&gt;(5), 974-981. &lt;a target="_blank" href="https://doi.org/10.1644/10-M"&gt;{https://doi.org/10.1644/10-M}</t>
  </si>
  <si>
    <t>Krebs, C. J., Gilbert, B. S., Boutin, S., &amp; Boonstra, R. (1987). Estimation of snowshoe hare population density from turd transects. &lt;i&gt;Canadian Journal of Zoology, 65&lt;/i&gt;(3), 565-567. &lt;a target="_blank" href="https://doi.org/10.1139/z87-087"&gt;{https://doi.org/10.1139/z87-087}</t>
  </si>
  <si>
    <t>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t>
  </si>
  <si>
    <t>Kucera, T. E., &amp; R. H. Barrett. (2011). A History of Camera Trapping. In A. F. O'Connell, J. D. Nichols, &amp; K. U. Karanth (Eds.), &lt;i&gt;Camera Traps In Animal Ecology: Methods and Analyses&lt;/i&gt; (pp. 9-26). Springer. &lt;a target="_blank" href="https://doi.org/10.1007/978-4-431-99495-4_6"&gt;{https://doi.org/10.1007/978-4-431-99495-4_6}</t>
  </si>
  <si>
    <t>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t>
  </si>
  <si>
    <t>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t>
  </si>
  <si>
    <t>LaBarbera, M. (2003). Analyzing Body Size as a Factor in Ecology and Evolution. &lt;i&gt;Annual Review of Ecology and Systematics, 20&lt;/i&gt;(1), 97-117. &lt;a target="_blank" href="https://doi.org/10.1146/annurev.es.20.110189.000525"&gt;{https://doi.org/10.1146/annurev.es.20.110189.000525}</t>
  </si>
  <si>
    <t>Ladd, R., Meek, P., &amp; Leung, L. K.-P. (2022). The influence of camera-trap flash type on the behavioural response, detection rate and individual recognition of Eld's deer. &lt;i&gt;Wildlife Research, 50&lt;/i&gt;(6), 475-483. &lt;a target="_blank" href="https://doi.org/10.1071/WR22055"&gt;{https://doi.org/10.1071/WR22055}</t>
  </si>
  <si>
    <t>Lahoz-Monfort, J. J., &amp; Magrath, M. J. L. (2021). A Comprehensive Overview of Technologies for Species and Habitat Monitoring and Conservation. &lt;i&gt;Bioscience, 71&lt;/i&gt;(10), 1038-1062. &lt;a target="_blank" href="https://doi.org/10.1093/biosci/biab073"&gt;{https://doi.org/10.1093/biosci/biab073}</t>
  </si>
  <si>
    <t>Lambert, D. (1992). Zero-Inflated Poisson Regression, with an application to Defects in Manufacturing. &lt;i&gt;Technometrics, 34&lt;/i&gt;(1), 1-14. &lt;a target="_blank" href="https://doi.org/10.2307/1269547"&gt;{https://doi.org/10.2307/1269547}</t>
  </si>
  <si>
    <t>Lazenby, B. T., Mooney, N. J., &amp; Dickman, C. R. (2015). Detecting species interactions using remote cameras: Effects on small mammals of predators, conspecifics, and climate. &lt;i&gt;Ecosphere, 6&lt;/i&gt;(12), 1-18. &lt;a target="_blank" href="https://doi.org/10.1890/ES14-00522.1"&gt;{https://doi.org/10.1890/ES14-00522.1}</t>
  </si>
  <si>
    <t>Le Cren, E. D. (1965). A Note on the History of Mark-Recapture Population Estimates. &lt;i&gt;The Journal of Animal Ecology, 34&lt;/i&gt;(2),453-54. &lt;a target="_blank" href="https://doi.org/10.2307/2661"&gt;{https://doi.org/10.2307/2661}</t>
  </si>
  <si>
    <t>Lele, S. R., Merrill, E. H., Keim, J., &amp; Boyce, M. S. (2013). Selection, use, choice and occupancy: Clarifying concepts in resource selection studies. &lt;i&gt;Journal of Animal Ecology, 82&lt;/i&gt;(6), 1183-1191. &lt;a target="_blank" href="https://doi.org/10.1111/1365-2656.12141"&gt;{https://doi.org/10.1111/1365-2656.12141}</t>
  </si>
  <si>
    <t>Leroy, B. (2023). &lt;i&gt;Package ‘Rarity’: Calculation of Rarity Indices for Species and Assemblages of Species.&lt;/i&gt; R package version 1.3-8, &lt;a target="_blank" href="https://cran.r-project.org/web/packages/Rarity/"&gt;{https://cran.r-project.org/web/packages/Rarity/}</t>
  </si>
  <si>
    <t>Leroy, B. (2024). &lt;i&gt;Rarity Indices.&lt;/i&gt; &lt;a target="_blank" href="https://borisleroy.com/en/research/rarity-indices/"&gt;{https://borisleroy.com/en/research/rarity-indices/}</t>
  </si>
  <si>
    <t>Levitis, D. A., Lidicker, W. Z., &amp; Freund, G. (2009). Behavioural biologists don't agree on what constitutes behaviour. &lt;i&gt;Animal Behaviour, 78&lt;/i&gt;(1), 103-110. &lt;a target="_blank" href="https://doi.org/10.1016/j.anbehav.2009.03.018"&gt;{https://doi.org/10.1016/j.anbehav.2009.03.018}</t>
  </si>
  <si>
    <t>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t>
  </si>
  <si>
    <t>Linden, D. W., Fuller, A. K., Royle, J. A., &amp; Hare, M. P. (2017). Examining the occupancy-Density relationship for a low‐Density carnivore. &lt;i&gt;Journal of Applied Ecology, 54&lt;/i&gt;(6), 2043-2052. &lt;a target="_blank" href="https://doi.org/10.1111/1365-2664.12883"&gt;{https://doi.org/10.1111/1365-2664.12883}</t>
  </si>
  <si>
    <t>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t>
  </si>
  <si>
    <t>Loonam, K. E., Ausband, D. E., Lukacs, P. M., Mitchell, M. S., &amp; Robinson, H. S. (2021a). Estimating Abundance of an Unmarked, Low‐Density Species using Cameras. &lt;i&gt;The Journal of Wildlife Management, 85&lt;/i&gt;(1), 87-96. &lt;a target="_blank" href="https://doi.org/10.1002/jwmg.21950"&gt;{https://doi.org/10.1002/jwmg.21950}</t>
  </si>
  <si>
    <t>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t>
  </si>
  <si>
    <t>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t>
  </si>
  <si>
    <t>Lynch, T. P., Alderman, R., &amp; Hobday, A. J. (2015). A high-resolution panorama camera system for monitoring colony-wide seabird nesting behaviour. &lt;i&gt;Methods in Ecology and Evolution, 6&lt;/i&gt;(5), 491-499. &lt;a target="_blank" href="https://doi.org/10.1111/2041-210X.12339"&gt;{https://doi.org/10.1111/2041-210X.12339}</t>
  </si>
  <si>
    <t>MacKenzie, D. I., &amp; Kendall, W. L. (2002) How Should Detection Probability Be Incorporated into Estimates of Relative Abundance? &lt;i&gt;Ecology, 83&lt;/i&gt;(9), 2387-93. &lt;a target="_blank" href="https://doi.org/10.1890/0012-9658(2002)083[2387:HSDPBI]2.0.CO;2"&gt;{https://doi.org/10.1890/0012-9658(2002)083[2387:HSDPBI]2.0.CO;2}</t>
  </si>
  <si>
    <t>Mackenzie, D. I., &amp; Royle, J. A. (2005). Designing occupancy studies: general advice and allocating Survey effort. &lt;i&gt;Journal of Applied Ecology, 42&lt;/i&gt;, 1105-1114. &lt;a target="_blank" href="https://doi.org/10.1111/j.1365-2664.2005.01098.x"&gt;{https://doi.org/10.1111/j.1365-2664.2005.01098.x}</t>
  </si>
  <si>
    <t>MacKenzie, D. I., Bailey, L. L., &amp; Nichols, J. D. (2004). Investigating Species Co-Occurrence Patterns When Species Are Detected Imperfectly. &lt;i&gt;Journal of Animal Ecology, 73&lt;/i&gt;(3), 546-555. &lt;a target="_blank" href="https://doi.org/10.1111/j.0021-8790.2004.00828.x"&gt;{https://doi.org/10.1111/j.0021-8790.2004.00828.x}</t>
  </si>
  <si>
    <t>MacKenzie, D. I., Nichols, J. D., Hines, J. E., Knutson, M. G., &amp; Franklin, A. B. (2003). Estimating site occupancy, colonization, and local extinction when a species is detected imperfectly. &lt;i&gt;Ecology, 84&lt;/i&gt;(8), 2200-2207. &lt;a target="_blank" href="https://doi.org/10.1890/02-3090"&gt;{https://doi.org/10.1890/02-3090}</t>
  </si>
  <si>
    <t>MacKenzie, D. I., Nichols, J. D., Lachman, G. B., Droege, S., Royle, J. A., &amp; Langtimm, C. A. (2002). Estimating Site Occupancy Rates When Detection Probabilities Are Less Than One. &lt;i&gt;Ecology, 83&lt;/i&gt;(8), 2248-2255. &lt;a target="_blank" href="https://doi.org/10.2307/3072056"&gt;{https://doi.org/10.2307/3072056}</t>
  </si>
  <si>
    <t>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t>
  </si>
  <si>
    <t>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t>
  </si>
  <si>
    <t>Maffei, L., &amp; Noss, A. J. (2008). How Small Is Too Small? Camera Trap Survey Areas and Density Estimates for Ocelots in the Bolivian Chaco. &lt;i&gt;Biotropica, 40&lt;/i&gt;(1), 71-75. &lt;a target="_blank" href="https://doi.org/10.1111/j.1744-7429.2007.00341.x"&gt;{https://doi.org/10.1111/j.1744-7429.2007.00341.x}</t>
  </si>
  <si>
    <t>Manly, B. F. J., McDonald, L. L., &amp; Thomas, D. L. (1993). &lt;i&gt;Resource Selection by Animals: Statistical Design and Analysis for Field Studies.&lt;/i&gt; Chapman &amp; Hall, London, p. 177. &lt;a target="_blank" href="https://doi.org/10.1007/0-306-48151-0"&gt;{https://doi.org/10.1007/0-306-48151-0}</t>
  </si>
  <si>
    <t>MarinStatsLectures-R Programming &amp; Statistics (2020a, Mar 17). &lt;i&gt;Poisson Regression Review.&lt;/i&gt; [Video]. YouTube. &lt;a target="_blank" href="https://www.youtube.com/watch?v=A8H6gc9Eq0w"&gt;{https://www.youtube.com/watch?v=A8H6gc9Eq0w}</t>
  </si>
  <si>
    <t>MarinStatsLectures-R Programming &amp; Statistics (2020b, Mar 17). &lt;i&gt;Poisson Regression: Zero Inflation (Excessive Zeros).&lt;/i&gt; [Video]. YouTube. &lt;a target="_blank" href="https://www.youtube.com/watch?v=eIY--zc5f24"&gt;{https://www.youtube.com/watch?v=eIY--zc5f24}</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</si>
  <si>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t>
  </si>
  <si>
    <t>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t>
  </si>
  <si>
    <t>McClintock, B. T. (2015). multimark: An R package for analysis of capture-recapture data consisting of multiple 'noninvasive' marks. &lt;i&gt;Ecology and Evolution, 5&lt;/i&gt;(21), 4920-4931. &lt;a target="_blank" href="https://doi.org/10.1002/ece3.1676"&gt;{https://doi.org/10.1002/ece3.1676}</t>
  </si>
  <si>
    <t>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t>
  </si>
  <si>
    <t>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t>
  </si>
  <si>
    <t>McCullagh, P., &amp; Nelder, J. A. (1989). &lt;i&gt;Generalised Linear Models,&lt;/i&gt; 2nd edn. Chapman and Hall, London. &lt;a target="_blank" href="http://dx.doi.org/10.1007/978-1-4899-3242-6"&gt;{http://dx.doi.org/10.1007/978-1-4899-3242-6}</t>
  </si>
  <si>
    <t>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t>
  </si>
  <si>
    <t>McMurry, S., Moeller, A. K., Goerz, J., &amp; Robinson, H. S. (2023). Using space to event modeling to estimate density of multiple species in northeastern Washington. &lt;i&gt;Wildlife Society Bulletin, 47&lt;/i&gt;(1). &lt;a target="_blank" href="https://doi.org/10.1002/wsb.1390"&gt;{https://doi.org/10.1002/wsb.1390}</t>
  </si>
  <si>
    <t>McNeil, D. (n.d.). &lt;i&gt;Multi-season Occupancy Models&lt;/i&gt;. &lt;a target="_blank" href="https://darinjmcneil.weebly.com/multi-season-occupancy.html"&gt;{https://darinjmcneil.weebly.com/multi-season-occupancy.html}</t>
  </si>
  <si>
    <t>McShea, W. J., Forrester, T., Costello, R., He, Z., &amp; Kays, R. (2015). Volunteer-Run Cameras as Distributed Sensors for Macrosystem Mammal Research. &lt;i&gt;Landscape Ecology, 31,&lt;/i&gt; 1-13. &lt;a target="_blank" href="https://doi.org/10.1007/s10980-015-0262-9"&gt;{https://doi.org/10.1007/s10980-015-0262-9}</t>
  </si>
  <si>
    <t>mecks100 (2018, Feb 7). &lt;i&gt;Species accumulation and rarefaction curves&lt;/i&gt; [Video]. YouTube. &lt;a target="_blank" href="https://www.youtube.com/watch?v=4gcmAUpo9TU"&gt;{https://www.youtube.com/watch?v=4gcmAUpo9TU}</t>
  </si>
  <si>
    <t>Meek, P. D., Ballard, G. A., &amp; Falzon, G. (2016). The Higher You Go the Less You Will Know: Placing Camera Traps High to Avoid Theft Will Affect Detection. &lt;i&gt;Remote Sensing in Ecology and Conservation, 2&lt;/i&gt;(4), 204-211. &lt;a target="_blank" href="https://doi.org/10.1002/rse2.28"&gt;{https://doi.org/10.1002/rse2.28}</t>
  </si>
  <si>
    <t>Meek, P. D., Ballard, G. A., Fleming, P. J. S., Schaefer, M., Williams, W., &amp; Falzon, G. (2014a). Camera Traps Can Be Heard and Seen by Animals. &lt;i&gt;PLoS One&lt;i&gt;, &lt;i&gt;9&lt;/i&gt;(10), e110832. &lt;a target="_blank" href="https://doi.org/10.1371/journal.pone.0110832"&gt;{https://doi.org/10.1371/journal.pone.0110832}</t>
  </si>
  <si>
    <t>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t>
  </si>
  <si>
    <t>Mikkelä, A. (2024). &lt;i&gt;Probabilistic detection calculator (online application).&lt;i&gt; R shiny version v2. &lt;a target="_blank" href="https://detcal-shiny.2.rahtiapp.fi/"&gt;{https://detcal-shiny.2.rahtiapp.fi/}</t>
  </si>
  <si>
    <t>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t>
  </si>
  <si>
    <t>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t>
  </si>
  <si>
    <t>Moeller, A. K., Lukacs, P. M., &amp; Horne, J. S. (2018). Three Novel Methods to Estimate Abundance of Unmarked Animals using Remote Cameras. &lt;i&gt;Ecosphere, 9&lt;/i&gt;(8), Article e02331. &lt;a target="_blank" href="https://doi.org/10.1002/ecs2.2331"&gt;{https://doi.org/10.1002/ecs2.2331}</t>
  </si>
  <si>
    <t>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t>
  </si>
  <si>
    <t>Moeller, A. K.,&amp; Lukacs, P. M. (2021) spaceNtime: an R package for estimating abundance of unmarked animals using camera-trap photographs. &lt;i&gt;Mammalian Biology, 102&lt;/i&gt;, 581-590. &lt;a target="_blank" href="https://doi.org/10.1007/s42991-021-00181-8"&gt;{https://doi.org/10.1007/s42991-021-00181-8}</t>
  </si>
  <si>
    <t>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t>
  </si>
  <si>
    <t>Molloy, S. W. (2018). &lt;i&gt;A Practical Guide to Using Camera Traps for Wildlife Monitoring in Natural Resource Management Projects&lt;/i&gt;. &lt;a target="_blank" href="https://doi.org/10.13140/RG.2.2.28025.57449"&gt;{https://doi.org/10.13140/RG.2.2.28025.57449}</t>
  </si>
  <si>
    <t>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</si>
  <si>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t>
  </si>
  <si>
    <t>Morris, D. (2022). &lt;i&gt;Everything I know about machine learning and camera traps.&lt;/i&gt; &lt;a target="_blank" href="https://agentmorris.github.io/camera-trap-ml-Survey/"&gt;{https://agentmorris.github.io/camera-trap-ml-Survey/}</t>
  </si>
  <si>
    <t>Morrison, M. L., Block, W. M., Strickland, M. D., Collier, B. A. &amp; Peterson, M. J. (2008). &lt;i&gt;Wildlife Study Design&lt;/i&gt;. Springer, New York. &lt;a target="_blank" href="https://doi.org/10.1007/978-0-387-75528-1"&gt;{https://doi.org/10.1007/978-0-387-75528-1}</t>
  </si>
  <si>
    <t>Muhly, T. B., Semeniuk, C., Massolo, A., Hickman, L., &amp; Musiani, M. (2011). Human activity helps prey win the predator-prey space race. &lt;i&gt;PloS One, 6&lt;/i&gt;(3), e17050. &lt;a target="_blank" href="https://doi.org/10.1371/journal.pone.0017050"&gt;{https://doi.org/10.1371/journal.pone.0017050}</t>
  </si>
  <si>
    <t>Muhly, T., Serrouya, R., Neilson, E., Li, H., &amp; Boutin, S. (2015). Influence of In-Situ Oil Sands Development on Caribou (Rangifer tarandus) Movement. &lt;i&gt;PloS One, 10&lt;/i&gt;(9), e0136933. &lt;a target="_blank" href="https://doi.org/10.1371/journal.pone.0136933"&gt;{https://doi.org/10.1371/journal.pone.0136933}</t>
  </si>
  <si>
    <t>Mullahy, J. (1986). Specification and Testing of Some Modified Count Data Models. &lt;i&gt;Journal of Econometrics, 33&lt;/i&gt;(3), 341-365. &lt;a target="_blank" href="https://doi.org/10.1016/0304-4076(86)90002-3"&gt;{https://doi.org/10.1016/0304-4076(86)90002-3}</t>
  </si>
  <si>
    <t>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t>
  </si>
  <si>
    <t>Murray, M. H., Hill, J., Whyte, P., &amp; St Clair, C. C. (2016) Urban Compost Attracts Coyotes, Contains Toxins, and may Promote Disease in Urban-Adapted Wildlife. &lt;i&gt;EcoHealth, 13&lt;/i&gt;(2):285-92. &lt;a target="_blank" href="https://www.ncbi.nlm.nih.gov/pubmed/27106524"&gt;{https://www.ncbi.nlm.nih.gov/pubmed/27106524}</t>
  </si>
  <si>
    <t>Nakajima. (2021a, Jul 1). &lt;i&gt;Density Estimation with the REST Model.&lt;/i&gt; [Playlist]. YouTube. &lt;a target="_blank" href="https://www.youtube.com/playlist?list=PLNlLe3RjftYun9Xh2pJOAuisHaTVyEwAB"&gt;{https://www.youtube.com/playlist?list=PLNlLe3RjftYun9Xh2pJOAuisHaTVyEwAB}</t>
  </si>
  <si>
    <t>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t>
  </si>
  <si>
    <t>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t>
  </si>
  <si>
    <t>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t>
  </si>
  <si>
    <t>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t>
  </si>
  <si>
    <t>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t>
  </si>
  <si>
    <t>Natural Regions Committee. (2006). &lt;i&gt;Natural regions and subregions of Alberta&lt;/i&gt; (T/852; p. 264). Government of Alberta. &lt;a target="_blank" href="https://open.alberta.ca/publications/0778545725"&gt;{https://open.alberta.ca/publications/0778545725}</t>
  </si>
  <si>
    <t>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t>
  </si>
  <si>
    <t>Neilson, E. W., Avgar, T., Burton, A. C., Broadley, K., &amp; Boutin, S. (2018). Animal movement affects interpretation of occupancy models from camera‐trap Surveys of unmarked animals. &lt;i&gt;Ecosphere, 9&lt;/i&gt;(1). &lt;a target="_blank" href="https://doi.org/10.1002/ecs2.2092"&gt;{https://doi.org/10.1002/ecs2.2092}</t>
  </si>
  <si>
    <t>Newbold, H. G., &amp; King, C. M. (2009). Can a predator see invisible light? Infrared vision in ferrets (&lt;i&gt;Mustelo furo&lt;i&gt;). &lt;i&gt;Wildlife Research, 36&lt;/i&gt;(4), 309-318. &lt;a target="_blank" href="https://doi.org/10.1071/WR08083"&gt;{https://doi.org/10.1071/WR08083}</t>
  </si>
  <si>
    <t>Noon, B. R., Bailey, L. L., Sisk, T. D., &amp; McKelvey, K. S. (2012). Efficient Species-Level Monitoring at the Landscape Scale. &lt;i&gt;Conservation Biology, 26&lt;/i&gt;(3), 432-41. &lt;a target="_blank" href="https://doi.org/10.1111/j.1523-1739.2012.01855.x."&gt;{https://doi.org/10.1111/j.1523-1739.2012.01855.x.}</t>
  </si>
  <si>
    <t>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t>
  </si>
  <si>
    <t>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t>
  </si>
  <si>
    <t>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t>
  </si>
  <si>
    <t>Obbard, M. E., Howe, E. J., &amp; Kyle, C. J. (2010). Empirical Comparison of Density Estimators for Large Carnivores. &lt;i&gt;Journal of Applied Ecology, 47&lt;/i&gt;(1), 76-84. &lt;a target="_blank" href="https://doi.org/10.1111/j.1365-2664.2009.01758.x"&gt;{https://doi.org/10.1111/j.1365-2664.2009.01758.x}</t>
  </si>
  <si>
    <t>O'Brien, K. M. (2010). &lt;i&gt;Wildlife Picture Index: Implementation Manual Version 1. 0.&lt;/i&gt; WCS Working Paper No. 39. &lt;a target="_blank" href="https://library.wcs.org/doi/ctl/view/mid/33065/pubid/DMX534800000.aspx"&gt;{https://library.wcs.org/doi/ctl/view/mid/33065/pubid/DMX534800000.aspx}</t>
  </si>
  <si>
    <t>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t>
  </si>
  <si>
    <t>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t>
  </si>
  <si>
    <t>O'Brien, T. G., Kinnaird, M. F., &amp; Wibisono, H. T. (2003). Crouching tigers, hidden prey: Sumatran tiger and prey populations in a tropical forest landscape. &lt;i&gt;Animal Conservation, 6&lt;/i&gt;(2), 131-139. &lt;a target="_blank" href="https://doi.org/10.1017/s1367943003003172"&gt;{https://doi.org/10.1017/s1367943003003172}</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</si>
  <si>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t>
  </si>
  <si>
    <t>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t>
  </si>
  <si>
    <t>O'Connell, A. F., Nichols, J. D., &amp; Karanth, K. U. (Eds. ). (2010). &lt;i&gt;Camera traps in Animal Ecology: Methods and Analyses&lt;/i&gt;. Springer. &lt;a target="_blank" href="https://doi.org/10.1007/978-4-431-99495-4"&gt;{https://doi.org/10.1007/978-4-431-99495-4}</t>
  </si>
  <si>
    <t>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t>
  </si>
  <si>
    <t>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t>
  </si>
  <si>
    <t>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</si>
  <si>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t>
  </si>
  <si>
    <t>oscrpackage206 (2020) &lt;i&gt;oSCR Package.&lt;/i&gt; [Channel]. YouTube. &lt;a target="_blank" href="https://www.youtube.com/channel/UCc87aAzhX7EUOalyCohzqsQ"&gt;{https://www.youtube.com/channel/UCc87aAzhX7EUOalyCohzqsQ}</t>
  </si>
  <si>
    <t>Otis, D. L., Burnham, K. P., White, G. C.. &amp; Anderson, D. R. (1978). Statistical Inference from Capture Data on Closed Animal Populations. &lt;i&gt;Wildlife Monographs, 62&lt;/i&gt;, 3-135. &lt;a target="_blank" href="https://pubs.usgs.gov/publication/70119899"&gt;{https://pubs.usgs.gov/publication/70119899}</t>
  </si>
  <si>
    <t>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t>
  </si>
  <si>
    <t>Palencia, P. &amp; Project ENETWILD (2022, May 19). &lt;i&gt;Camera Trap Methods for Density Estimation.&lt;/i&gt; [Video]. YouTube. &lt;a target="_blank" href="https://www.youtube.com/watch?v=NUW4oLGeQwk"&gt;{https://www.youtube.com/watch?v=NUW4oLGeQwk}</t>
  </si>
  <si>
    <t>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t>
  </si>
  <si>
    <t>Palencia, P., Rowcliffe, J. M., Vicente, J., &amp; Acevedo, P. (2021). Assessing the camera trap methodologies used to estimate Density of unmarked populations. &lt;i&gt;Journal of Applied Ecology, 58&lt;/i&gt;(8), 1583-1592. &lt;a target="_blank" href="https://doi.org/10.1111/1365-2664.13913"&gt;{https://doi.org/10.1111/1365-2664.13913}</t>
  </si>
  <si>
    <t>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t>
  </si>
  <si>
    <t>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</si>
  <si>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t>
  </si>
  <si>
    <t>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</si>
  <si>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t>
  </si>
  <si>
    <t>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t>
  </si>
  <si>
    <t>Paterson, J. (2024). &lt;i&gt;Implicit dynamics occupancy models in R.&lt;/i&gt; &lt;a target="_blank" href="https://jamesepaterson.github.io/jamespatersonblog/2024-06-02_implicitdynamicsoccupancy.html"&gt;{https://jamesepaterson.github.io/jamespatersonblog/2024-06-02_implicitdynamicsoccupancy.html}</t>
  </si>
  <si>
    <t>Pease, B. S., Nielsen, C. K., &amp; Holzmueller, E. J. (2016). Single-Camera Trap Survey Designs Miss Detections: Impacts on Estimates of Occupancy and Community Metrics. &lt;i&gt;PloS One, 11&lt;/i&gt;(11), e0166689. &lt;a target="_blank" href="https://doi.org/10.1371/journal.pone.0166689"&gt;{https://doi.org/10.1371/journal.pone.0166689}</t>
  </si>
  <si>
    <t>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t>
  </si>
  <si>
    <t>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</si>
  <si>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t>
  </si>
  <si>
    <t>Powell, R. A., &amp; Mitchell, M. S. (2012). What is a home range? &lt;i&gt;Journal of Mammalogy, 93&lt;/i&gt;(4), 948-958. &lt;a target="_blank" href="https://doi.org/10.1644/11-mamm-s-177.1"&gt;{https://doi.org/10.1644/11-mamm-s-177.1}</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</si>
  <si>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t>
  </si>
  <si>
    <t>Project Dragonfly. (2019, Jan 24). &lt;i&gt;Abundance, species richness, and diversity&lt;/i&gt; [Video]. YouTube. &lt;a target="_blank" href="https://www.youtube.com/watch?v=ghhZClDRK_g&amp;source_ve_path=OTY3MTQbqI"&gt;{https://www.youtube.com/watch?v=ghhZClDRK_g&amp;source_ve_path=OTY3MTQbqI}</t>
  </si>
  <si>
    <t>Proteus (2018, Mar 19). &lt;i&gt;Occupancy modelling - more than species presence/absence!&lt;/i&gt; [Video]. YouTube. &lt;a target="_blank" href="https://www.youtube.com/watch?v=Sp4kb4_TiBA&amp;t=2s"&gt;{https://www.youtube.com/watch?v=Sp4kb4_TiBA&amp;t=2s}</t>
  </si>
  <si>
    <t>Proteus (N.D.). &lt;i&gt;Occupancy modelling - more than species presence/absence!&lt;/i&gt; [Webpage]. &lt;a target="_blank" href="https://www.proteus.co.nz/news-tips-and-tricks/occupancy-modelling-more-than-species-presenceabsence"&gt;{https://www.proteus.co.nz/news-tips-and-tricks/occupancy-modelling-more-than-species-presenceabsence}</t>
  </si>
  <si>
    <t>Proteus. (2019a, May 30). &lt;i&gt;Occupancy modelling - the difference between probability and proportion of units occupied&lt;/i&gt; [Video]. YouTube. &lt;a target="_blank" href="https://www.youtube.com/watch?v=zKQFY8W4ceU"&gt;{https://www.youtube.com/watch?v=zKQFY8W4ceU}</t>
  </si>
  <si>
    <t>Proteus. (2019b, Aug 22). &lt;i&gt;Occupancy models - how many covariates can I include?&lt;/i&gt; [Video]. YouTube. &lt;a target="_blank" href="https://www.youtube.com/watch?v=tCh7rTu6fvQ"&gt;{https://www.youtube.com/watch?v=tCh7rTu6fvQ}</t>
  </si>
  <si>
    <t>Pyron, M. (2010) Characterizing Communities. &lt;i&gt;Nature Education Knowledge, 3&lt;/i&gt;(10):39. &lt;a target="_blank" href="https://www.nature.com/scitable/knowledge/library/characterizing-communities-13241173/"&gt;{https://www.nature.com/scitable/knowledge/library/characterizing-communities-13241173/}</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</si>
  <si>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t>
  </si>
  <si>
    <t>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t>
  </si>
  <si>
    <t>Reconyx Inc. (2018). &lt;i&gt;Hyperfire Professional/Outdoor Instruction Manual&lt;/i&gt;. Holmen, WI, USA. &lt;a target="_blank" href="https://www.reconyx.com/img/file/HyperFire_2_User_Guide_2018_07_05_v5.pdf"&gt;{https://www.reconyx.com/img/file/HyperFire_2_User_Guide_2018_07_05_v5.pdf}</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</si>
  <si>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</si>
  <si>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</si>
  <si>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t>
  </si>
  <si>
    <t>Ridout, M. S., &amp; Linkie, M. (2009). Estimating overlap of daily activity patterns from camera trap data. &lt;i&gt;Journal of Agricultural, Biological, and Environmental Statistics, 14&lt;/i&gt;(3), 322-337. &lt;a target="_blank" href="https://doi.org/10.1198/jabes.2009.08038"&gt;{https://doi.org/10.1198/jabes.2009.08038}</t>
  </si>
  <si>
    <t>Riffomonas Project (2022a, Mar 17). &lt;i&gt;Using vegan to calculate alpha diversity metrics within the tidyverse in R (CC196)&lt;/i&gt; [Video]. YouTube. &lt;a target="_blank" href="https://www.youtube.com/watch?v=wq1SXGQYgCs"&gt;{https://www.youtube.com/watch?v=wq1SXGQYgCs}</t>
  </si>
  <si>
    <t>Riffomonas Project (2022b, Mar 24). &lt;i&gt;Generating a rarefaction curve from collector's curves in R within the tidyverse (CC198)&lt;/i&gt; [Video]. YouTube. &lt;a target="_blank" href="https://www.youtube.com/watch?v=ywHVb0Q-qsM"&gt;{https://www.youtube.com/watch?v=ywHVb0Q-qsM}</t>
  </si>
  <si>
    <t>Rob K Statistics (2018, Oct 16). &lt;i&gt;Species Accumulation Curves.&lt;/i&gt; [Video]. YouTube. &lt;a target="_blank" href="https://www.youtube.com/watch?v=Jj7LYrU_6RA&amp;t=3s"&gt;{https://www.youtube.com/watch?v=Jj7LYrU_6RA&amp;t=3s}</t>
  </si>
  <si>
    <t>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t>
  </si>
  <si>
    <t>Roeland Kindt, R. (2020). &lt;i&gt;Species Accumulation Curves with vegan, BiodiversityR and ggplot2.&lt;/i&gt; &lt;a target="_blank" href="https://rpubs.com/Roeland-KINDT/694021"&gt;{https://rpubs.com/Roeland-KINDT/694021}</t>
  </si>
  <si>
    <t>Roemer, G. W., Gompper, M. E., &amp; Van Valkenburgh, B. (2009). The Ecological Role of the Mammalian Mesocarnivore. &lt;i&gt;BioScience&lt;i&gt;, &lt;i&gt;59&lt;/i&gt;(2), 165-173. &lt;a target="_blank" href="https://doi.org/10.1525/bio.2009.59.2.9"&gt;{https://doi.org/10.1525/bio.2009.59.2.9}</t>
  </si>
  <si>
    <t>Romairone, J., Jiménez, J., Luque-Larena, J. J., &amp; Mougeot, F. (2018). Spatial capture-recapture design and modelling for the study of small mammals. &lt;i&gt;PLOS ONE, 13&lt;/i&gt;(6), e0198766. &lt;a target="_blank" href="https://doi.org/10.1371/journal.pone.0198766"&gt;{https://doi.org/10.1371/journal.pone.0198766}</t>
  </si>
  <si>
    <t>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t>
  </si>
  <si>
    <t>Rovero, F., &amp; Marshall, A. R. (2009). Camera Trapping Photographic Rate as an Index of Density in Forest Ungulates. &lt;i&gt;Journal of Applied Ecology, 46&lt;/i&gt;(5), 1011-1017. &lt;a target="_blank" href="https://www.jstor.org/stable/25623081"&gt;{https://www.jstor.org/stable/25623081}</t>
  </si>
  <si>
    <t>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t>
  </si>
  <si>
    <t>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t>
  </si>
  <si>
    <t>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t>
  </si>
  <si>
    <t>Rowcliffe, J. M., &amp; Carbone, C. (2008). Surveys Using Camera Traps: Are We Looking to a Brighter Future? &lt;i&gt;Animal Conservation, 11&lt;/i&gt;(3), 185-86. &lt;a target="_blank" href="https://doi.org/10.1111/j.1469-1795.2008.00180.x"&gt;{https://doi.org/10.1111/j.1469-1795.2008.00180.x}</t>
  </si>
  <si>
    <t>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t>
  </si>
  <si>
    <t>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t>
  </si>
  <si>
    <t>Rowcliffe, J. M., Kays, R., Carbone, C., &amp; Jansen, P. A. (2013). Clarifying assumptions behind the estimation of animal Density from camera trap rates. &lt;i&gt;The Journal of Wildlife Management, 77&lt;/i&gt;(5), 876-876. &lt;a target="_blank" href="https://doi.org/10.1002/jwmg.533"&gt;{https://doi.org/10.1002/jwmg.533}</t>
  </si>
  <si>
    <t>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t>
  </si>
  <si>
    <t>Rowcliffe, M. (2014). &lt;i&gt;Package 'activity': Animal Activity Statistics.&lt;/i&gt; R package version 1.3.4. &lt;a target="_blank" href="https://doi.org/10.32614/CRAN.package.activity"&gt;{https://doi.org/10.32614/CRAN.package.activity}</t>
  </si>
  <si>
    <t>Rowcliffe, M. (2023). &lt;i&gt;Package ‘activity. &lt;/i&gt; R package version 1.3.4. &lt;a target="_blank" href="https://cran.r-project.org/web/packages/activity/index.html"&gt;{https://cran.r-project.org/web/packages/activity/index.html}</t>
  </si>
  <si>
    <t>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t>
  </si>
  <si>
    <t>Royle, A. J. (2016, Oct 17). &lt;i&gt;'Spatial Capture-Recapture Modelling.’ CompSustNet.&lt;/i&gt; [Video]. YouTube. &lt;a target="_blank" href="https://www.youtube.com/watch?v=4HKFimATq9E"&gt;{https://www.youtube.com/watch?v=4HKFimATq9E}</t>
  </si>
  <si>
    <t>Royle, A. J. (2020, Oct 26) &lt;i&gt;Introduction to Spatial Capture-Recapture. oSCR Package.&lt;/i&gt; [Video]. YouTube. &lt;a target="_blank" href="https://www.youtube.com/watch?v=yRRDi07FtPg"&gt;{https://www.youtube.com/watch?v=yRRDi07FtPg}</t>
  </si>
  <si>
    <t>Royle, J. A. (2004). N-mixture Models for estimating population size from spatially Repeated Counts. &lt;i&gt;International Biometric Society, 60&lt;/i&gt;(1), 108-115. &lt;a target="_blank" href="https://www.jstor.org/stable/3695558"&gt;{https://www.jstor.org/stable/3695558}</t>
  </si>
  <si>
    <t>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t>
  </si>
  <si>
    <t>Royle, J. A., &amp; Dorazio, R. M. (2012). Parameter-expanded data augmentation for Bayesian analysis of capture-recapture models. &lt;i&gt;Journal of Ornithology, 152&lt;/i&gt;(S2), 521-537. &lt;a target="_blank" href="https://doi.org/10.1007/s10336-010-0619-4"&gt;{https://doi.org/10.1007/s10336-010-0619-4}</t>
  </si>
  <si>
    <t>Royle, J. A., &amp; Nichols, J. D. (2003). Estimating abundance from repeated presence-absence data or point counts. &lt;i&gt;Ecology, 84&lt;/i&gt;, 777-790. &lt;a target="_blank" href="https://doi.org/10.1890/0012-9658(2003)084[0777:EAFRPA]2.0.CO;2"&gt;{https://doi.org/10.1890/0012-9658(2003)084[0777:EAFRPA]2.0.CO;2}</t>
  </si>
  <si>
    <t>Royle, J. A., &amp; Young, K. V. (2008). A hierarchical model for spatial capture-recapture data. &lt;i&gt;Ecology, 89&lt;/i&gt;(8), 2281-2289. &lt;a target="_blank" href="https://doi.org/10.1890/07-0601.1"&gt;{https://doi.org/10.1890/07-0601.1}</t>
  </si>
  <si>
    <t>Royle, J. A., Converse, S. J., &amp; Freckleton, R. (2014). Hierarchical spatial capture-recapture models: modelling population Density in stratified populations. &lt;i&gt;Methods in Ecology and Evolution, 5&lt;/i&gt;(1), 37-43. &lt;a target="_blank" href="https://doi.org/10.1111/2041-210x.12135"&gt;{https://doi.org/10.1111/2041-210x.12135}</t>
  </si>
  <si>
    <t>Royle, J. A., Nichols, J. D., Karanth, K. U., &amp; Gopalaswamy, A. M. (2009). A hierarchical model for estimating Density in camera-trap studies. &lt;i&gt;Journal of Applied Ecology, 46&lt;/i&gt;(1), 118-127. &lt;a target="_blank" href="https://doi.org/10.1111/j.1365-2664.2008.01578.x"&gt;{https://doi.org/10.1111/j.1365-2664.2008.01578.x}</t>
  </si>
  <si>
    <t>Royle, J. Chandler, R. B., Sollmann, R., Gardner, B. (2013). &lt;i&gt;Spatial capture-recapture&lt;/i&gt;. Academic Press, Waltham, MA, USA. 612 pp., ISBN: 978-0-12-405939-9. &lt;a target="_blank" href="https://pubs.usgs.gov/publication/70048654"&gt;{https://pubs.usgs.gov/publication/70048654}</t>
  </si>
  <si>
    <t>Russell, M. (2020, Nov 29). &lt;i&gt;Fitting Poisson and zero-inflated Poisson models.&lt;/i&gt; [Video]. YouTube. &lt;a target="_blank" href="https://www.youtube.com/watch?v=cD9V1ApYqCk"&gt;{https://www.youtube.com/watch?v=cD9V1ApYqCk}</t>
  </si>
  <si>
    <t>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t>
  </si>
  <si>
    <t>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</si>
  <si>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t>
  </si>
  <si>
    <t>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t>
  </si>
  <si>
    <t>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t>
  </si>
  <si>
    <t>Schmidt, G. M., Graves, T. A., Pederson, J. C., &amp; Carroll, S. L. (2022). Precision and bias of spatial capture-recapture estimates: A multi‐site, multi‐year Utah black bear case study. &lt;i&gt;Ecological Applications, 32&lt;/i&gt;(5), e2618. &lt;a target="_blank" href="https://doi.org/10.1002/eap.2618"&gt;{https://doi.org/10.1002/eap.2618}</t>
  </si>
  <si>
    <t>Schweiger, A. K. (2020). Spectral Field Campaigns: Planning and Data Collection. In Cavender-Bares, J., Gamon, J. A., &amp; Townsend, P. A (Eds.), &lt;i&gt;Remote Sensing of Plant Biodiversity&lt;/i&gt; (pp. 385-423). &lt;a target="_blank" href="https://doi.org/10.1007/978-3-030-33157-3_15"&gt;{https://doi.org/10.1007/978-3-030-33157-3_15}</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</si>
  <si>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t>
  </si>
  <si>
    <t>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t>
  </si>
  <si>
    <t>Séquin, E. S., Jaeger M. M., Brussard P. F., &amp; Barrett, R. H. (2003). Wariness of Coyotes to Camera Traps Relative to Social Status and Territory Boundaries. Lincoln, NE, USA: University of Nebraska-Lincoln. &lt;a target="_blank" href="https://doi.org/10.1139/z03-204"&gt;{https://doi.org/10.1139/z03-204}</t>
  </si>
  <si>
    <t>Shannon, G., Lewis, J. S. &amp; Gerber, B. D. (2014). Recommended Survey Designs for Occupancy Modelling using Motion-activated Cameras: Insights from Empirical Wildlife Data. &lt;i&gt;PeerJ, 2&lt;/i&gt;, e532. &lt;a target="_blank" href="https://doi.org/10.7717/peerj.532"&gt;{https://doi.org/10.7717/peerj.532}</t>
  </si>
  <si>
    <t>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t>
  </si>
  <si>
    <t>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t>
  </si>
  <si>
    <t>Si, X., Kays, R., &amp; Ding, P. (2014). How long is enough to detect terrestrial animals? Estimating the minimum trapping effort on camera traps. &lt;i&gt;PeerJ, 2&lt;/i&gt;, e374. &lt;a target="_blank" href="https://doi.org/10.7717/peerj.374"&gt;{https://doi.org/10.7717/peerj.374}</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</si>
  <si>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</si>
  <si>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t>
  </si>
  <si>
    <t>Snow Leopard Network. (2020a, Aug 1). &lt;i&gt;PAWS: Spatial Capture Recapture Data Analysis Part 1.&lt;/i&gt; [Video]. YouTube. &lt;a target="_blank" href="https://www.youtube.com/watch?v=aTbk-jWyMcU"&gt;{https://www.youtube.com/watch?v=aTbk-jWyMcU}</t>
  </si>
  <si>
    <t>Soberón, J., &amp; Llorente, J. (1993). The Use of Species Accumulation Functions for the Prediction of Species Richness. &lt;i&gt;Conservation Biology, 7&lt;/i&gt;(3), 480-488. &lt;a target="_blank" href="https://doi.org/10.1046/j.1523-1739.1993.07030480.x"&gt;{https://doi.org/10.1046/j.1523-1739.1993.07030480.x}</t>
  </si>
  <si>
    <t>Sollmann, R. (2018). A gentle introduction to camera‐trap data analysis. &lt;i&gt;African Journal of Ecology,&lt;/i&gt; 56, 740-749. &lt;a target="_blank" href="https://doi.org/10.1111/aje.12557"&gt;{https://doi.org/10.1111/aje.12557}</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</si>
  <si>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t>
  </si>
  <si>
    <t>Sollmann, R., Gardner, B., &amp; Belant, J. L. (2012). How does Spatial Study Design Influence Density Estimates from Spatial capture-recapture models? &lt;i&gt;PLoS One, 7&lt;/i&gt;, e34575. &lt;a target="_blank" href="https://doi.org/10.1371/journal.pone.0034575"&gt;{https://doi.org/10.1371/journal.pone.0034575}</t>
  </si>
  <si>
    <t>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t>
  </si>
  <si>
    <t>Sollmann, R., Gardner, B., Parsons, A. W., Stocking, J. J., McClintock, B. T., Simons, T. R., Pollock, K. H., &amp; O'Connell, A. F. (2013b). A Spatial Mark-Resight Model Augmented with Telemetry Data. &lt;i&gt;Ecology, 94&lt;/i&gt;(3), 553-559. &lt;a target="_blank" href="https://doi.org/10.1890/12-1256.1"&gt;{https://doi.org/10.1890/12-1256.1}</t>
  </si>
  <si>
    <t>Sollmann, R., Mohamed, A., Samejima, H., &amp; Wilting, A. (2013c). Risky Business or Simple Solution - Relative Abundance Indices from Camera-Trapping. &lt;i&gt;Biological Conservation, 159&lt;/i&gt;, 405-412. &lt;a target="_blank" href="https://doi.org/10.1016/j.biocon.2012.12.025"&gt;{https://doi.org/10.1016/j.biocon.2012.12.025}</t>
  </si>
  <si>
    <t>Solymos, P. (2023). &lt;i&gt;Package ‘detect': Analyzing Wildlife Data with Detection Error.&lt;/i&gt; R package version 0.4-6. &lt;a target="_blank" href="https://cran.r-project.org/web/packages/detect/detect.pdf"&gt;{https://cran.r-project.org/web/packages/detect/detect.pdf}</t>
  </si>
  <si>
    <t>Solymos, P., Moreno M., &amp; Lele, S. R. (2024). &lt;i&gt;detect: Analyzing Wildlife Data with Detection Error&lt;/i&gt;. R package version 0.5-0, &lt;a target="_blank" href="https://github.com/psolymos/detect"&gt;{https://github.com/psolymos/detect}</t>
  </si>
  <si>
    <t>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t>
  </si>
  <si>
    <t>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t>
  </si>
  <si>
    <t>Spencer, W. D. (2012). Home ranges and the value of spatial information. &lt;i&gt;Journal of Mammalogy, 93&lt;/i&gt;(4), 929-947. &lt;a target="_blank" href="https://doi.org/10.1644/12-MAMM-S-061.1"&gt;{https://doi.org/10.1644/12-MAMM-S-061.1}</t>
  </si>
  <si>
    <t>Stanton, L. A., Sullivan, M. S., &amp; Fazio, J. M. (2015). A standardized ethogram for the felidae: A tool for behavioral researchers. &lt;i&gt;Applied Animal Behaviour Science, 173&lt;/i&gt;, 3-16. &lt;a target="_blank" href="https://doi.org/10.1016/j.applanim.2015.04.001"&gt;{https://doi.org/10.1016/j.applanim.2015.04.001}</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</si>
  <si>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t>
  </si>
  <si>
    <t>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t>
  </si>
  <si>
    <t>Steenweg, R., Hebblewhite, M., Whittington, J., Lukacs, P., &amp; McKelvey, K. (2018). Sampling scales define occupancy and underlying occupancy-abundance relationships in animals. &lt;i&gt;Ecology&lt;i&gt;, &lt;i&gt;99&lt;/i&gt;(1), 172-183. &lt;a target="_blank" href="https://doi.org/10.1002/ecy.2054"&gt;{https://doi.org/10.1002/ecy.2054}</t>
  </si>
  <si>
    <t>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t>
  </si>
  <si>
    <t>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t>
  </si>
  <si>
    <t>Stewart, F. E. C., Fisher, J. T., Burton, A. C., &amp; Volpe, J. P. (2018). Species occurrence data reflect the magnitude of animal movements better than the proximity of animal space use. &lt;i&gt;Ecosphere, 9&lt;/i&gt;(2), e02112. &lt;a target="_blank" href="https://doi.org/10.1002/ecs2.2112"&gt;{https://doi.org/10.1002/ecs2.2112}</t>
  </si>
  <si>
    <t>Stewart, F. E. C., Volpe, J. P., &amp; Fisher, J. T. (2019b). The Debate About Bait: A Red Herring in Wildlife Research. &lt;i&gt;The Journal of Wildlife Management, 83&lt;/i&gt;(4), 985-992. &lt;a target="_blank" href="https://doi.org/10.1002/jwmg.21657"&gt;{https://doi.org/10.1002/jwmg.21657}</t>
  </si>
  <si>
    <t>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t>
  </si>
  <si>
    <t>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t>
  </si>
  <si>
    <t>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t>
  </si>
  <si>
    <t>Styring, A. (2020a, May 4). &lt;i&gt;Field Ecology - Diversity Metrics in R.&lt;/i&gt; [Video]. YouTube. &lt;a target="_blank" href="https://www.youtube.com/watch?v=KBByV3kR3IA"&gt;{https://www.youtube.com/watch?v=KBByV3kR3IA}</t>
  </si>
  <si>
    <t>Styring, A. (2020b, Jun 22). &lt;i&gt;Generating a species accumulation plot in excel for BBS data.&lt;/i&gt; [Video]. YouTube. &lt;a target="_blank" href="https://www.youtube.com/watch?reload=9&amp;app=desktop&amp;v=OEWdPm3zg9I"&gt;{https://www.youtube.com/watch?reload=9&amp;app=desktop&amp;v=OEWdPm3zg9I}</t>
  </si>
  <si>
    <t>Suárez-Tangil, B. D., &amp; Rodríguez, A. (2017). Detection of Iberian terrestrial mammals employing olfactory, visual and auditory attractants. &lt;i&gt;European Journal of Wildlife Research, 63&lt;/i&gt;(6). &lt;a target="_blank" href="https://doi.org/10.1007/s10344-017-1150-1"&gt;{https://doi.org/10.1007/s10344-017-1150-1}</t>
  </si>
  <si>
    <t>Sun, C. C., Fuller, A. K., &amp; Royle., J. A. (2014). Trap Configuration and Spacing Influences Parameter Estimates in Spatial Capture-Recapture Models. &lt;i&gt;PLoS One, 9&lt;/i&gt;(2): e88025. &lt;a target="_blank" href="https://doi.org/10.1371/journal.pone.0088025"&gt;{https://doi.org/10.1371/journal.pone.0088025}</t>
  </si>
  <si>
    <t>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t>
  </si>
  <si>
    <t>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t>
  </si>
  <si>
    <t>Sutherland, C., Royle, J. A., &amp; Linden, D. W. (2019). oSCR: A spatial capture-recapture R package for inference about spatial ecological processes. &lt;i&gt;Ecography, 42&lt;/i&gt;(9), 1459-1469. &lt;a target="_blank" href="https://doi.org/10.1111/ecog.04551"&gt;{https://doi.org/10.1111/ecog.04551}</t>
  </si>
  <si>
    <t>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</si>
  <si>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
  </si>
  <si>
    <t>Tanwar, K. S., Sadhu, A., &amp; Jhala, Y. V. (2021). Camera trap placement for evaluating species richness, abundance, and activity. &lt;i&gt;Scientific Reports, 11&lt;/i&gt;(1), 23050. &lt;a target="_blank" href="https://doi.org/10.1038/s41598-021-02459-w"&gt;{https://doi.org/10.1038/s41598-021-02459-w}</t>
  </si>
  <si>
    <t>The WILDLABS Partnership (2021). &lt;i&gt;How do I get started with Megadetector?&lt;/i&gt; Siyu Y. &lt;a target="_blank" href="https://www.wildlabs.net/event/how-do-i-get-started-megadetector"&gt;{https://www.wildlabs.net/event/how-do-i-get-started-megadetector}</t>
  </si>
  <si>
    <t>The Wildlife Degree (2022, Feb 3). &lt;i&gt;Rarefied Species Accumulation Curves (the simple way) tutorial.&lt;/i&gt; [Video]. YouTube. &lt;a target="_blank" href="https://www.youtube.com/watch?v=h3MLWK9IJ4A"&gt;{https://www.youtube.com/watch?v=h3MLWK9IJ4A}</t>
  </si>
  <si>
    <t>Thompson, P. R. (2024) &lt;i&gt;Zone of Influence Effect Size and Buffer Distance Calculator&lt;/i&gt;. University of Alberta, Canada. &lt;a target="_blank" href="https://pthompson234.shinyapps.io/calculate-zoi/"&gt;{https://pthompson234.shinyapps.io/calculate-zoi/}</t>
  </si>
  <si>
    <t>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
  </si>
  <si>
    <t>Thorn, M., Scott, D. M., Green, M., Bateman, P. W., &amp; Cameron, E. Z. (2009). Estimating Brown Hyaena Occupancy using Baited Camera Traps. &lt;i&gt;South African Journal of Wildlife Research, 39&lt;/i&gt;(1), 1-10. &lt;a target="_blank" href="https://doi.org/10.3957/056.039.0101"&gt;{https://doi.org/10.3957/056.039.0101}</t>
  </si>
  <si>
    <t>Tigner, J., Bayne, E. M., &amp; Boutin, S. (2014). Black bear use of seismic lines in Northern Canada. &lt;i&gt;Journal of Wildlife Management, 78&lt;/i&gt;(2), 282-292. &lt;a target="_blank" href="https://doi.org/10.1002/jwmg.664"&gt;{https://doi.org/10.1002/jwmg.664}</t>
  </si>
  <si>
    <t>TileStats (2021, Apr 18). &lt;i&gt;Zero-inflated Poisson (ZIP) regression.&lt;/i&gt; [Video]. YouTube. &lt;a target="_blank" href="https://www.youtube.com/watch?v=ztNQvAabgtU"&gt;{https://www.youtube.com/watch?v=ztNQvAabgtU}</t>
  </si>
  <si>
    <t>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
  </si>
  <si>
    <t>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
  </si>
  <si>
    <t>Tourani, M. (2022). A review of spatial capture-recapture: Ecological insights, limitations, and prospects. &lt;i&gt;Ecology and Evolution, 12&lt;/i&gt;, e8468. &lt;a target="_blank" href="https://doi.org/10.1002/ece3.8468"&gt;{https://doi.org/10.1002/ece3.8468}</t>
  </si>
  <si>
    <t>Tourani, M., Brøste, E. N., Bakken, S., Odden, J., Bischof, R., &amp; Hayward, M. (2020). Sooner, closer, or longer: Detectability of mesocarnivores at camera traps. &lt;i&gt;Journal of Zoology, 312&lt;/i&gt;(4), 259-270. &lt;a target="_blank" href="https://doi.org/10.1111/jzo.12828"&gt;{https://doi.org/10.1111/jzo.12828}</t>
  </si>
  <si>
    <t>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
  </si>
  <si>
    <t>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
  </si>
  <si>
    <t>Turlapaty, A. (2014, Jun 15). &lt;i&gt;Probability of Detection: Eg 01.&lt;/i&gt; [Video]. YouTube. &lt;a target="_blank" href="https://www.youtube.com/watch?v=WBgWOQBlNoI"&gt;{https://www.youtube.com/watch?v=WBgWOQBlNoI}</t>
  </si>
  <si>
    <t>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
  </si>
  <si>
    <t>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t>
  </si>
  <si>
    <t>University of Cape Town. (2024a). &lt;i&gt;SEEC Toolbox seminars&lt;/i&gt; &lt;a target="_blank" href="https://science.uct.ac.za/seec/stats-toolbox-seminars"&gt;{https://science.uct.ac.za/seec/stats-toolbox-seminars}</t>
  </si>
  <si>
    <t>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t>
  </si>
  <si>
    <t>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t>
  </si>
  <si>
    <t>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t>
  </si>
  <si>
    <t>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t>
  </si>
  <si>
    <t>Van Dooren, T. J. M. (2016). Pollinator species richness: Are the declines slowing down? &lt;i&gt;Nature Conservation, 15&lt;/i&gt;, 11-22. &lt;a target="_blank" href="https://doi.org/10.3897/natureconservation.15.9616"&gt;{https://doi.org/10.3897/natureconservation.15.9616}</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</si>
  <si>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t>
  </si>
  <si>
    <t>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t>
  </si>
  <si>
    <t>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t>
  </si>
  <si>
    <t>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t>
  </si>
  <si>
    <t>VSN International (2022, Jul 13). &lt;i&gt;Species abundance tools in Genstat.&lt;/i&gt; [Video]. YouTube. &lt;a target="_blank" href="https://www.youtube.com/watch?v=wBx7f4PP8RE"&gt;{https://www.youtube.com/watch?v=wBx7f4PP8RE}</t>
  </si>
  <si>
    <t>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t>
  </si>
  <si>
    <t>Warbington, C. H., &amp; Boyce, M. S. (2020). Population Density of sitatunga in riverine wetland habitats. &lt;i&gt;Global Ecology and Conservation, 24&lt;/i&gt;. &lt;a target="_blank" href="https://doi.org/10.1016/j.gecco.2020.e01212"&gt;{https://doi.org/10.1016/j.gecco.2020.e01212}</t>
  </si>
  <si>
    <t>Wearn, O. R., &amp; Glover-Kapfer, P. (2017). Camera-Trapping for Conservation: A Guide to Best-ractices. &lt;i&gt;WWF conservation technology series, 1&lt;/i&gt;, 1-181. &lt;a target="_blank" href="http://dx.doi.org/10.13140/RG.2.2.23409.17767"&gt;{http://dx.doi.org/10.13140/RG.2.2.23409.17767}</t>
  </si>
  <si>
    <t>Wearn, O. R., &amp; Glover-Kapfer, P. (2019). Snap happy: Camera traps are an effective sampling tool when compared with alternative methods. &lt;i&gt;Royal Society Open Science&lt;i&gt;, &lt;i&gt;6&lt;/i&gt;(3), 181748. &lt;a target="_blank" href="https://doi.org/10.1098/rsos.181748"&gt;{https://doi.org/10.1098/rsos.181748}</t>
  </si>
  <si>
    <t>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t>
  </si>
  <si>
    <t>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t>
  </si>
  <si>
    <t>Webster, S. C., &amp; Beasley, J. C. (2019). Influence of lure choice and Survey duration on scent stations for carnivore Surveys. &lt;i&gt;Wildlife Society Bulletin, 43&lt;/i&gt;(4), 661-668. &lt;a target="_blank" href="https://doi.org/10.1002/wsb.1011"&gt;{https://doi.org/10.1002/wsb.1011}</t>
  </si>
  <si>
    <t>weecology (2020, Oct 30). &lt;i&gt;Introduction to Species Distribution Modeling Using R.&lt;/i&gt; [Video]. YouTube. &lt;a target="_blank" href="https://www.youtube.com/watch?v=0VObf2rMrI8"&gt;{https://www.youtube.com/watch?v=0VObf2rMrI8}</t>
  </si>
  <si>
    <t>Wegge, P., C. P. Pokheral, &amp; Jnawali, S. R. (2004). Effects of trapping effort and trap shyness on estimates of tiger abundance from camera trap studies. &lt;i&gt;Animal Conservation, 7&lt;/i&gt;, 251-256. &lt;a target="_blank" href="https://doi.org/10.1017/S1367943004001441"&gt;{https://doi.org/10.1017/S1367943004001441}</t>
  </si>
  <si>
    <t>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t>
  </si>
  <si>
    <t>Wellington, K., Bottom, C., Merrill, C., &amp; Litvaitis, J. A. (2014). Identifying performance differences among trail cameras used to monitor forest mammals. &lt;i&gt;Wildlife Society Bulletin, 38&lt;/i&gt;(3), 634-638. &lt;a target="_blank" href="https://doi.org/10.1002/wsb.425"&gt;{https://doi.org/10.1002/wsb.425}</t>
  </si>
  <si>
    <t>Welsh, A. H., Cunningham, R. B., &amp; Chambers, R. L. (2000). Methodology for estimating the abundance of rare animals: Seabird nesting on North East Herald Cay. &lt;i&gt;Biometrics, 56&lt;/i&gt;(1), 22-30. &lt;a target="_blank" href="https://doi.org/10.1111/j.0006-341X.2000.00022.x"&gt;{https://doi.org/10.1111/j.0006-341X.2000.00022.x}</t>
  </si>
  <si>
    <t>Whittington, J., Hebblewhite, M., Chandler, R. B., &amp; Lentini, P. (2018). Generalized spatial mark-resight models with an application to grizzly bears. &lt;i&gt;Journal of Applied Ecology, 55&lt;/i&gt;(1), 157-168. &lt;a target="_blank" href="https://doi.org/10.1111/1365-2664.12954"&gt;{https://doi.org/10.1111/1365-2664.12954}</t>
  </si>
  <si>
    <t>Whittington, J., Low, P., &amp; Hunt, B. (2019). Temporal road closures improve habitat quality for wildlife. &lt;i&gt;Scientific Reports, 9&lt;/i&gt;(1), 3772. &lt;a target="_blank" href="https://www.nature.com/articles/s41598-019-40581-y"&gt;{https://www.nature.com/articles/s41598-019-40581-y}</t>
  </si>
  <si>
    <t>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t>
  </si>
  <si>
    <t>WildCo Lab (2020). &lt;i&gt;WildCo_Image_Renamer.&lt;/i&gt; &lt;a target="_blank" href="https://github.com/WildCoLab/WildCo_Image_Renamer"&gt;{https://github.com/WildCoLab/WildCo_Image_Renamer}</t>
  </si>
  <si>
    <t>WildCo Lab (2021a). &lt;i&gt;WildCo-FaceBlur.&lt;/i&gt; &lt;a target="_blank" href="https://github.com/WildCoLab/WildCo_Face_Blur"&gt;{https://github.com/WildCoLab/WildCo_Face_Blur}</t>
  </si>
  <si>
    <t>WildCo Lab (2021b). &lt;i&gt;WildCo: Reproducible camera trap data exploration and analysis examples in R&lt;/i&gt;. University of British Columbia. &lt;a target="_blank" href="https://bookdown.org/c_w_beirne/wildCo-Data-Analysis/#what-this-guide-is"&gt;{https://bookdown.org/c_w_beirne/wildCo-Data-Analysis/#what-this-guide-is}</t>
  </si>
  <si>
    <t>WildCo Lab (2021c). &lt;i&gt;Chapter 11 Occupancy&lt;/i&gt;. &lt;a target="_blank" href="https://bookdown.org/c_w_beirne/wildCo-Data-Analysis/occupancy.html"&gt;{https://bookdown.org/c_w_beirne/wildCo-Data-Analysis/occupancy.html}</t>
  </si>
  <si>
    <t>WildCo Lab (2021d). &lt;i&gt;Chapter 12 Activity&lt;/i&gt;. &lt;a target="_blank" href="https://bookdown.org/c_w_beirne/wildCo-Data-Analysis/activity.html"&gt;{https://bookdown.org/c_w_beirne/wildCo-Data-Analysis/activity.html}</t>
  </si>
  <si>
    <t>Williams, B. K., Nichols, J. D., &amp; Conroy, M. J. (2002). &lt;i&gt;Analysis and Management of Animal Populations: Modeling, Estimation, and Decision Making&lt;/i&gt;. Book, Whole. San Diego: Academic Press. &lt;a target="_blank" href="https://go.exlibris.link/qSfqP9dC"&gt;{https://go.exlibris.link/qSfqP9dC}</t>
  </si>
  <si>
    <t>Windell, R. M., Lewis, J. S., Gramza, A. R., &amp; Crooks, K. R. (2019). Carnivore Carrying Behavior as Documented with Wildlife Camera Traps. &lt;i&gt;Western North American Naturalist, 79&lt;/i&gt;(4), 471. &lt;a target="_blank" href="https://doi.org/10.3398/064.079.0401"&gt;{https://doi.org/10.3398/064.079.0401}</t>
  </si>
  <si>
    <t>Young, S., Rode-Margono, J., &amp; Amin, R. (2018). Software to facilitate and streamline camera trap data management: A review. &lt;i&gt;Ecology and Evolution, 8&lt;/i&gt;(19), 9947-9957. &lt;a target="_blank" href="https://doi.org/10.1002/ece3.4464"&gt;{https://doi.org/10.1002/ece3.4464}</t>
  </si>
  <si>
    <t>Yu, H., Lin, Z., &amp; F. Xiao. (2024). Role of Body Size and Shape in Animal Camouflage. &lt;i&gt;Ecology and Evolution, 14&lt;/i&gt;(5), e11434. &lt;a target="_blank" href="https://doi.org/10.1002/ece3.11434"&gt;{https://doi.org/10.1002/ece3.11434}</t>
  </si>
  <si>
    <t>Yue, S., Brodie, J. F., Zipkin, E. F., &amp; Bernard, H. (2015). Oil palm plantations fail to support mammal diversity. &lt;i&gt;Ecological Applications, 25&lt;/i&gt;(8), 2285-2292. &lt;a target="_blank" href="https://doi.org/10.1890/14-1928.1"&gt;{https://doi.org/10.1890/14-1928.1}</t>
  </si>
  <si>
    <t>Zeileis, A., Kleiber, C., &amp; Jackman, S. (2008). Regression Models for Count Data in R. &lt;i&gt;Journal of Statistical Software, 27&lt;/i&gt;(8). &lt;a target="_blank" href="https://doi.org/10.18637/jss.v027.i08"&gt;{https://doi.org/10.18637/jss.v027.i08}</t>
  </si>
  <si>
    <t>Zorn, C. J. W. (1998). An Analytic and Empirical Examination of Zero-inflated and Hurdle Poisson Specifications. &lt;i&gt;Sociological Methods and Research 26&lt;/i&gt;(3), 368-400. &lt;a target="_blank" href="https://doi.org/10.1177/0049124198026003004"&gt;{https://doi.org/10.1177/0049124198026003004}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</si>
  <si>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t>
  </si>
  <si>
    <t>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t>
  </si>
  <si>
    <t>https://eco-intelligent.com/2016/10/14/alpha-beta-gamma-diversity</t>
  </si>
  <si>
    <t>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t>
  </si>
  <si>
    <t>Burgar, J. M. (2021). &lt;i&gt;Counting Elk Amongst the Trees: Improving the Accuracy of Roosevelt Elk Inventory via Modelling, Preliminary Report 2021&lt;/i&gt;. Terrestrial Wildlife Resources, South Coast Resource Management, FLNRORD. (available upon request).</t>
  </si>
  <si>
    <t>Snow Leopard Network. (2020b, Aug 2).&lt;i&gt;PAWS: Spatial Capture Recapture Data Analysis Part 2.&lt;/i&gt; [Video]. YouTube. &lt;a target="_blank" href="https://www.youtube.com/watch?v=IHVez1a_hqg&amp;t=2675s"&gt;{https://www.youtube.com/watch?v=IHVez1a_hqg&amp;t=2675s}</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</si>
  <si>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</si>
  <si>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Babu, A. (N.D.). &lt;i&gt;Alpha, Beta and Gamma Diversity: Biodiversity at different scales&lt;/i&gt;. &lt;a target="_blank" href="https://eco-intelligent.com/2016/10/14/alpha-beta-gamma-diversity"&gt;{https://eco-intelligent.com/2016/10/14/alpha-beta-gamma-diversity}</t>
  </si>
  <si>
    <t>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t>
  </si>
  <si>
    <t>Gilbert, N. A., Clare, J. D. J., Stenglein, J. L., &amp; Zuckerberg, B. (2020). Abundance Estimation of Unmarked Animals based on Camera-Trap Data. &lt;i&gt;Conservation Biology, 35&lt;/i&gt;(1), 88-100. &lt;a target="_blank" href="https://doi.org/10.1111/cobi.13517"&gt;{https://doi.org/10.1111/cobi.13517}</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</si>
  <si>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</si>
  <si>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Abolaffio, M., Focardi, S., &amp; Santini, G. (2019). Avoiding misleading messages: Population assessment using camera trapping is not a simple task. &lt;i&gt;Journal of Animal Ecology, 88&lt;/i&gt;(12), 2011-2016. Medline. &lt;a target="_blank" href="https://doi.org/10.1111/1365-2656.13085"&gt;{https://doi.org/10.1111/1365-2656.13085}</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</si>
  <si>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</si>
  <si>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t>
  </si>
  <si>
    <t>Alberta Biodiversity Monitoring Institute [ABMI] (2021). &lt;i&gt;Terrestrial ARU and Remote Camera Trap Protocols.&lt;/i&gt; Edmonton, Alberta. &lt;a target="_blank" href="https://abmi.ca/home/publications/551-600/599"&gt;{https://abmi.ca/home/publications/551-600/599}</t>
  </si>
  <si>
    <t>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t>
  </si>
  <si>
    <t>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t>
  </si>
  <si>
    <t>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t>
  </si>
  <si>
    <t>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t>
  </si>
  <si>
    <t>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t>
  </si>
  <si>
    <t>Anderson, D. R. (2001). The Need to Get the Basics Right in Wildlife Field Studies. &lt;i&gt;Wildlife Society Bulletin, 29&lt;/i&gt;(4), 1294-1297. &lt;a target="_blank" href="https://www.jstor.org/stable/3784156"&gt;{https://www.jstor.org/stable/3784156}</t>
  </si>
  <si>
    <t>Anile, S., &amp; Devillard, S. (2016). Study Design and Body Mass Influence RAIs from Camera Trap Studies: Evidence from the Felidae. &lt;i&gt;Animal Conservation, 19&lt;/i&gt;(1), 35-45. &lt;a target="_blank" href="https://doi.org/10.1111/acv.12214"&gt;{https://doi.org/10.1111/acv.12214}</t>
  </si>
  <si>
    <t>Apps, P. J., &amp; McNutt, J. W. (2018). How Camera Traps work and how to work them. &lt;i&gt;African Journal of Ecology, 56&lt;/i&gt;(4), 702-709. &lt;a target="_blank" href="https://doi.org/10.1111/aje.12563"&gt;{https://doi.org/10.1111/aje.12563}</t>
  </si>
  <si>
    <t>Arnason, A. N., Schwarz, C. J., &amp; Gerrard, J. M. (1991). Estimating Closed Population Size and Number of Marked Animals from Sighting Data. &lt;i&gt;Journal of Wildlife Management, 55&lt;/i&gt;(4), 716-730. &lt;a target="_blank" href="https://doi.org/10.2307/3809524"&gt;{https://doi.org/10.2307/3809524}</t>
  </si>
  <si>
    <t>Augustine, B. C., Royle, J. A., Kelly, M. J., Satter, C. B., Alonso, R. S., Boydston, E. E., &amp; Crooks, K. R. (2016). Spatial capture-recapture with partial identity: An application to camera traps. &lt;i&gt;bioRxiv.&lt;/i&gt; &lt;a target="_blank" href="http://dx.doi.org/10.1101/056804"&gt;{http://dx.doi.org/10.1101/056804}}</t>
  </si>
  <si>
    <t>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t>
  </si>
  <si>
    <t>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t>
  </si>
  <si>
    <t>Ausband, D. E., Lukacs, P. M., Hurley, M., Roberts, S., Strickfaden, K., &amp; Moeller, A. K. (2022). Estimating Wolf Abundance from Cameras. &lt;i&gt;Ecosphere, 13&lt;/i&gt;(2), e3933. &lt;a target="_blank" href="https://doi.org/10.1002/ecs2.3933"&gt;{https://doi.org/10.1002/ecs2.3933}</t>
  </si>
  <si>
    <t>Bailey, L. L., Hines, J. E., Nichols, J. D., &amp; MacKenzie, D. I. (2007). Sampling Design Trade-Offs in Occupancy Studies with Imperfect Detection\: Examples and Software. &lt;i&gt;Ecological Applications, 17&lt;/i&gt;(1), 281-290. &lt;a target="_blank" href="https://www.jstor.org/stable/40061993"&gt;{https://www.jstor.org/stable/40061993}</t>
  </si>
  <si>
    <t>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t>
  </si>
  <si>
    <t>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t>
  </si>
  <si>
    <t>Baylor Tutoring Center. (2021, July 31). &lt;i&gt;Species Diversity and Species Richness&lt;/i&gt; [Video]. YouTube. &lt;a target="_blank" href="https://www.youtube.com/watch?v=UXJ0r4hjbqI"&gt;{https://www.youtube.com/watch?v=UXJ0r4hjbqI}</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</si>
  <si>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t>
  </si>
  <si>
    <t>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t>
  </si>
  <si>
    <t>Becker, M. Huggard, D. J., &amp; Alberta Biodiversity Monitoring Institute [ABMI]. (2020). &lt;i&gt;abmi.camera.extras.&lt;/i&gt; R package version 0.0.1. &lt;a target="_blank" href="https://mabecker89.github.io/abmi.camera.extras"&gt;{https://mabecker89.github.io/abmi.camera.extras}</t>
  </si>
  <si>
    <t>Becker, M. Huggard, D. J., &amp; Alberta Biodiversity Monitoring Institute [ABMI]. (2021).&lt;i&gt;Estimating animal density using TIFC (Time In Front of Camera).&lt;/i&gt; &lt;a target="_blank" href="https://github.com/mabecker89/tifc-method"&gt;{https://github.com/mabecker89/tifc-method}</t>
  </si>
  <si>
    <t>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t>
  </si>
  <si>
    <t>Beery, S., Morris, D., &amp; Yang, S. (2019). Efficient Pipeline for Camera Trap Image Review. &lt;i&gt;Microsoft AI for Earth&lt;/i&gt;. &lt;a target="_blank" href="https://doi.org/10.48550/arXiv.1907.06772"&gt;{https://doi.org/10.48550/arXiv.1907.06772}</t>
  </si>
  <si>
    <t>Benedetti, A. (2024). &lt;i&gt;Visualizing Biodiversity in [U.S.] National Parks.&lt;/i&gt; &lt;a target="_blank" href="https://shiny.posit.co/r/gallery/life-sciences/biodiversity-national-parks"&gt;{https://shiny.posit.co/r/gallery/life-sciences/biodiversity-national-parks}</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</si>
  <si>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t>
  </si>
  <si>
    <t>Bioninja (N.D.). &lt;i&gt;Biodiversity&lt;/i&gt;. &lt;a target="_blank" href="https://old-ib.bioninja.com.au/options/option-c-ecology-and-conser/c4-conservation-of-biodiver/biodiversity.html"&gt;{https://old-ib.bioninja.com.au/options/option-c-ecology-and-conser/c4-conservation-of-biodiver/biodiversity.html}</t>
  </si>
  <si>
    <t>Bischof, R., Dupont, P., Milleret, C., ChipperfIeld, J., &amp; Royle, J. A. (2020). Consequences of Ignoring Group Association in Spatial Capture-Recapture Analysis. &lt;i&gt;Wildlife Biology, 2020&lt;/i&gt;(1). &lt;a target="_blank" href="https://doi.org/10.2981/wlb.00649"&gt;{https://doi.org/10.2981/wlb.00649}</t>
  </si>
  <si>
    <t>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t>
  </si>
  <si>
    <t>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t>
  </si>
  <si>
    <t>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t>
  </si>
  <si>
    <t>Bliss, C. I., &amp; Fisher, R. A. (1953). Fitting the Negative Binomial Distribution to Biological Data. &lt;i&gt;Biometrics, 9&lt;/i&gt;(2), 176-200. &lt;a target="_blank" href="https://doi.org/10.2307/3001850"&gt;{https://doi.org/10.2307/3001850}</t>
  </si>
  <si>
    <t>Borcher, D. L., &amp; Marques, T. A. (2017). From Distance Sampling to Spatial Capture-Recapture. &lt;i&gt;Asta Advances In Statistical Analysis, 101&lt;/i&gt;, 475-494. &lt;a target="_blank" href="https://link.springer.com/article/10.1007/s10182-016-0287-7"&gt;{https://link.springer.com/article/10.1007/s10182-016-0287-7}</t>
  </si>
  <si>
    <t>Borchers, D. (2012). A non-technical overview of spatially explicit capture-recapture models. &lt;i&gt;Journal of Ornithology, 152&lt;/i&gt;(S2), 435-444. &lt;a target="_blank" href="https://doi.org/10.1007/s10336-010-0583-z"&gt;{https://doi.org/10.1007/s10336-010-0583-z}</t>
  </si>
  <si>
    <t>Borchers, D. L., &amp; Efford, M. G. (2008). Spatially Explicit Maximum Likelihood Methods for Capture-Recapture Studies. &lt;i&gt;Biometrics, 64&lt;/i&gt;(2), 377-385. &lt;a target="_blank" href="https://doi.org/10.1111/j.1541-0420.2007.00927.x"&gt;{https://doi.org/10.1111/j.1541-0420.2007.00927.x}</t>
  </si>
  <si>
    <t>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t>
  </si>
  <si>
    <t>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t>
  </si>
  <si>
    <t>Brennan, L. A. (2019). &lt;i&gt;Quantitative Analyses in Wildlife Science&lt;/i&gt;. Johns Hopkins University Press, Baltimore. &lt;a target="_blank" href="https://www.press.jhu.edu/books/title/11858/quantitative-analyses-wildlife-science"&gt;{https://www.press.jhu.edu/books/title/11858/quantitative-analyses-wildlife-science}</t>
  </si>
  <si>
    <t>Bridges, A. S., &amp; Noss, A. J. (2011). Behavior and Activity Patterns. In A. F. O'Connell, J. D. Nichols, &amp; K. U. Karanth (Eds.), &lt;i&gt;Camera Traps In Animal Ecology: Methods and Analyses&lt;/i&gt; (pp. 57-70). Springer. &lt;a target="_blank" href="https://doi.org/10.1007/978-4-431-99495-4"&gt;{https://doi.org/10.1007/978-4-431-99495-4}</t>
  </si>
  <si>
    <t>Broadley, K., Burton, A. C., Avgar, T., &amp; Boutin, S. (2019). Density‐dependent space use affects interpretation of camera trap detection rates. &lt;i&gt;Ecology and Evolution, 9&lt;/i&gt;(24), 14031-14041. &lt;a target="_blank" href="https://doi.org/10.1002/ece3.5840."&gt;{https://doi.org/10.1002/ece3.5840.}</t>
  </si>
  <si>
    <t>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t>
  </si>
  <si>
    <t>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t>
  </si>
  <si>
    <t>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t>
  </si>
  <si>
    <t>Brownlee, M., Warbington, C., &amp; Boyce., M. (2022). Monitoring Sitatunga (&lt;i&gt;Tragelaphus Spekii&lt;i&gt;) Populations Using Camera Traps. &lt;i&gt;African Journal of Ecology, 60&lt;/i&gt;(3), 377. &lt;a target="_blank" href="https://doi.org/10.1111/aje.12972"&gt;{https://doi.org/10.1111/aje.12972}</t>
  </si>
  <si>
    <t>Buckland, S. T. (2006). Point-Transect Surveys for Songbirds: Robust Methodologies. &lt;i&gt;The American Ornithologists’ Union, 123&lt;/i&gt;(2), 345-357. &lt;a target="_blank" href="https://doi.org/10.1642/0004-8038(2006)123[345:PSFSRM]2.0.CO;2"&gt;{https://doi.org/10.1642/0004-8038(2006)123[345:PSFSRM]2.0.CO;2}</t>
  </si>
  <si>
    <t>Buckland, S. T., D.R. Anderson, K.P. Burnham, &amp; J.L. Laake. (1998). &lt;i&gt;Distance Sampling: Estimating Abundance of Biological Populations&lt;/i&gt;. Chapman &amp; Hall, London. &lt;a target="_blank" href="https://doi.org/10.1007/978-94-011-1574-2"&gt;{https://doi.org/10.1007/978-94-011-1574-2}</t>
  </si>
  <si>
    <t>Buckland, S. T., E. A. Rexstad, T. A. Marques, C. S. Oedekoven. (2015). &lt;i&gt;Mathematics and Statistics. Distance Sampling: Methods and Applications.&lt;/i&gt; Springer International Publishing. &lt;a target="_blank" href="https://doi.org/10.1007/978-3-319-19219-2"&gt;{https://doi.org/10.1007/978-3-319-19219-2}</t>
  </si>
  <si>
    <t>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t>
  </si>
  <si>
    <t>Burgar, J. M., Burton, A. C., &amp; Fisher, J. T. (2019). The importance of considering multiple interacting species for conservation of species at risk. &lt;i&gt;Conservation Biology, 33&lt;/i&gt;(3), 709-715. &lt;a target="_blank" href="https://doi.org/10.1111/cobi.13233"&gt;{https://doi.org/10.1111/cobi.13233}</t>
  </si>
  <si>
    <t>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t>
  </si>
  <si>
    <t>Burkholder, E. N., Jakes, A. F., Jones, P. F., Hebblewhite, M., &amp; Bishop, C. J. (2018). To Jump or Not to Jump: Mule Deer and White-Tailed Deer Fence Crossing Decisions. &lt;i&gt;Wildlife Society Bulletin&lt;i&gt;, &lt;i&gt;42&lt;/i&gt;(3), 420-429. &lt;a target="_blank" href="https://doi.org/10.1002/wsb.898"&gt;{https://doi.org/10.1002/wsb.898}</t>
  </si>
  <si>
    <t>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t>
  </si>
  <si>
    <t>Byrne, M. &amp; Golden, J. (2021). &lt;i&gt;Occupancy Modeling.&lt;/i&gt; &lt;a target="_blank" href="https://kevintshoemaker.github.io/NRES-746/Occupancy.html"&gt;{https://kevintshoemaker.github.io/NRES-746/Occupancy.html}</t>
  </si>
  <si>
    <t>Campbell, A. (2024). &lt;i&gt;Package ‘overlap’&lt;/i&gt;. R package version 0.3.9. &lt;a target="_blank" href="https://cran.r-project.org/web/packages/overlap/index.html"&gt;{https://cran.r-project.org/web/packages/overlap/index.html}</t>
  </si>
  <si>
    <t>Cao, A. (2021, Jun 14) &lt;i&gt;Hurdle models.&lt;/i&gt; [Video]. YouTube. &lt;a target="_blank" href="https://www.youtube.com/watch?v=q2NRQBcihQY"&gt;{https://www.youtube.com/watch?v=q2NRQBcihQY}</t>
  </si>
  <si>
    <t>Cappelle, N., Després‐Einspenner, M., Howe, E. J., Boesch, C., &amp; Kühl, H. S. (2019). Validating camera trap distance sampling for chimpanzees. &lt;i&gt;American Journal of Primatology, 81&lt;/i&gt;(3), e22962. &lt;a target="_blank" href="https://doi.org/10.1002/ajp.22962"&gt;{https://doi.org/10.1002/ajp.22962}</t>
  </si>
  <si>
    <t>Cappelle, N., Howe, E. J., Boesch, C., &amp; Kühl, H. S. (2021). Estimating Animal Abundance and Effort-Precision Relationship with Camera Trap Distance Sampling. &lt;i&gt;Ecosphere, 12&lt;/i&gt;(1). &lt;a target="_blank" href="https://doi.org/10.1002/ecs2.3299"&gt;{https://doi.org/10.1002/ecs2.3299}</t>
  </si>
  <si>
    <t>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</si>
  <si>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</si>
  <si>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t>
  </si>
  <si>
    <t>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t>
  </si>
  <si>
    <t>Chandler, R. B., &amp; Royle, J. A. (2013). Spatially explicit models for inference about Density in unmarked or partially marked populations. &lt;i&gt;The Annals of Applied Statistics, 7&lt;/i&gt;(2), 936-954. &lt;a target="_blank" href="https://doi.org/10.1214/12-aoas610"&gt;{https://doi.org/10.1214/12-aoas610}</t>
  </si>
  <si>
    <t>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t>
  </si>
  <si>
    <t>Chatterjee, N., Schuttler, T. G., Nigam, P., &amp; Habib, B. (2021). Deciphering the rarity-detectability continuum: optimizing Survey design for terrestrial mammalian community. &lt;i&gt;Ecosphere 12&lt;/i&gt;(9), e03748. &lt;a target="_blank" href="https://doi.org/10.1002/ecs2.3748"&gt;{https://doi.org/10.1002/ecs2.3748}</t>
  </si>
  <si>
    <t>Clark, T. G., Bradburn, M. J., Love, S. B., &amp; Altman, D. G. (2003). Survival Analysis Part I: Basic Concepts and First Analyses. &lt;i&gt;British Journal of Cancer, 89&lt;/i&gt;(2), 232-38. &lt;a target="_blank" href="https://doi.org/10.1038/sj.bjc.6601118"&gt;{https://doi.org/10.1038/sj.bjc.6601118}</t>
  </si>
  <si>
    <t>Clarke, J. D. (2019).comparing Clustered Sampling Designs for Spatially Explicit Estimation of Population Density. &lt;i&gt;Population Ecology, 61&lt;/i&gt;, 93-101. &lt;a target="_blank" href="https://doi.org/10.1002/1438-390X.1011"&gt;{https://doi.org/10.1002/1438-390X.1011}</t>
  </si>
  <si>
    <t>Clarke, J., Bohm, H., Burton, C., Constantinou, A. (2023). &lt;i&gt;Using Camera Traps to Estimate Medium and Large Mammal Density: Comparison of Methods and Recommendations for Wildlife Managers&lt;/i&gt;. &lt;a target="_blank" href="https://doi.org/10.13140/RG.2.2.18364.72320"&gt;{https://doi.org/10.13140/RG.2.2.18364.72320}</t>
  </si>
  <si>
    <t>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t>
  </si>
  <si>
    <t>Codling, E. A., Plank, M. J., &amp; Benhamou, S. (2008). Random walk models in biology. &lt;i&gt;Journal of The Royal Society Interface, 5&lt;/i&gt;(25), 813-834. &lt;a target="_blank" href="https://doi.org/10.1098/rsif.2008.0014"&gt;{https://doi.org/10.1098/rsif.2008.0014}</t>
  </si>
  <si>
    <t>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t>
  </si>
  <si>
    <t>Columbia Mountains Institute of Applied Ecology [CMI]. (2020) &lt;i&gt;Chris Beirne: Tips and Tricks for the Organization and Analysis of Camera Trap Data&lt;/i&gt;. &lt;a target="_blank" href="https://www.youtube.com/watch?v=VadXgBMhiTY"&gt;{https://www.youtube.com/watch?v=VadXgBMhiTY}</t>
  </si>
  <si>
    <t>Colwell, R. K. (2022). &lt;i&gt;EstimateS: Statistical Estimation of Species Richness and Shared Species from Samples&lt;/i&gt;. Version 9.1. &lt;a target="_blank" href="https://www.robertkcolwell.org/pages/1407"&gt;{https://www.robertkcolwell.org/pages/1407}</t>
  </si>
  <si>
    <t>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t>
  </si>
  <si>
    <t>Colwell, R. K., Mao, C. X., &amp; Chang, J. (2004). Interpolating, Extrapolating, and Comparing Incidence-based Species Accumulation Curves. &lt;i&gt;Ecology, 85&lt;/i&gt;(10), 2717-2727. &lt;a target="_blank" href="https://doi.org/10.1890/03-0557"&gt;{https://doi.org/10.1890/03-0557}</t>
  </si>
  <si>
    <t>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t>
  </si>
  <si>
    <t>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t>
  </si>
  <si>
    <t>Cove, M. (2020a, Sep 27). &lt;i&gt;Occupancy Modeling Video 1 -- Sampling Techniques for Mammals.&lt;/i&gt; [Video]. YouTube. &lt;a target="_blank" href="https://www.youtube.com/watch?v=n21Ugw0lYcY"&gt;{https://www.youtube.com/watch?v=n21Ugw0lYcY}</t>
  </si>
  <si>
    <t>Cove, M. (2020b, Sep 27). &lt;i&gt;Occupancy Modeling Video 2 -- Introductory Statistical Review.&lt;/i&gt; [Video]. YouTube. &lt;a target="_blank" href="https://www.youtube.com/watch?v=u--F8_oRpVU&amp;t=1s"&gt;{https://www.youtube.com/watch?v=u--F8_oRpVU&amp;t=1s}</t>
  </si>
  <si>
    <t>Cove, M. (2020c, Sep 27). &lt;i&gt;Occupancy Modeling Video 3 -- What are Occupancy Models and What are the Applications?&lt;/i&gt; [Video]. YouTube. &lt;a target="_blank" href="https://www.youtube.com/watch?v=-F-txltI_iA"&gt;{https://www.youtube.com/watch?v=-F-txltI_iA}</t>
  </si>
  <si>
    <t>Cove, M. (2020d, Sep 28). &lt;i&gt;Occupancy Modeling Video 4 -- How to Run and Interpret the Models in PRESENCE&lt;/i&gt; [Video]. YouTube. &lt;a target="_blank" href="https://www.youtube.com/watch?v=DVo4KVMPnWg"&gt;{https://www.youtube.com/watch?v=DVo4KVMPnWg}</t>
  </si>
  <si>
    <t>Crisfield, V. E., Guillaume Blanchet, F., Raudsepp‐Hearne, C., &amp; Gravel, D. (2024). How and why species are rare: Towards an understanding of the ecological causes of rarity. &lt;i&gt;Ecography, 2024&lt;/i&gt;(2), e07037. &lt;a target="_blank" href="https://doi.org/10.1111/ecog.07037"&gt;{https://doi.org/10.1111/ecog.07037}</t>
  </si>
  <si>
    <t>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t>
  </si>
  <si>
    <t>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t>
  </si>
  <si>
    <t>DE-CTR ACCEL (2016, Dec 21) &lt;i&gt;Using Hurdle Models to Analyze Zero-Inflated Count Data.&lt;/i&gt; [Video]. YouTube. &lt;a target="_blank" href="https://www.youtube.com/watch?v=CvM6j8hE8lE"&gt;{https://www.youtube.com/watch?v=CvM6j8hE8lE}</t>
  </si>
  <si>
    <t>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t>
  </si>
  <si>
    <t>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t>
  </si>
  <si>
    <t>Deng, C., Daley, T., &amp; Smith, A. (2015). Applications of species accumulation curves in large‐scale biological data analysis. &lt;i&gt;Quantitative Biology&lt;i&gt;, &lt;i&gt;3&lt;/i&gt;(3), 135-144. &lt;a target="_blank" href="https://doi.org/10.1007/s40484-015-0049-7"&gt;{https://doi.org/10.1007/s40484-015-0049-7}</t>
  </si>
  <si>
    <t>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t>
  </si>
  <si>
    <t>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t>
  </si>
  <si>
    <t>Dickie, M. (2022, April 19). “NEW PAPER ALERT!” Tweet. @MelanieDickie. &lt;a target="_blank" href="https://twitter.com/MelanieDickie/status/1516432277009403904"&gt;{https://twitter.com/MelanieDickie/status/1516432277009403904}</t>
  </si>
  <si>
    <t>Dillon, A., &amp; Kelly, M. J. (2008). Ocelot Home Range, Overlap and Density: Comparing Radio Telemetry with Camera Trapping. &lt;i&gt;Journal of Zoology, 275&lt;/i&gt;, 391-398. &lt;a target="_blank" href="https://doi.org/10.1111/j.1469-7998.2008.00452.x"&gt;{https://doi.org/10.1111/j.1469-7998.2008.00452.x}</t>
  </si>
  <si>
    <t>Donovan, T., Hines, J., &amp; MacKenzie, D. (2024). OCCUPANCYTUTS: Occupancy modelling tutorials with RPRESENCE. &lt;i&gt;Methods in Ecology and Evolution, 15&lt;/i&gt;(3), 477-483. &lt;a target="_blank" href="https://doi.org/10.1111/2041-210X.14285"&gt;{https://doi.org/10.1111/2041-210X.14285}</t>
  </si>
  <si>
    <t>Doran-Myers, D. (2018). &lt;i&gt;Methodological Comparison of Canada Lynx Density Estimation&lt;/i&gt; [Master of Science in Ecology thesis, University of Alberta]. ERA: Education and Research Archive. &lt;a target="_blank" href="https://doi.org/10.7939/R3Q815805"&gt;{https://doi.org/10.7939/R3Q815805}</t>
  </si>
  <si>
    <t>Dubey, A (n.d.). &lt;i&gt;species abundance.&lt;/i&gt; &lt;a target="_blank" href="https://www.britannica.com/science/species-abundance"&gt;{https://www.britannica.com/science/species-abundance}</t>
  </si>
  <si>
    <t>Dunne, B. M., &amp; Quinn, M. S. (2009). Effectiveness of above-ground pipeline mitigation for moose (&lt;i&gt;Alces alces&lt;i&gt;) and other large mammals. &lt;i&gt;Biological Conservation, 142&lt;/i&gt;(2), 332-343. &lt;a target="_blank" href="https://doi.org/10.1016/j.biocon.2008.10.029"&gt;{https://doi.org/10.1016/j.biocon.2008.10.029}</t>
  </si>
  <si>
    <t>Dupont, G., Royle, J. A., Nawaz, M. A., &amp; Sutherland, C. (2021). Optimal sampling design for spatial capture-recapture. &lt;i&gt;Ecology, 102&lt;/i&gt;(3), e03262. &lt;a target="_blank" href="https://doi.org/10.1002/ecy.3262"&gt;{https://doi.org/10.1002/ecy.3262}</t>
  </si>
  <si>
    <t>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t>
  </si>
  <si>
    <t>Efford, M. (2004). Density Estimation in Live-Trapping Studies. &lt;i&gt;Oikos, 106&lt;/i&gt;(3), 598-610. &lt;a target="_blank" href="http://www.jstor.org.login.ezproxy.library.ualberta.ca/stable/3548382"&gt;{http://www.jstor.org.login.ezproxy.library.ualberta.ca/stable/3548382}}</t>
  </si>
  <si>
    <t>Efford, M. (2023). &lt;i&gt;openCR: Open population capture-recapture models&lt;/i&gt;. R package version 2.2.6. &lt;a target="_blank" href="https://CRAN.R-project.org/package=openCR"&gt;{https://CRAN.R-project.org/package=openCR}</t>
  </si>
  <si>
    <t>Efford, M. (2024a). &lt;i&gt;Package 'secr': Spatially Explicit Capture-Recapture&lt;/i&gt;. R package version 4.6.9. &lt;a target="_blank" href="https://CRAN.R-project.org/package=secr"&gt;{https://CRAN.R-project.org/package=secr}</t>
  </si>
  <si>
    <t>Efford, M. (2024b). &lt;i&gt;secr 4.6 - spatially explicit capture-recapture in R.&lt;/i&gt; &lt;a target="_blank" href="https://cran.r-project.org/web/packages/secr/vignettes/secr-overview.pdf"&gt;{https://cran.r-project.org/web/packages/secr/vignettes/secr-overview.pdf}</t>
  </si>
  <si>
    <t>Efford, M. G. (2022). &lt;i&gt;Mark-resight in secr 4. 5. 1-20. &lt;/i&gt; &lt;a target="_blank" href="https://www.otago.ac.nz/Density/pdfs/secr-markresight.pdf"&gt;{https://www.otago.ac.nz/Density/pdfs/secr-markresight.pdf}</t>
  </si>
  <si>
    <t>Efford, M. G., &amp; Boulanger, J. (2019). Fast Evaluation of Study Designs for Spatially Explicit Capture-Recapture. &lt;i&gt;Methods in Ecology and Evolution, 10&lt;/i&gt;(9), 1529-1535. &lt;a target="_blank" href="https://doi.org/10.1111/2041-210X.13239"&gt;{https://doi.org/10.1111/2041-210X.13239}</t>
  </si>
  <si>
    <t>Efford, M. G., &amp; Dawson, D. K. (2012). Occupancy in continuous habitat. &lt;i&gt;Ecosphere, 3&lt;/i&gt;(4). Article 32. &lt;a target="_blank" href="https://doi.org/10.1890/es11-00308.1"&gt;{https://doi.org/10.1890/es11-00308.1}</t>
  </si>
  <si>
    <t>Efford, M. G., &amp; Hunter, C. M. (2018). Spatial Capture-mark-resight Estimation of Animal Population Density. &lt;i&gt;Biometrics, 74&lt;/i&gt;(2), 411-420. &lt;a target="_blank" href="https://doi.org/10.1111/biom.12766"&gt;{https://doi.org/10.1111/biom.12766}</t>
  </si>
  <si>
    <t>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t>
  </si>
  <si>
    <t>Efford, M. G., Dawson, D. K., &amp; Borchers, D. L. (2009b). Population Density estimated from locations of individuals on a passive detector array. &lt;i&gt;Ecology, 90&lt;/i&gt;(10), 2676-2682. &lt;a target="_blank" href="https://doi.org/10.1890/08-1735.1"&gt;{https://doi.org/10.1890/08-1735.1}</t>
  </si>
  <si>
    <t>Efford, M. G., Dawson, D. K., &amp; Robbins, C. S. (2004). DENSITY: Software for analysing capture-recapture data from passive detector arrays. &lt;i&gt;Animal Biodiversity and Conservation, 27&lt;/i&gt;(1), 217-228. &lt;a target="_blank" href="https://doi.org/10.32800/abc.2004.27.0217"&gt;{https://doi.org/10.32800/abc.2004.27.0217}</t>
  </si>
  <si>
    <t>Espartosa, K. D., Pinotti, B. T., &amp; Pardini, R. (2011). Performance of Camera Trapping and Track Counts for Surveying Large Mammals in Rainforest Remnants. &lt;i&gt;Biodiversity Conservation, 20&lt;/i&gt;(12), 2815-2829. &lt;a target="_blank" href="https://doi.org/10.1007/s10531-011-0110-4"&gt;{https://doi.org/10.1007/s10531-011-0110-4}</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</si>
  <si>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</si>
  <si>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</si>
  <si>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Evans, M. J. &amp; Rittenhouse, T. A. G. (2018). Evaluating Spatially Explicit Density Estimates of Unmarked Wildlife Detected by Remote Cameras. &lt;i&gt;The Journal of Applied Ecology 55&lt;/i&gt;(6), 2565-74. &lt;a target="_blank" href="https://doi.org/10.1111/1365-2664.13194"&gt;{https://doi.org/10.1111/1365-2664.13194}</t>
  </si>
  <si>
    <t>Fancourt, B. A. (2016). Avoiding the subject: The implications of avoidance behaviour for detecting predators. &lt;i&gt;Behavioral Ecology and Sociobiology, 70&lt;/i&gt;(9), 1535-1546. &lt;a target="_blank" href="https://doi.org/10.1007/s00265-016-2162-7"&gt;{https://doi.org/10.1007/s00265-016-2162-7}</t>
  </si>
  <si>
    <t>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</si>
  <si>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t>
  </si>
  <si>
    <t>Ferreira-Rodríguez, N., &amp; Pombal, M. A. (2019). Bait effectiveness in camera trap studies in the Iberian Peninsula. &lt;i&gt;Mammal Research, 64&lt;/i&gt;(2), 155-164. &lt;a target="_blank" href="https://doi.org/10.1007/s13364-018-00414-1"&gt;{https://doi.org/10.1007/s13364-018-00414-1}</t>
  </si>
  <si>
    <t>Fidino, M. (2021a) &lt;i&gt;multi-state-occupancy-models.&lt;/i&gt; &lt;a target="_blank" href="https://github.com/mfidino/integrated-occupancy-model"&gt;{https://github.com/mfidino/integrated-occupancy-model}</t>
  </si>
  <si>
    <t>Fidino, M. (2021b) &lt;i&gt;A gentle introduction to an integrated occupancy model that combines presence-only and detection/non-detection data, and how to fit it in JAGS&lt;/i&gt; &lt;a target="_blank" href="https://masonfidino.com/bayesian_integrated_model"&gt;{https://masonfidino.com/bayesian_integrated_model}</t>
  </si>
  <si>
    <t>Fidino, M. (2021c) &lt;i&gt;integrated-occupancy-models&lt;/i&gt; &lt;a target="_blank" href="https://github.com/mfidino/integrated-occupancy-model"&gt;{https://github.com/mfidino/integrated-occupancy-model}</t>
  </si>
  <si>
    <t>Fidino, M. (2021d) &lt;i&gt;So, you don't have enough data to fit a dynamic occupancy model? An introduction to auto-logistic occupancy models.&lt;/i&gt; &lt;a target="_blank" href="https://masonfidino.com/autologistic_occupancy_model"&gt;{https://masonfidino.com/autologistic_occupancy_model}</t>
  </si>
  <si>
    <t>Fidino, M. (2021e) &lt;i&gt;auto-logistic-occupancy.&lt;/i&gt; &lt;a target="_blank" href="https://github.com/mfidino/auto-logistic-occupancy"&gt;{https://github.com/mfidino/auto-logistic-occupancy}</t>
  </si>
  <si>
    <t>Fidino, M. (2021F) &lt;i&gt;Using the mgcvmgcv package to create a generalized additive occupancy model in R.&lt;/i&gt; &lt;a target="_blank" href="https://masonfidino.com/generalized_additive_occupancy_model"&gt;{https://masonfidino.com/generalized_additive_occupancy_model}</t>
  </si>
  <si>
    <t>Fidino, M. (2023) &lt;i&gt;autoOcc: An R package for fitting autologistic occupancy models.&lt;/i&gt; R package version 0.1.1, &lt;a target="_blank" href="https://github.com/mfidino/autoOcc"&gt;{https://github.com/mfidino/autoOcc}</t>
  </si>
  <si>
    <t>Fidino, M., &amp; Magle, S. B. (2017). Using Fourier series to predict periodic patterns in dynamic occupancy models. &lt;i&gt;Ecosphere,8&lt;/i&gt;(9) , e01944. &lt;a target="_blank" href="https://doi.org/10.1002/ecs2.1944"&gt;{https://doi.org/10.1002/ecs2.1944}</t>
  </si>
  <si>
    <t>Fidino, M., Barnas, G. R., Lehrer, E. W., Murray, M. H., &amp; Magle, S. B. (2020). Effect of Lure on Detecting Mammals with Camera Traps. &lt;i&gt;Wildlife Society Bulletin&lt;/i&gt;. &lt;a target="_blank" href="https://doi.org/10.1002/wsb.1122"&gt;{https://doi.org/10.1002/wsb.1122}</t>
  </si>
  <si>
    <t>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t>
  </si>
  <si>
    <t>Fisher, J. T., &amp; Burton, C. (2012). &lt;i&gt;Monitoring Mammals in Alberta: Recommendations for Remote Camera Trapping&lt;/i&gt;. Alberta Innovates - Technology Futures &amp; Alberta Biodiversity Monitoring Institute. &lt;a target="_blank" href="https://doi.org/0.13140/RG.2.1.3944.3680"&gt;{https://doi.org/0.13140/RG.2.1.3944.3680}</t>
  </si>
  <si>
    <t>Fisher, J. T., Anholt, B., &amp; Volpe, J. P. (2011). Body Mass Explains Characteristic Scales of Habitat Selection in Terrestrial Mammals. &lt;i&gt;Ecology and Evolution&lt;i&gt;, &lt;i&gt;1&lt;/i&gt;(4), 517-528. &lt;a target="_blank" href="https://doi.org/10.1002/ece3.45"&gt;{https://doi.org/10.1002/ece3.45}</t>
  </si>
  <si>
    <t>Fisher, J. T., Wheatley, M., &amp; Mackenzie, D. (2014). Spatial Patterns of Breeding Success of Grizzly Bears derived from Hierarchical Multistate Models. &lt;i&gt;Conservation Biology, 28&lt;/i&gt;(5), 1249-1259. &lt;a target="_blank" href="https://doi.org/10.1111/cobi.12302"&gt;{https://doi.org/10.1111/cobi.12302}</t>
  </si>
  <si>
    <t>Fiske, I. &amp; Chandler, R. (2011). unmarked: An R Package for Fitting Hierarchical Models of Wildlife Occurrence and Abundance. &lt;i&gt;Journal of Statistical Software, 43&lt;/i&gt;(10), 1-23. &lt;a target="_blank" href="https://www.jstatsoft.org/v43/i10"&gt;{https://www.jstatsoft.org/v43/i10}</t>
  </si>
  <si>
    <t>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t>
  </si>
  <si>
    <t>Fleming, J., Grant, E. H. C., Sterrett, S. C., &amp; Sutherland, C. (2021). Experimental evaluation of spatial capture-recapture study design. &lt;i&gt;Ecological Applications, 31&lt;/i&gt;(7), e02419. &lt;a target="_blank" href="https://doi.org/10.1002/eap.2419"&gt;{https://doi.org/10.1002/eap.2419}</t>
  </si>
  <si>
    <t>Foca, J. M. (2021). &lt;i&gt;Camera Traps for Evaluating Ungulate Densities and Interspecific Interactions in the Beaver Hills Region of Alberta&lt;/i&gt;. [Master's thesis, University of Alberta]. &lt;a target="_blank" href="https://doi.org/10.7939/r3-bm8f-yj13"&gt;{https://doi.org/10.7939/r3-bm8f-yj13}</t>
  </si>
  <si>
    <t>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t>
  </si>
  <si>
    <t>Forrester, T., O'Brien, T., Fegraus, E., Jansen, P. A., Palmer, J., Kays, R., Ahumada, J., Stern, B., &amp; McShea, W. (2016). An Open Standard for Camera Trap Data. &lt;i&gt;Biodiversity Data Journal, 4&lt;/i&gt;, e10197. &lt;a target="_blank" href="https://doi.org/10.3897/BDJ.4.e10197"&gt;{https://doi.org/10.3897/BDJ.4.e10197}</t>
  </si>
  <si>
    <t>Foster, R. J., &amp; Harmsen, B. J. (2012). A Critique of Density Estimation from Camera Trap Data. &lt;i&gt;Journal of&lt;i&gt; &lt;i&gt;Wildlife Management, 76&lt;/i&gt;(2), 224-36. &lt;a target="_blank" href="https://doi.org/10.1002/jwmg.275"&gt;{https://doi.org/10.1002/jwmg.275}</t>
  </si>
  <si>
    <t>Found, R., &amp; Patterson, B. R. (2020). Assessing Ungulate Populations in Temperate North America. &lt;i&gt;Canadian Wildlife Biology and Management, 9&lt;/i&gt;(1), 21-42. &lt;a target="_blank" href="https://cwbm.ca/wp-content/uploads/2020/05/Found-Patterson.pdf"&gt;{https://cwbm.ca/wp-content/uploads/2020/05/Found-Patterson.pdf}</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</si>
  <si>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t>
  </si>
  <si>
    <t>Freeman, E. A. &amp; Moisen, G. (2008). PresenceAbsence: An R Package for Presence Absence Analysis. &lt;i&gt;Journal of Statistical Software, 23&lt;/i&gt;(11). &lt;a target="_blank" href="https://www.fs.usda.gov/rm/pubs_other/rmrs_2008_freeman_e001.pdf"&gt;{https://www.fs.usda.gov/rm/pubs_other/rmrs_2008_freeman_e001.pdf}</t>
  </si>
  <si>
    <t>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</si>
  <si>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t>
  </si>
  <si>
    <t>Gallo, T., Fidino, M., Lehrer, E. W., &amp; Magle, S. (2019). Urbanization Alters Predator-Avoidance Behaviours. &lt;i&gt;Journal of Animal Ecology, 88&lt;/i&gt;(5), 793-803. &lt;a target="_blank" href="https://doi.org/10.1111/1365-2656.12967"&gt;{https://doi.org/10.1111/1365-2656.12967}</t>
  </si>
  <si>
    <t>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t>
  </si>
  <si>
    <t>Ganskopp, D. C., &amp; Johnson, D. D. (2007). GPS Error in Studies Addressing Animal Movements and Activities. &lt;i&gt;Rangeland Ecology and Management, 60&lt;/i&gt;, 350-358. &lt;a target="_blank" href="https://doi.org/10.2111/1551-5028(2007)60[350:GEISAA]2.0.CO;2"&gt;{https://doi.org/10.2111/1551-5028(2007)60[350:GEISAA]2.0.CO;2}</t>
  </si>
  <si>
    <t>Garamszegi, L. Z. (2016). A simple statistical guide for the analysis of behaviour when data are constrained due to practical or ethical reasons. &lt;i&gt;Animal Behaviour, 120&lt;/i&gt;, 223-234. &lt;a target="_blank" href="https://doi.org/10.1016/j.anbehav.2015.11.009"&gt;{https://doi.org/10.1016/j.anbehav.2015.11.009}</t>
  </si>
  <si>
    <t>Garland, L., Neilson, E., Avgar, T., Bayne, E., &amp; Boutin, S. (2020). Random Encounter and Staying Time Model Testing with Human Volunteers. &lt;i&gt;The Journal of Wildlife Management, 84&lt;/i&gt;(6), 1179-1184. &lt;a target="_blank" href="https://doi.org/10.1002/jwmg.21879"&gt;{https://doi.org/10.1002/jwmg.21879}</t>
  </si>
  <si>
    <t>Garland, T. (1983). The relation between maximal running speed and body mass in terrestrial mammals. &lt;i&gt;Journal of Zoology, 199&lt;/i&gt;(2), 157-170. &lt;a target="_blank" href="https://doi.org/10.1111/j.1469-7998.1983.tb02087.x"&gt;{https://doi.org/10.1111/j.1469-7998.1983.tb02087.x}</t>
  </si>
  <si>
    <t>Gaston, K. J., Blackburn, T. M., Greenwood, J. J. D., Gregory, R. D., Quinn, R. M., &amp; Lawton, J. H. (2000). Abundance-Occupancy Relationships. &lt;i&gt;The Journal of Applied Ecology, 37&lt;/i&gt;(s1), 39-59. &lt;a target="_blank" href="https://doi.org/10.1046/j.1365-2664.2000.00485.x"&gt;{https://doi.org/10.1046/j.1365-2664.2000.00485.x}</t>
  </si>
  <si>
    <t>Gerber, B. D., Devarajan, K., Farris, Z. J., &amp; Fidino, M. (2023). A model-based hypothesis framework to define and estimate the diel niche via the ‘Diel.Niche’ R package. &lt;i&gt;bioRxiv, 2023.06.21.545898.&lt;/i&gt; &lt;a target="_blank" href="https://doi.org/10.1101/2023.06.21.545898"&gt;{https://doi.org/10.1101/2023.06.21.545898}</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</si>
  <si>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t>
  </si>
  <si>
    <t>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t>
  </si>
  <si>
    <t>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</si>
  <si>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</si>
  <si>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</si>
  <si>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</si>
  <si>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</si>
  <si>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refbib_html_anchor</t>
  </si>
  <si>
    <t>WildCo Lab (2021e). *Chapter 14 Behavior*. &lt;https://bookdown.org/c_w_beirne/wildCo-Data-Analysis/behavior.html&gt;</t>
  </si>
  <si>
    <t>WildCo Lab, 2021e</t>
  </si>
  <si>
    <t>WildCo Lab (2021e). &lt;i&gt;Chapter 14 Behavior&lt;/i&gt;. &lt;a target="_blank" href="https://bookdown.org/c_w_beirne/wildCo-Data-Analysis/behavior.html"&gt;{https://bookdown.org/c_w_beirne/wildCo-Data-Analysis/behavior.html}</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</si>
  <si>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</si>
  <si>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</si>
  <si>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</si>
  <si>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</si>
  <si>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</si>
  <si>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</si>
  <si>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</si>
  <si>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</si>
  <si>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</si>
  <si>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</si>
  <si>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</si>
  <si>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</si>
  <si>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</si>
  <si>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</si>
  <si>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</si>
  <si>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</si>
  <si>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</si>
  <si>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</si>
  <si>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</si>
  <si>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</si>
  <si>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</si>
  <si>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</si>
  <si>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</si>
  <si>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</si>
  <si>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</si>
  <si>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</si>
  <si>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</si>
  <si>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</si>
  <si>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</si>
  <si>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</si>
  <si>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</si>
  <si>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</si>
  <si>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</si>
  <si>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</si>
  <si>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</si>
  <si>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</si>
  <si>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</si>
  <si>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</si>
  <si>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</si>
  <si>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</si>
  <si>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</si>
  <si>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</si>
  <si>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</si>
  <si>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</si>
  <si>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</si>
  <si>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</si>
  <si>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</si>
  <si>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</si>
  <si>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</si>
  <si>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</si>
  <si>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</si>
  <si>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</si>
  <si>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</si>
  <si>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</si>
  <si>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</si>
  <si>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</si>
  <si>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</si>
  <si>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</si>
  <si>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</si>
  <si>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</si>
  <si>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</si>
  <si>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</si>
  <si>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</si>
  <si>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</si>
  <si>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</si>
  <si>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</si>
  <si>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</si>
  <si>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</si>
  <si>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</si>
  <si>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</si>
  <si>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</si>
  <si>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</si>
  <si>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</si>
  <si>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</si>
  <si>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</si>
  <si>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</si>
  <si>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</si>
  <si>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</si>
  <si>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</si>
  <si>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</si>
  <si>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</si>
  <si>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</si>
  <si>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</si>
  <si>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</si>
  <si>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</si>
  <si>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</si>
  <si>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</si>
  <si>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</si>
  <si>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</si>
  <si>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</si>
  <si>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</si>
  <si>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</si>
  <si>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</si>
  <si>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</si>
  <si>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</si>
  <si>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</si>
  <si>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</si>
  <si>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</si>
  <si>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</si>
  <si>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</si>
  <si>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</si>
  <si>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</si>
  <si>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</si>
  <si>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</si>
  <si>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</si>
  <si>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</si>
  <si>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</si>
  <si>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</si>
  <si>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</si>
  <si>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</si>
  <si>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</si>
  <si>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</si>
  <si>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</si>
  <si>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 xml:space="preserve">    title_i_mod_2flankspim: "Spatial Partial Identity Model (2-flank SPIM)"</t>
  </si>
  <si>
    <t xml:space="preserve">    title_i_mod_behaviour: "Behaviour"</t>
  </si>
  <si>
    <t xml:space="preserve">    title_i_mod_catspim: "Spatial Partial Identity Model (Categorical SPIM; catSPIM)"</t>
  </si>
  <si>
    <t xml:space="preserve">    title_i_mod_cr_cmr: "Capture-recapture (CR) / Capture-mark-recapture (CMR)"</t>
  </si>
  <si>
    <t xml:space="preserve">    title_i_mod_divers_rich: "Species diversity &amp; richness"</t>
  </si>
  <si>
    <t xml:space="preserve">    title_i_mod_ds: "Distance sampling (DS)"</t>
  </si>
  <si>
    <t xml:space="preserve">    title_i_mod_inventory: "Species inventory"</t>
  </si>
  <si>
    <t xml:space="preserve">    title_i_mod_is: "Instantaneous sampling (IS)"</t>
  </si>
  <si>
    <t xml:space="preserve">    title_i_mod_occupancy: "Occupancy models"</t>
  </si>
  <si>
    <t xml:space="preserve">    title_i_mod_rai: "Relative abundance indices"</t>
  </si>
  <si>
    <t xml:space="preserve">    title_i_mod_rai_hurdle: "Relative abundance indices - Hurdle"</t>
  </si>
  <si>
    <t xml:space="preserve">    title_i_mod_rai_nb: "Relative abundance indices - Negative binomial (NB)"</t>
  </si>
  <si>
    <t xml:space="preserve">    title_i_mod_rai_poisson: "Relative abundance indices - Poisson"</t>
  </si>
  <si>
    <t xml:space="preserve">    title_i_mod_rai_zinb: "Relative abundance indices - Zero-inflated negative binomial (ZINB)"</t>
  </si>
  <si>
    <t xml:space="preserve">    title_i_mod_rai_zip: "Relative abundance indices - Zero-inflated poisson (ZIP)"</t>
  </si>
  <si>
    <t xml:space="preserve">    title_i_mod_rem: "Random encounter model (REM)"</t>
  </si>
  <si>
    <t xml:space="preserve">    title_i_mod_rest: "Random encounter and staying time (REST)"</t>
  </si>
  <si>
    <t xml:space="preserve">    title_i_mod_sc: "Spatial count (SC) model / Unmarked spatial capture-recapture"</t>
  </si>
  <si>
    <t xml:space="preserve">    title_i_mod_scr_secr: "Spatial capture-recapture (SCR) / Spatially explicit capture recapture (SECR)"</t>
  </si>
  <si>
    <t xml:space="preserve">    title_i_mod_smr: "Spatial mark-resight "</t>
  </si>
  <si>
    <t xml:space="preserve">    title_i_mod_ste: "Space-to-event (STE)"</t>
  </si>
  <si>
    <t xml:space="preserve">    title_i_mod_tifc: "Time in front of the camera (TIFC)"</t>
  </si>
  <si>
    <t xml:space="preserve">    title_i_mod_tte: "Time-to-event (TTE)"</t>
  </si>
  <si>
    <t>Iannarilli, F., Gerber, B. D., Erb, J., &amp; Fieberg, J. R. (2024a). A ‘how‐to’ guide for estimating animal diel activity using hierarchical models. *Journal of Animal Ecology*, 1365-2656. 14213. &lt;https://doi.org/10.1111/1365-2656.14213&gt;</t>
  </si>
  <si>
    <t>iannarilli_et_al_2024a</t>
  </si>
  <si>
    <t>iannarilli_et_al_2024b</t>
  </si>
  <si>
    <t>Iannarilli, F., Gerber, B. D., Erb, J., and Fieberg, J. R. (2024a). *Data, R Code, and Output Supporting: A “How-to” Guide for Estimating Animal Diel Activity Using Hierarchical Models.* Retrieved from the Data Repository for the University of Minnesota. &lt;https://github.com/FabiolaIannarilli/HMs_Activit&gt;</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</si>
  <si>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</si>
  <si>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</si>
  <si>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</si>
  <si>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</si>
  <si>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</si>
  <si>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</si>
  <si>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</si>
  <si>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</si>
  <si>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</si>
  <si>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</si>
  <si>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</si>
  <si>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</si>
  <si>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</si>
  <si>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</si>
  <si>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</si>
  <si>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</si>
  <si>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</si>
  <si>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</si>
  <si>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</si>
  <si>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</si>
  <si>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</si>
  <si>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</si>
  <si>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</si>
  <si>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</si>
  <si>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</si>
  <si>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</si>
  <si>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</si>
  <si>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</si>
  <si>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</si>
  <si>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</si>
  <si>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</si>
  <si>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</si>
  <si>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</si>
  <si>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</si>
  <si>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</si>
  <si>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</si>
  <si>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</si>
  <si>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</si>
  <si>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</si>
  <si>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</si>
  <si>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</si>
  <si>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</si>
  <si>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</si>
  <si>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</si>
  <si>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</si>
  <si>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</si>
  <si>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</si>
  <si>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</si>
  <si>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</si>
  <si>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</si>
  <si>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</si>
  <si>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</si>
  <si>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</si>
  <si>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</si>
  <si>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 xml:space="preserve">    def_obj_abundance: "{{ def_mod_abundance }}"</t>
  </si>
  <si>
    <t xml:space="preserve">    def_obj_behaviour: "{{ def_mod_behaviour }}"</t>
  </si>
  <si>
    <t xml:space="preserve">    def_obj_density: "{{ def_mod_density }}"</t>
  </si>
  <si>
    <t xml:space="preserve">    def_obj_divers_rich: "{{ def_mod_divers_rich }}"</t>
  </si>
  <si>
    <t xml:space="preserve">    def_obj_inventory: "{{ def_mod_inventory }}"</t>
  </si>
  <si>
    <t xml:space="preserve">    def_obj_occupancy: "{{ def_mod_occupancy }}"</t>
  </si>
  <si>
    <t xml:space="preserve">    def_obj_rel_abund: "{{ def_mod_rel_abund }}"</t>
  </si>
  <si>
    <t xml:space="preserve">    def_obj_vital_rate: "{{ def_mod_vital_rate }}"</t>
  </si>
  <si>
    <t>Carswell, B. M., Avgar, T., Street, G. M., Boyle, S. P., &amp; Vander Wal, E. (2024). One size does not fit all: A novel approach for determining the Realised Viewshed Size for remote camera traps. *Ecology*. &lt;https://doi.org/10.1101/2024.05.09.593241&gt;</t>
  </si>
  <si>
    <t>Carswell et al., 2024</t>
  </si>
  <si>
    <t>carswell_et_al_2024</t>
  </si>
  <si>
    <t>https://doi.org/10.1101/2024.05.09.593241</t>
  </si>
  <si>
    <t>Carswell, B. M., Avgar, T., Street, G. M., Boyle, S. P., &amp; Vander Wal, E. (2024). One size does not fit all: A novel approach for determining the Realised Viewshed Size for remote camera traps. &lt;i&gt;Ecology&lt;/i&gt;. &lt;a target="_blank" href="https://doi.org/10.1101/2024.05.09.593241&gt;"&gt;{https://doi.org/10.1101/2024.05.09.593241}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</si>
  <si>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</si>
  <si>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</si>
  <si>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</si>
  <si>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</si>
  <si>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</si>
  <si>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</si>
  <si>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</si>
  <si>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</si>
  <si>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</si>
  <si>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</si>
  <si>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</si>
  <si>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</si>
  <si>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</si>
  <si>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</si>
  <si>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</si>
  <si>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</si>
  <si>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</si>
  <si>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</si>
  <si>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</si>
  <si>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</si>
  <si>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</si>
  <si>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</si>
  <si>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</si>
  <si>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</si>
  <si>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</si>
  <si>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</si>
  <si>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</si>
  <si>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</si>
  <si>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</si>
  <si>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</si>
  <si>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</si>
  <si>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</si>
  <si>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</si>
  <si>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</si>
  <si>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</si>
  <si>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</si>
  <si>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</si>
  <si>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</si>
  <si>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</si>
  <si>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</si>
  <si>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</si>
  <si>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</si>
  <si>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</si>
  <si>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</si>
  <si>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</si>
  <si>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</si>
  <si>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</si>
  <si>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</si>
  <si>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</si>
  <si>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</si>
  <si>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</si>
  <si>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</si>
  <si>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</si>
  <si>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</si>
  <si>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</si>
  <si>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</si>
  <si>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</si>
  <si>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</si>
  <si>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</si>
  <si>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</si>
  <si>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</si>
  <si>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</si>
  <si>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</si>
  <si>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</si>
  <si>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</si>
  <si>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</si>
  <si>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</si>
  <si>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</si>
  <si>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</si>
  <si>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</si>
  <si>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</si>
  <si>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</si>
  <si>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</si>
  <si>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</si>
  <si>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</si>
  <si>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</si>
  <si>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</si>
  <si>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</si>
  <si>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</si>
  <si>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</si>
  <si>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</si>
  <si>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</si>
  <si>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</si>
  <si>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</si>
  <si>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</si>
  <si>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</si>
  <si>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</si>
  <si>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</si>
  <si>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</si>
  <si>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</si>
  <si>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</si>
  <si>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</si>
  <si>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</si>
  <si>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</si>
  <si>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</si>
  <si>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</si>
  <si>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</si>
  <si>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</si>
  <si>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</si>
  <si>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</si>
  <si>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</si>
  <si>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</si>
  <si>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</si>
  <si>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</si>
  <si>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</si>
  <si>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</si>
  <si>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</si>
  <si>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</si>
  <si>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</si>
  <si>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</si>
  <si>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</si>
  <si>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</si>
  <si>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</si>
  <si>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</si>
  <si>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</si>
  <si>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</si>
  <si>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</si>
  <si>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</si>
  <si>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</si>
  <si>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</si>
  <si>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</si>
  <si>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</si>
  <si>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</si>
  <si>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</si>
  <si>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</si>
  <si>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</si>
  <si>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</si>
  <si>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</si>
  <si>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</si>
  <si>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</si>
  <si>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</si>
  <si>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</si>
  <si>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</si>
  <si>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</si>
  <si>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</si>
  <si>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</si>
  <si>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</si>
  <si>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</si>
  <si>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</si>
  <si>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</si>
  <si>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</si>
  <si>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</si>
  <si>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</si>
  <si>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</si>
  <si>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</si>
  <si>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</si>
  <si>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</si>
  <si>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</si>
  <si>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</si>
  <si>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</si>
  <si>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</si>
  <si>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</si>
  <si>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</si>
  <si>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</si>
  <si>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</si>
  <si>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</si>
  <si>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</si>
  <si>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</si>
  <si>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</si>
  <si>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</si>
  <si>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</si>
  <si>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</si>
  <si>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</si>
  <si>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</si>
  <si>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</si>
  <si>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</si>
  <si>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</si>
  <si>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</si>
  <si>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</si>
  <si>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</si>
  <si>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</si>
  <si>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</si>
  <si>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</si>
  <si>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</si>
  <si>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</si>
  <si>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</si>
  <si>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</si>
  <si>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</si>
  <si>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</si>
  <si>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</si>
  <si>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</si>
  <si>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</si>
  <si>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</si>
  <si>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</si>
  <si>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</si>
  <si>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</si>
  <si>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</si>
  <si>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</si>
  <si>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</si>
  <si>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</si>
  <si>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</si>
  <si>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</si>
  <si>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</si>
  <si>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</si>
  <si>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</si>
  <si>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</si>
  <si>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</si>
  <si>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</si>
  <si>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</si>
  <si>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</si>
  <si>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</si>
  <si>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</si>
  <si>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</si>
  <si>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</si>
  <si>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</si>
  <si>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</si>
  <si>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</si>
  <si>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</si>
  <si>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</si>
  <si>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</si>
  <si>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</si>
  <si>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</si>
  <si>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</si>
  <si>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</si>
  <si>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</si>
  <si>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</si>
  <si>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</si>
  <si>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</si>
  <si>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</si>
  <si>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</si>
  <si>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</si>
  <si>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</si>
  <si>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</si>
  <si>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</si>
  <si>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</si>
  <si>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</si>
  <si>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</si>
  <si>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</si>
  <si>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</si>
  <si>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</si>
  <si>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</si>
  <si>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</si>
  <si>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</si>
  <si>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</si>
  <si>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</si>
  <si>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</si>
  <si>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</si>
  <si>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</si>
  <si>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</si>
  <si>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</si>
  <si>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</si>
  <si>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</si>
  <si>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</si>
  <si>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</si>
  <si>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</si>
  <si>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</si>
  <si>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</si>
  <si>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</si>
  <si>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</si>
  <si>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</si>
  <si>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</si>
  <si>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</si>
  <si>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</si>
  <si>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</si>
  <si>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</si>
  <si>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</si>
  <si>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</si>
  <si>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</si>
  <si>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</si>
  <si>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</si>
  <si>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</si>
  <si>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</si>
  <si>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</si>
  <si>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</si>
  <si>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</si>
  <si>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</si>
  <si>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</si>
  <si>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</si>
  <si>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</si>
  <si>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</si>
  <si>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</si>
  <si>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</si>
  <si>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</si>
  <si>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</si>
  <si>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</si>
  <si>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</si>
  <si>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</si>
  <si>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</si>
  <si>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</si>
  <si>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</si>
  <si>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</si>
  <si>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</si>
  <si>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</si>
  <si>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</si>
  <si>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</si>
  <si>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</si>
  <si>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</si>
  <si>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</si>
  <si>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</si>
  <si>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</si>
  <si>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</si>
  <si>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</si>
  <si>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</si>
  <si>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</si>
  <si>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</si>
  <si>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</si>
  <si>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</si>
  <si>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</si>
  <si>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</si>
  <si>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</si>
  <si>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</si>
  <si>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</si>
  <si>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</si>
  <si>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</si>
  <si>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</si>
  <si>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</si>
  <si>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</si>
  <si>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</si>
  <si>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</si>
  <si>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</si>
  <si>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</si>
  <si>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</si>
  <si>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</si>
  <si>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</si>
  <si>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</si>
  <si>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</si>
  <si>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</si>
  <si>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</si>
  <si>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</si>
  <si>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</si>
  <si>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</si>
  <si>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</si>
  <si>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</si>
  <si>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</si>
  <si>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</si>
  <si>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</si>
  <si>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</si>
  <si>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</si>
  <si>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</si>
  <si>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</si>
  <si>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</si>
  <si>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</si>
  <si>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</si>
  <si>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</si>
  <si>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</si>
  <si>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</si>
  <si>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</si>
  <si>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</si>
  <si>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</si>
  <si>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</si>
  <si>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</si>
  <si>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</si>
  <si>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</si>
  <si>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</si>
  <si>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</si>
  <si>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</si>
  <si>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</si>
  <si>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</si>
  <si>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</si>
  <si>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</si>
  <si>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</si>
  <si>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</si>
  <si>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</si>
  <si>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</si>
  <si>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</si>
  <si>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</si>
  <si>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</si>
  <si>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</si>
  <si>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</si>
  <si>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</si>
  <si>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</si>
  <si>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</si>
  <si>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</si>
  <si>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</si>
  <si>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</si>
  <si>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</si>
  <si>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</si>
  <si>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</si>
  <si>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</si>
  <si>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</si>
  <si>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</si>
  <si>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</si>
  <si>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</si>
  <si>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</si>
  <si>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</si>
  <si>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</si>
  <si>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</si>
  <si>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</si>
  <si>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</si>
  <si>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</si>
  <si>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</si>
  <si>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</si>
  <si>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</si>
  <si>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</si>
  <si>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</si>
  <si>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</si>
  <si>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</si>
  <si>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</si>
  <si>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</si>
  <si>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</si>
  <si>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</si>
  <si>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</si>
  <si>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</si>
  <si>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</si>
  <si>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</si>
  <si>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</si>
  <si>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</si>
  <si>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</si>
  <si>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</si>
  <si>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</si>
  <si>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</si>
  <si>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</si>
  <si>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</si>
  <si>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</si>
  <si>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</si>
  <si>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</si>
  <si>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</si>
  <si>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</si>
  <si>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</si>
  <si>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</si>
  <si>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</si>
  <si>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</si>
  <si>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</si>
  <si>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</si>
  <si>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</si>
  <si>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</si>
  <si>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</si>
  <si>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</si>
  <si>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</si>
  <si>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</si>
  <si>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</si>
  <si>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</si>
  <si>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</si>
  <si>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</si>
  <si>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</si>
  <si>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</si>
  <si>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</si>
  <si>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</si>
  <si>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</si>
  <si>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</si>
  <si>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</si>
  <si>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</si>
  <si>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</si>
  <si>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</si>
  <si>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</si>
  <si>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</si>
  <si>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</si>
  <si>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</si>
  <si>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</si>
  <si>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</si>
  <si>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</si>
  <si>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</si>
  <si>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</si>
  <si>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</si>
  <si>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</si>
  <si>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</si>
  <si>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</si>
  <si>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</si>
  <si>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</si>
  <si>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</si>
  <si>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</si>
  <si>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</si>
  <si>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</si>
  <si>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</si>
  <si>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</si>
  <si>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</si>
  <si>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</si>
  <si>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</si>
  <si>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</si>
  <si>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</si>
  <si>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</si>
  <si>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</si>
  <si>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</si>
  <si>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</si>
  <si>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</si>
  <si>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</si>
  <si>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</si>
  <si>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</si>
  <si>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</si>
  <si>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</si>
  <si>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</si>
  <si>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</si>
  <si>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</si>
  <si>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</si>
  <si>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</si>
  <si>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</si>
  <si>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</si>
  <si>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</si>
  <si>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</si>
  <si>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</si>
  <si>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</si>
  <si>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</si>
  <si>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</si>
  <si>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</si>
  <si>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</si>
  <si>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</si>
  <si>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</si>
  <si>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</si>
  <si>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</si>
  <si>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</si>
  <si>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</si>
  <si>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</si>
  <si>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</si>
  <si>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</si>
  <si>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</si>
  <si>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</si>
  <si>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</si>
  <si>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</si>
  <si>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</si>
  <si>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</si>
  <si>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</si>
  <si>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</si>
  <si>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</si>
  <si>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</si>
  <si>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</si>
  <si>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</si>
  <si>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</si>
  <si>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</si>
  <si>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</si>
  <si>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</si>
  <si>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dddd</t>
  </si>
  <si>
    <t>merged</t>
  </si>
  <si>
    <t>merged2</t>
  </si>
  <si>
    <t>{{ sampledesign_targeted_tu }}</t>
  </si>
  <si>
    <t>cryptic</t>
  </si>
  <si>
    <t>elusive</t>
  </si>
  <si>
    <t xml:space="preserve">    mod_appl_mod_2flankspim</t>
  </si>
  <si>
    <t xml:space="preserve">    mod_appl_mod_behaviour</t>
  </si>
  <si>
    <t xml:space="preserve">    mod_appl_mod_catspim</t>
  </si>
  <si>
    <t xml:space="preserve">    mod_appl_mod_cr_cmr</t>
  </si>
  <si>
    <t xml:space="preserve">    mod_appl_mod_divers_rich_alpha</t>
  </si>
  <si>
    <t xml:space="preserve">    mod_appl_mod_divers_rich_beta</t>
  </si>
  <si>
    <t xml:space="preserve">    mod_appl_mod_divers_rich_divers</t>
  </si>
  <si>
    <t xml:space="preserve">    mod_appl_mod_divers_rich_gamma</t>
  </si>
  <si>
    <t xml:space="preserve">    mod_appl_mod_divers_rich_rich</t>
  </si>
  <si>
    <t xml:space="preserve">    mod_appl_mod_ds</t>
  </si>
  <si>
    <t xml:space="preserve">    mod_appl_mod_inventory</t>
  </si>
  <si>
    <t xml:space="preserve">    mod_appl_mod_is</t>
  </si>
  <si>
    <t xml:space="preserve">    mod_appl_mod_occupancy</t>
  </si>
  <si>
    <t xml:space="preserve">    mod_appl_mod_rai_hurdle</t>
  </si>
  <si>
    <t xml:space="preserve">    mod_appl_mod_rai_nb</t>
  </si>
  <si>
    <t xml:space="preserve">    mod_appl_mod_rai</t>
  </si>
  <si>
    <t xml:space="preserve">    mod_appl_mod_rai_zinb</t>
  </si>
  <si>
    <t xml:space="preserve">    mod_appl_mod_rai_zip</t>
  </si>
  <si>
    <t xml:space="preserve">    mod_appl_mod_rem</t>
  </si>
  <si>
    <t xml:space="preserve">    mod_appl_mod_rest</t>
  </si>
  <si>
    <t xml:space="preserve">    mod_appl_mod_sc</t>
  </si>
  <si>
    <t xml:space="preserve">    mod_appl_mod_scr_secr</t>
  </si>
  <si>
    <t xml:space="preserve">    mod_appl_mod_smr</t>
  </si>
  <si>
    <t xml:space="preserve">    mod_appl_mod_ste</t>
  </si>
  <si>
    <t xml:space="preserve">    mod_appl_mod_tifc</t>
  </si>
  <si>
    <t xml:space="preserve">    mod_appl_mod_tte</t>
  </si>
  <si>
    <t xml:space="preserve">    name_mod_2flankspim</t>
  </si>
  <si>
    <t xml:space="preserve">    name_mod_behaviour</t>
  </si>
  <si>
    <t xml:space="preserve">    name_mod_catspim</t>
  </si>
  <si>
    <t xml:space="preserve">    name_mod_cr_cmr</t>
  </si>
  <si>
    <t xml:space="preserve">    name_mod_divers_rich</t>
  </si>
  <si>
    <t xml:space="preserve">    name_mod_ds</t>
  </si>
  <si>
    <t xml:space="preserve">    name_mod_inventory</t>
  </si>
  <si>
    <t xml:space="preserve">    name_mod_is</t>
  </si>
  <si>
    <t xml:space="preserve">    name_mod_occupancy</t>
  </si>
  <si>
    <t xml:space="preserve">    name_mod_rai_hurdle</t>
  </si>
  <si>
    <t xml:space="preserve">    name_mod_rai_nb</t>
  </si>
  <si>
    <t xml:space="preserve">    name_mod_rai</t>
  </si>
  <si>
    <t xml:space="preserve">    name_mod_rai_zinb</t>
  </si>
  <si>
    <t xml:space="preserve">    name_mod_rai_zip</t>
  </si>
  <si>
    <t xml:space="preserve">    name_mod_rem</t>
  </si>
  <si>
    <t xml:space="preserve">    name_mod_rest</t>
  </si>
  <si>
    <t xml:space="preserve">    name_mod_sc</t>
  </si>
  <si>
    <t xml:space="preserve">    name_mod_scr_secr</t>
  </si>
  <si>
    <t xml:space="preserve">    name_mod_smr</t>
  </si>
  <si>
    <t xml:space="preserve">    name_mod_ste</t>
  </si>
  <si>
    <t xml:space="preserve">    name_mod_tifc</t>
  </si>
  <si>
    <t xml:space="preserve">    name_mod_tte</t>
  </si>
  <si>
    <t xml:space="preserve">    name_obj_abundance</t>
  </si>
  <si>
    <t xml:space="preserve">    name_obj_behaviour</t>
  </si>
  <si>
    <t xml:space="preserve">    name_obj_density</t>
  </si>
  <si>
    <t xml:space="preserve">    name_obj_divers_rich</t>
  </si>
  <si>
    <t xml:space="preserve">    name_obj_inventory</t>
  </si>
  <si>
    <t xml:space="preserve">    name_obj_occupancy</t>
  </si>
  <si>
    <t xml:space="preserve">    name_obj_rel_abund</t>
  </si>
  <si>
    <t xml:space="preserve">    name_obj_vital_rate</t>
  </si>
  <si>
    <t xml:space="preserve">    title_i_mod_2flankspim</t>
  </si>
  <si>
    <t xml:space="preserve">    title_i_mod_behaviour</t>
  </si>
  <si>
    <t xml:space="preserve">    title_i_mod_catspim</t>
  </si>
  <si>
    <t xml:space="preserve">    title_i_mod_cr_cmr</t>
  </si>
  <si>
    <t xml:space="preserve">    title_i_mod_divers_rich</t>
  </si>
  <si>
    <t xml:space="preserve">    title_i_mod_ds</t>
  </si>
  <si>
    <t xml:space="preserve">    title_i_mod_inventory</t>
  </si>
  <si>
    <t xml:space="preserve">    title_i_mod_is</t>
  </si>
  <si>
    <t xml:space="preserve">    title_i_mod_occupancy</t>
  </si>
  <si>
    <t xml:space="preserve">    title_i_mod_rai</t>
  </si>
  <si>
    <t xml:space="preserve">    title_i_mod_rai_hurdle</t>
  </si>
  <si>
    <t xml:space="preserve">    title_i_mod_rai_nb</t>
  </si>
  <si>
    <t xml:space="preserve">    title_i_mod_rai_poisson</t>
  </si>
  <si>
    <t xml:space="preserve">    title_i_mod_rai_zinb</t>
  </si>
  <si>
    <t xml:space="preserve">    title_i_mod_rai_zip</t>
  </si>
  <si>
    <t xml:space="preserve">    title_i_mod_rem</t>
  </si>
  <si>
    <t xml:space="preserve">    title_i_mod_rest</t>
  </si>
  <si>
    <t xml:space="preserve">    title_i_mod_sc</t>
  </si>
  <si>
    <t xml:space="preserve">    title_i_mod_scr_secr</t>
  </si>
  <si>
    <t xml:space="preserve">    title_i_mod_smr</t>
  </si>
  <si>
    <t xml:space="preserve">    title_i_mod_ste</t>
  </si>
  <si>
    <t xml:space="preserve">    title_i_mod_tifc</t>
  </si>
  <si>
    <t xml:space="preserve">    title_i_mod_tte</t>
  </si>
  <si>
    <t xml:space="preserve">    def_obj_abundance</t>
  </si>
  <si>
    <t xml:space="preserve">    def_obj_behaviour</t>
  </si>
  <si>
    <t xml:space="preserve">    def_obj_density</t>
  </si>
  <si>
    <t xml:space="preserve">    def_obj_divers_rich</t>
  </si>
  <si>
    <t xml:space="preserve">    def_obj_inventory</t>
  </si>
  <si>
    <t xml:space="preserve">    def_obj_occupancy</t>
  </si>
  <si>
    <t xml:space="preserve">    def_obj_rel_abund</t>
  </si>
  <si>
    <t xml:space="preserve">    def_obj_vital_rate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</si>
  <si>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</si>
  <si>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</si>
  <si>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</si>
  <si>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</si>
  <si>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</si>
  <si>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</si>
  <si>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</si>
  <si>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</si>
  <si>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</si>
  <si>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</si>
  <si>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</si>
  <si>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</si>
  <si>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</si>
  <si>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</si>
  <si>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</si>
  <si>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</si>
  <si>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</si>
  <si>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L. (2021, Apr 27). *Dispersal &amp; Animal Home Range.*  [Video]. YouTube. &lt;https://www.youtube.com/watch?v=7447x_f-now&gt;</t>
  </si>
  <si>
    <t>Ferguson, 2021</t>
  </si>
  <si>
    <t>proteus_2018b</t>
  </si>
  <si>
    <t>Proteus (2018b, Sep 21).  *Occupancy modelling - home range vs grid cell size.* &lt;https://www.youtube.com/watch?v=6TtVXy91AY4&gt;</t>
  </si>
  <si>
    <t>Proteus, 2018b</t>
  </si>
  <si>
    <t>Ecological Applications in R. (2021, Apr 14). *Animal Home Range Estimation in R*.&lt;https://www.youtube.com/watch?v=dsPsRPZiOC0&gt;</t>
  </si>
  <si>
    <t>ecol_appl_r_2021</t>
  </si>
  <si>
    <t>tps://www.youtube.com/embed/dsPsRPZiOC0?si=oHw5qxjJU1-9I2jM</t>
  </si>
  <si>
    <t>https://www.youtube.com/embed/6TtVXy91AY4?si=4-C043iMoo5U17BI</t>
  </si>
  <si>
    <t>https://www.youtube.com/shorts/WZEHRu8JMYM</t>
  </si>
  <si>
    <t>Ecological Applications in R, 2021</t>
  </si>
  <si>
    <t>def_obj_abundance</t>
  </si>
  <si>
    <t>def_obj_behaviour</t>
  </si>
  <si>
    <t>def_obj_density</t>
  </si>
  <si>
    <t>def_obj_divers_rich</t>
  </si>
  <si>
    <t>def_obj_inventory</t>
  </si>
  <si>
    <t>def_obj_occupancy</t>
  </si>
  <si>
    <t>def_obj_rel_abund</t>
  </si>
  <si>
    <t>def_obj_vital_rate</t>
  </si>
  <si>
    <t>mod_appl_mod_2flankspim</t>
  </si>
  <si>
    <t>mod_appl_mod_behaviour</t>
  </si>
  <si>
    <t>mod_appl_mod_catspim</t>
  </si>
  <si>
    <t>mod_appl_mod_cr_cmr</t>
  </si>
  <si>
    <t>mod_appl_mod_divers_rich_alpha</t>
  </si>
  <si>
    <t>mod_appl_mod_divers_rich_beta</t>
  </si>
  <si>
    <t>mod_appl_mod_divers_rich_divers</t>
  </si>
  <si>
    <t>mod_appl_mod_divers_rich_gamma</t>
  </si>
  <si>
    <t>mod_appl_mod_divers_rich_rich</t>
  </si>
  <si>
    <t>mod_appl_mod_ds</t>
  </si>
  <si>
    <t>mod_appl_mod_inventory</t>
  </si>
  <si>
    <t>mod_appl_mod_is</t>
  </si>
  <si>
    <t>mod_appl_mod_occupancy</t>
  </si>
  <si>
    <t>mod_appl_mod_rai_hurdle</t>
  </si>
  <si>
    <t>mod_appl_mod_rai_nb</t>
  </si>
  <si>
    <t>mod_appl_mod_rai</t>
  </si>
  <si>
    <t>mod_appl_mod_rai_zinb</t>
  </si>
  <si>
    <t>mod_appl_mod_rai_zip</t>
  </si>
  <si>
    <t>mod_appl_mod_rem</t>
  </si>
  <si>
    <t>mod_appl_mod_rest</t>
  </si>
  <si>
    <t>mod_appl_mod_sc</t>
  </si>
  <si>
    <t>mod_appl_mod_scr_secr</t>
  </si>
  <si>
    <t>mod_appl_mod_smr</t>
  </si>
  <si>
    <t>mod_appl_mod_ste</t>
  </si>
  <si>
    <t>mod_appl_mod_tifc</t>
  </si>
  <si>
    <t>mod_appl_mod_tte</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</si>
  <si>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</si>
  <si>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</si>
  <si>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</si>
  <si>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</si>
  <si>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</si>
  <si>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</si>
  <si>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</si>
  <si>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</si>
  <si>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</si>
  <si>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</si>
  <si>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</si>
  <si>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</si>
  <si>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</si>
  <si>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</si>
  <si>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</si>
  <si>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</si>
  <si>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</si>
  <si>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</si>
  <si>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</si>
  <si>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</si>
  <si>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</si>
  <si>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</si>
  <si>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</si>
  <si>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</si>
  <si>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</si>
  <si>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</si>
  <si>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</si>
  <si>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</si>
  <si>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</si>
  <si>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</si>
  <si>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</si>
  <si>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</si>
  <si>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</si>
  <si>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</si>
  <si>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</si>
  <si>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</si>
  <si>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</si>
  <si>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</si>
  <si>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</si>
  <si>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</si>
  <si>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</si>
  <si>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</si>
  <si>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</si>
  <si>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</si>
  <si>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</si>
  <si>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</si>
  <si>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</si>
  <si>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</si>
  <si>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</si>
  <si>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</si>
  <si>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surv_dur_min_known_true</t>
  </si>
  <si>
    <t>surv_dur_min_known</t>
  </si>
  <si>
    <t>surv_dur_min_known_false</t>
  </si>
  <si>
    <t>surv_dur_max_known_true</t>
  </si>
  <si>
    <t>surv_dur_max_known</t>
  </si>
  <si>
    <t>surv_dur_max_known_false</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</si>
  <si>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</si>
  <si>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</si>
  <si>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</si>
  <si>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</si>
  <si>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</si>
  <si>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</si>
  <si>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</si>
  <si>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</si>
  <si>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</si>
  <si>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</si>
  <si>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</si>
  <si>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</si>
  <si>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</si>
  <si>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</si>
  <si>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</si>
  <si>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</si>
  <si>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</si>
  <si>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</si>
  <si>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</si>
  <si>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</si>
  <si>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</si>
  <si>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</si>
  <si>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</si>
  <si>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</si>
  <si>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</si>
  <si>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</si>
  <si>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</si>
  <si>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</si>
  <si>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</si>
  <si>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</si>
  <si>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probability of occupancy &lt; 0.001 ({{ rtxt_wearn_gloverkapfer_2017 }}; {{ rtxt_rowcliffe_et_al_2008 }}; {{ rtxt_obrien_2010 }})</t>
  </si>
  <si>
    <t>{{sp_rarity_very-rare}}</t>
  </si>
  <si>
    <t>sp_rarity_rarest_very-rare</t>
  </si>
  <si>
    <t>Very rare</t>
  </si>
  <si>
    <t>very-rare</t>
  </si>
  <si>
    <t>sp_rarity_rarest</t>
  </si>
  <si>
    <t>Select this option if you haven't decided which state variable you're interested in. Note that the tool will ask you questions related to all of the state variables, and the results will be reflected accordingly.</t>
  </si>
  <si>
    <t>{{sp_rarity_unkn}}</t>
  </si>
  <si>
    <t>sp_rarity_rarest_unkn</t>
  </si>
  <si>
    <t>Unknown</t>
  </si>
  <si>
    <t>unkn</t>
  </si>
  <si>
    <t>probability of occupancy &lt; 0.25 {{ rtxt_kays_et_al_2020 }}</t>
  </si>
  <si>
    <t>{{sp_rarity_rare}}</t>
  </si>
  <si>
    <t>sp_rarity_rarest_rare</t>
  </si>
  <si>
    <t>Rare</t>
  </si>
  <si>
    <t>rare</t>
  </si>
  <si>
    <t>{{sp_rarity_multiple}}</t>
  </si>
  <si>
    <t>sp_rarity_rarest_multiple</t>
  </si>
  <si>
    <t>probability of occupancy ~0.25-0.75</t>
  </si>
  <si>
    <t>{{sp_rarity_less common}}</t>
  </si>
  <si>
    <t>sp_rarity_rarest_less common</t>
  </si>
  <si>
    <t>Less common</t>
  </si>
  <si>
    <t>less common</t>
  </si>
  <si>
    <t>probability of occupancy &gt; ~0.75-0.8  (&gt; 0.75 [{{ rtxt_kinnaird_obrien_2012 }}; {{ rtxt_kays_et_al_2020 }}]; &gt; 0.8 [{{ rtxt_shannon_et_al_2014 }}; {{ rtxt_wearn_gloverkapfer_2017 }}]</t>
  </si>
  <si>
    <t>{{sp_rarity_common}}</t>
  </si>
  <si>
    <t>sp_rarity_rarest_common</t>
  </si>
  <si>
    <t>Common</t>
  </si>
  <si>
    <t>common</t>
  </si>
  <si>
    <t>sp_rarity_leastrare_very-rare</t>
  </si>
  <si>
    <t>sp_rarity_leastrare</t>
  </si>
  <si>
    <t>sp_rarity_leastrare_unkn</t>
  </si>
  <si>
    <t>sp_rarity_leastrare_rare</t>
  </si>
  <si>
    <t>sp_rarity_leastrare_multiple</t>
  </si>
  <si>
    <t>sp_rarity_leastrare_less common</t>
  </si>
  <si>
    <t>sp_rarity_leastrare_common</t>
  </si>
  <si>
    <t>sp_rarity_very-rare</t>
  </si>
  <si>
    <t>sp_rarity_unkn</t>
  </si>
  <si>
    <t>sp_rarity_rare</t>
  </si>
  <si>
    <t>sp_rarity_multiple</t>
  </si>
  <si>
    <t>sp_rarity_less common</t>
  </si>
  <si>
    <t>sp_rarity_common</t>
  </si>
  <si>
    <t>sp_occ_restr_yes</t>
  </si>
  <si>
    <t>yes</t>
  </si>
  <si>
    <t>sp_occ_restr</t>
  </si>
  <si>
    <t>sp_occ_restr_no</t>
  </si>
  <si>
    <t>no</t>
  </si>
  <si>
    <t>sp_occ_restr_unkn</t>
  </si>
  <si>
    <t>I'm not sure</t>
  </si>
  <si>
    <t>sp_info_well</t>
  </si>
  <si>
    <t>Well known</t>
  </si>
  <si>
    <t>well</t>
  </si>
  <si>
    <t>sp_info</t>
  </si>
  <si>
    <t>sp_info_poor</t>
  </si>
  <si>
    <t>Poorly known</t>
  </si>
  <si>
    <t>poor</t>
  </si>
  <si>
    <t>sp_info_unkn</t>
  </si>
  <si>
    <t>sp_detprob_cat_unkn</t>
  </si>
  <si>
    <t>sp_detprob_cat_most_unkn</t>
  </si>
  <si>
    <t>sp_detprob_cat_most</t>
  </si>
  <si>
    <t>sp_detprob_cat_multiple</t>
  </si>
  <si>
    <t>sp_detprob_cat_most_multiple</t>
  </si>
  <si>
    <t>sp_detprob_cat_med</t>
  </si>
  <si>
    <t>sp_detprob_cat_most_med</t>
  </si>
  <si>
    <t>&lt;br&gt;    - &lt; 0.1 ({{ rtxt_tobler_powell_2013 }})&lt;br&gt;    - &lt; 0.05 ({{ rtxt_shannon_et_al_2014 }})&lt;br&gt;    - 0–0.37 (Chatterjee et al., 2021)</t>
  </si>
  <si>
    <t>sp_detprob_cat_low</t>
  </si>
  <si>
    <t>sp_detprob_cat_most_low</t>
  </si>
  <si>
    <t>Low</t>
  </si>
  <si>
    <t>low</t>
  </si>
  <si>
    <t>&lt;br&gt;    - 0.67–1 (Chatterjee et al., 2021)&lt;br&gt;    - /&gt; 0.5 ({{ ref_intext_mackenzie_royle_2005 }})</t>
  </si>
  <si>
    <t>sp_detprob_cat_high</t>
  </si>
  <si>
    <t>sp_detprob_cat_most_high</t>
  </si>
  <si>
    <t>High</t>
  </si>
  <si>
    <t>high</t>
  </si>
  <si>
    <t>sp_detprob_cat_least_unkn</t>
  </si>
  <si>
    <t>sp_detprob_cat_least</t>
  </si>
  <si>
    <t>sp_detprob_cat_least_multiple</t>
  </si>
  <si>
    <t>sp_detprob_cat_least_med</t>
  </si>
  <si>
    <t>sp_detprob_cat_least_low</t>
  </si>
  <si>
    <t>sp_detprob_cat_least_high</t>
  </si>
  <si>
    <t>sp_detprob_cat</t>
  </si>
  <si>
    <t>sp_dens_low_yes</t>
  </si>
  <si>
    <t>sp_dens_low</t>
  </si>
  <si>
    <t>sp_dens_low_no</t>
  </si>
  <si>
    <t>sp_dens_low_unkn</t>
  </si>
  <si>
    <t>sp_common_pop_lg_true</t>
  </si>
  <si>
    <t>sp_common_pop_lg</t>
  </si>
  <si>
    <t>sp_common_pop_lg_false</t>
  </si>
  <si>
    <t>sp_behav_season_yes</t>
  </si>
  <si>
    <t>sp_behav_season</t>
  </si>
  <si>
    <t>sp_behav_season_no</t>
  </si>
  <si>
    <t>sp_behav_season_unkn</t>
  </si>
  <si>
    <t>sp_behav_variable</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</si>
  <si>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</si>
  <si>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</si>
  <si>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</si>
  <si>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</si>
  <si>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</si>
  <si>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</si>
  <si>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</si>
  <si>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</si>
  <si>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</si>
  <si>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</si>
  <si>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</si>
  <si>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</si>
  <si>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</si>
  <si>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</si>
  <si>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</si>
  <si>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</si>
  <si>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</si>
  <si>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</si>
  <si>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sp_behav_unkn</t>
  </si>
  <si>
    <t>Exploratory</t>
  </si>
  <si>
    <t>Avoidant</t>
  </si>
  <si>
    <t>sp_asymptote_true</t>
  </si>
  <si>
    <t>sp_asymptote</t>
  </si>
  <si>
    <t>sp_asymptote_false</t>
  </si>
  <si>
    <t>sp_asymptote_unkn</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</si>
  <si>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</si>
  <si>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</si>
  <si>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</si>
  <si>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</si>
  <si>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</si>
  <si>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</si>
  <si>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</si>
  <si>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</si>
  <si>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</si>
  <si>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</si>
  <si>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obj_targ_sp_multiple</t>
  </si>
  <si>
    <t>num_cams_limited_true</t>
  </si>
  <si>
    <t>num_cams_limited</t>
  </si>
  <si>
    <t>num_cams_limited_false</t>
  </si>
  <si>
    <t>multisamp_per_loc_true</t>
  </si>
  <si>
    <t>multisamp_per_loc</t>
  </si>
  <si>
    <t>multisamp_per_loc_false</t>
  </si>
  <si>
    <t>modmixed_true</t>
  </si>
  <si>
    <t>modmixed</t>
  </si>
  <si>
    <t>modmixed_false</t>
  </si>
  <si>
    <t>marking_code_unmarked</t>
  </si>
  <si>
    <t>marking_code</t>
  </si>
  <si>
    <t>marking_code_partially marked</t>
  </si>
  <si>
    <t>marking_code_marked</t>
  </si>
  <si>
    <t>marking_allsub_subset</t>
  </si>
  <si>
    <t>Subset</t>
  </si>
  <si>
    <t>marking_allsub</t>
  </si>
  <si>
    <t>marking_allsub_all</t>
  </si>
  <si>
    <t>All</t>
  </si>
  <si>
    <t>focalarea_calc_measured</t>
  </si>
  <si>
    <t>Measured</t>
  </si>
  <si>
    <t>focalarea_calc</t>
  </si>
  <si>
    <t>focalarea_calc_binned</t>
  </si>
  <si>
    <t>Binned</t>
  </si>
  <si>
    <t>data_hr_integer</t>
  </si>
  <si>
    <t>integer</t>
  </si>
  <si>
    <t>data_hr</t>
  </si>
  <si>
    <t>data_hr_na</t>
  </si>
  <si>
    <t>NA</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</si>
  <si>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</si>
  <si>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</si>
  <si>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</si>
  <si>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</si>
  <si>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</si>
  <si>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</si>
  <si>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</si>
  <si>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</si>
  <si>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</si>
  <si>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</si>
  <si>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</si>
  <si>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</si>
  <si>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</si>
  <si>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</si>
  <si>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</si>
  <si>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</si>
  <si>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</si>
  <si>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</si>
  <si>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</si>
  <si>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</si>
  <si>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</si>
  <si>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</si>
  <si>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</si>
  <si>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</si>
  <si>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</si>
  <si>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</si>
  <si>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</si>
  <si>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</si>
  <si>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</si>
  <si>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</si>
  <si>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</si>
  <si>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bait_lure_cams_baitlure_allcams</t>
  </si>
  <si>
    <t>All Camera Locations</t>
  </si>
  <si>
    <t>baitlure_allcams</t>
  </si>
  <si>
    <t>bait_lure_cams</t>
  </si>
  <si>
    <t>bait_lure_cams_baitlure_subsetcams</t>
  </si>
  <si>
    <t>A subset of Camera Locations</t>
  </si>
  <si>
    <t>baitlure_subsetcams</t>
  </si>
  <si>
    <t>bait_lure_baitlure_single</t>
  </si>
  <si>
    <t>YES - Single type of bait/lure</t>
  </si>
  <si>
    <t>baitlure_single</t>
  </si>
  <si>
    <t>bait_lure</t>
  </si>
  <si>
    <t>bait_lure_baitlure_multi</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</si>
  <si>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</si>
  <si>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</si>
  <si>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</si>
  <si>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</si>
  <si>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</si>
  <si>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</si>
  <si>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</si>
  <si>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</si>
  <si>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</si>
  <si>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</si>
  <si>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</si>
  <si>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</si>
  <si>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</si>
  <si>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</si>
  <si>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</si>
  <si>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</si>
  <si>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</si>
  <si>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</si>
  <si>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</si>
  <si>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</si>
  <si>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</si>
  <si>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</si>
  <si>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</si>
  <si>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t>
  </si>
  <si>
    <t>aux_count_possible_true</t>
  </si>
  <si>
    <t>aux_count_possible</t>
  </si>
  <si>
    <t>aux_count_possible_false</t>
  </si>
  <si>
    <t>3ormore_cat_ids</t>
  </si>
  <si>
    <t>3ormore_cat_ids_true</t>
  </si>
  <si>
    <t>3ormore_cat_ids_false</t>
  </si>
  <si>
    <t>definition_ref</t>
  </si>
  <si>
    <t>field_option_code</t>
  </si>
  <si>
    <t>field_option_order</t>
  </si>
  <si>
    <t>q_option_label</t>
  </si>
  <si>
    <t>q_option_code</t>
  </si>
  <si>
    <t>question_code</t>
  </si>
  <si>
    <t>phase</t>
  </si>
  <si>
    <t>Bears or ungulates (i.e., large mammals with hooves, such as White-tailed deer, Elk, Moose, etc.)</t>
  </si>
  <si>
    <t>sp_size_md</t>
  </si>
  <si>
    <t>sp_size_mult</t>
  </si>
  <si>
    <t>CREEM Mural (N.D.) &lt;i&gt;Spatial Capture-Recapture&lt;/i&gt; &lt;a target="_blank" href="https://creemmural.org/secr.html"&gt;{https://creemmural.org/secr.html}</t>
  </si>
  <si>
    <t>Ecological Applications in R. (2021, Apr 14). &lt;i&gt;Animal Home Range Estimation in R&lt;/i&gt;.&lt;a target="_blank" href="https://www.youtube.com/watch?v=dsPsRPZiOC0"&gt;{https://www.youtube.com/watch?v=dsPsRPZiOC0}</t>
  </si>
  <si>
    <t>https://www.youtube.com/watch?v=dsPsRPZiOC0</t>
  </si>
  <si>
    <t>https://www.youtube.com/watch?v=7447x_f-now</t>
  </si>
  <si>
    <t>https://github.com/FabiolaIannarilli/HMs_Activit</t>
  </si>
  <si>
    <t>https://doi.org/10.1111/1365-2656.14213</t>
  </si>
  <si>
    <t>https://www.youtube.com/watch?v=6TtVXy91AY4</t>
  </si>
  <si>
    <t>Ferguson, L. (2021, Apr 27). &lt;i&gt;Dispersal &amp; Animal Home Range.&lt;/i&gt;  [Video]. YouTube. &lt;a target="_blank" href="https://www.youtube.com/watch?v=7447x_f-now"&gt;{https://www.youtube.com/watch?v=7447x_f-now}</t>
  </si>
  <si>
    <t>Iannarilli, F., Gerber, B. D., Erb, J., and Fieberg, J. R. (2024a). &lt;i&gt;Data, R Code, and Output Supporting: A “How-to” Guide for Estimating Animal Diel Activity Using Hierarchical Models.&lt;/i&gt; Retrieved from the Data Repository for the University of Minnesota. &lt;a target="_blank" href="https://github.com/FabiolaIannarilli/HMs_Activit"&gt;{https://github.com/FabiolaIannarilli/HMs_Activit}</t>
  </si>
  <si>
    <t>Iannarilli, F., Gerber, B. D., Erb, J., &amp; Fieberg, J. R. (2024a). A ‘how‐to’ guide for estimating animal diel activity using hierarchical models. &lt;i&gt;Journal of Animal Ecology&lt;/i&gt;, 1365-2656. 14213. &lt;a target="_blank" href="https://doi.org/10.1111/1365-2656.14213"&gt;{https://doi.org/10.1111/1365-2656.14213}</t>
  </si>
  <si>
    <t>Proteus (2018b, Sep 21).  &lt;i&gt;Occupancy modelling - home range vs grid cell size.&lt;/i&gt; &lt;a target="_blank" href="https://www.youtube.com/watch?v=6TtVXy91AY4"&gt;{https://www.youtube.com/watch?v=6TtVXy91AY4}</t>
  </si>
  <si>
    <t>https://www.cclmportal.ca/resource/creating-common-language-glossary#:~:text=The%20goal%20of%20the%20National,A%20Toolkit%20for%20Respectful%20Collaboration</t>
  </si>
  <si>
    <t>Gilbert, N. A. (2022). &lt;i&gt;Towards a temporal ecology of wildlife populations and communities.&lt;/i&gt; [Doctor of Philosophy]. University of Wisconsin-Madison.</t>
  </si>
  <si>
    <t>Snow Leopard Network. (2020b, Aug 2).&lt;i&gt;PAWS: Spatial Capture Recapture Data Analysis Part 2.&lt;/i&gt; [Video]. YouTube.</t>
  </si>
  <si>
    <t>Chao, A., Ma, K. H., &amp; Hsieh, T. C. (2016). &lt;i&gt;iNEXT Online: Software for Interpolation and Extrapolation of Species Diversity.&lt;/i&gt; Program and User’s Guide published at</t>
  </si>
  <si>
    <t>McCullagh, P., &amp; Nelder, J. A. (1989). &lt;i&gt;Generalised Linear Models,&lt;/i&gt; 2nd edn. Chapman and Hall, London.</t>
  </si>
  <si>
    <t>Augustine, B. C., Royle, J. A., Kelly, M. J., Satter, C. B., Alonso, R. S., Boydston, E. E., &amp; Crooks, K. R. (2016). Spatial capture-recapture with partial identity: An application to camera traps. &lt;i&gt;bioRxiv.&lt;/i&gt;</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</si>
  <si>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</si>
  <si>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</si>
  <si>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</si>
  <si>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Biodiversity Monitoring Institute [ABMI] (2021). &lt;i&gt;Terrestrial ARU and Remote Camera Trap Protocols.&lt;/i&gt; Edmonton, Alberta.</t>
  </si>
  <si>
    <t>Becker, M. (2024, June 4-6). &lt;i&gt;Comparisons between moose densities with aerial surveys and integrated camera projects.&lt;/i&gt; [Conference presentation]. Government of Alberta Ungulate Monitoring Methods Workshop, Edmonton, AB, Canada.</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</si>
  <si>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</si>
  <si>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</si>
  <si>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</si>
  <si>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Morris, D. (2022). &lt;i&gt;Everything I know about machine learning and camera traps.&lt;/i&gt;</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</si>
  <si>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</si>
  <si>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</si>
  <si>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Gerhart-Barley, L., M. (n.d.). &lt;i&gt;2.2: Measuring Species Diversity&lt;/i&gt;</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</si>
  <si>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</si>
  <si>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</si>
  <si>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</si>
  <si>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</si>
  <si>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Caughley, G. (1977). &lt;/i&gt;Analysis of Vertebrate Populations&lt;i&gt; (pp. 234). Wiley.</t>
  </si>
  <si>
    <t>Leroy, B. (2024). &lt;i&gt;Rarity Indices.&lt;/i&gt;</t>
  </si>
  <si>
    <t>Hartig, F. (2019). &lt;i&gt;DHARMa: Residual Diagnostics for Hierarchical (Multi-Level/Mixed) Regression Models.&lt;/i&gt; R package version 0.2.2,</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</si>
  <si>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</si>
  <si>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</si>
  <si>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</si>
  <si>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Solymos, P. (2023). &lt;i&gt;Package ‘detect': Analyzing Wildlife Data with Detection Error.&lt;/i&gt; R package version 0.4-6.</t>
  </si>
  <si>
    <t>Campbell, A. (2024). &lt;i&gt;Package ‘overlap’&lt;/i&gt;. R package version 0.3.9.</t>
  </si>
  <si>
    <t>Jackman, (2024). &lt;i&gt;R package ’Pscl’&lt;/i&gt;. R package version 1.5.9.</t>
  </si>
  <si>
    <t>Leroy, B. (2023). &lt;i&gt;Package ‘Rarity’: Calculation of Rarity Indices for Species and Assemblages of Species.&lt;/i&gt; R package version 1.3-8,</t>
  </si>
  <si>
    <t>Efford, M. (2024b). &lt;i&gt;secr 4.6 - spatially explicit capture-recapture in R.&lt;/i&gt;</t>
  </si>
  <si>
    <t>CREEM Mural (N.D.) &lt;i&gt;Spatial Capture-Recapture&lt;/i&gt;</t>
  </si>
  <si>
    <t>Found, R., &amp; Patterson, B. R. (2020). Assessing Ungulate Populations in Temperate North America. &lt;i&gt;Canadian Wildlife Biology and Management, 9&lt;/i&gt;(1), 21-42.</t>
  </si>
  <si>
    <t>McNeil, D. (n.d.). &lt;i&gt;Multi-season Occupancy Models&lt;/i&gt;.</t>
  </si>
  <si>
    <t>Mikkelä, A. (2024). &lt;i&gt;Probabilistic detection calculator (online application).&lt;i&gt; R shiny version v2.</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</si>
  <si>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</si>
  <si>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</si>
  <si>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</si>
  <si>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</si>
  <si>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</si>
  <si>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</si>
  <si>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</si>
  <si>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</si>
  <si>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</si>
  <si>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</si>
  <si>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</si>
  <si>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</si>
  <si>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Fisher, J. T., Anholt, B., &amp; Volpe, J. P. (2011). Body Mass Explains Characteristic Scales of Habitat Selection in Terrestrial Mammals. &lt;i&gt;Ecology and Evolution&lt;i&gt;, &lt;i&gt;1&lt;/i&gt;(4), 517-528.</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</si>
  <si>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</si>
  <si>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</si>
  <si>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</si>
  <si>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</si>
  <si>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</si>
  <si>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</si>
  <si>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</si>
  <si>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</si>
  <si>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</si>
  <si>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</si>
  <si>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</si>
  <si>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</si>
  <si>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</si>
  <si>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</si>
  <si>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</si>
  <si>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</si>
  <si>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</si>
  <si>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Steenweg, R., Hebblewhite, M., Whittington, J., Lukacs, P., &amp; McKelvey, K. (2018). Sampling scales define occupancy and underlying occupancy-abundance relationships in animals. &lt;i&gt;Ecology&lt;i&gt;, &lt;i&gt;99&lt;/i&gt;(1), 172-183.</t>
  </si>
  <si>
    <t>Dupont, G., Royle, J. A., Nawaz, M. A., &amp; Sutherland, C. (2021). Optimal sampling design for spatial capture-recapture. &lt;i&gt;Ecology, 102&lt;/i&gt;(3), e03262.</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</si>
  <si>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</si>
  <si>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</si>
  <si>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</si>
  <si>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</si>
  <si>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</si>
  <si>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Foster, R. J., &amp; Harmsen, B. J. (2012). A Critique of Density Estimation from Camera Trap Data. &lt;i&gt;Journal of&lt;i&gt; &lt;i&gt;Wildlife Management, 76&lt;/i&gt;(2), 224-36.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</si>
  <si>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</si>
  <si>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</si>
  <si>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</si>
  <si>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</si>
  <si>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</si>
  <si>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</si>
  <si>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</si>
  <si>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</si>
  <si>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</si>
  <si>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</si>
  <si>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Moeller, A. K., Waller, S. J., DeCesare, N. J., Chitwood, M. C., &amp; Lukacs, P. M. (2023). Best practices to account for capture probability and viewable area in camera‐based abundance estimation. &lt;i&gt;Remote Sensing in Ecology and Conservation.&lt;/i&gt;</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</si>
  <si>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</si>
  <si>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</si>
  <si>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</si>
  <si>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</si>
  <si>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</si>
  <si>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</si>
  <si>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</si>
  <si>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</si>
  <si>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</si>
  <si>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</si>
  <si>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Burkholder, E. N., Jakes, A. F., Jones, P. F., Hebblewhite, M., &amp; Bishop, C. J. (2018). To Jump or Not to Jump: Mule Deer and White-Tailed Deer Fence Crossing Decisions. &lt;i&gt;Wildlife Society Bulletin&lt;i&gt;, &lt;i&gt;42&lt;/i&gt;(3), 420-429.</t>
  </si>
  <si>
    <t>Manly, B. F. J., McDonald, L. L., &amp; Thomas, D. L. (1993). &lt;i&gt;Resource Selection by Animals: Statistical Design and Analysis for Field Studies.&lt;/i&gt; Chapman &amp; Hall, London, p. 177.</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</si>
  <si>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</si>
  <si>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</si>
  <si>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</si>
  <si>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Buckland, S. T., E. A. Rexstad, T. A. Marques, C. S. Oedekoven. (2015). &lt;i&gt;Mathematics and Statistics. Distance Sampling: Methods and Applications.&lt;/i&gt; Springer International Publishing.</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</si>
  <si>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</si>
  <si>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</si>
  <si>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</si>
  <si>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</si>
  <si>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</si>
  <si>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</si>
  <si>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</si>
  <si>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</si>
  <si>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</si>
  <si>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</si>
  <si>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</si>
  <si>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</si>
  <si>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</si>
  <si>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</si>
  <si>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</si>
  <si>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</si>
  <si>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</si>
  <si>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</si>
  <si>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</si>
  <si>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</si>
  <si>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</si>
  <si>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</si>
  <si>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</si>
  <si>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</si>
  <si>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Deng, C., Daley, T., &amp; Smith, A. (2015). Applications of species accumulation curves in large‐scale biological data analysis. &lt;i&gt;Quantitative Biology&lt;i&gt;, &lt;i&gt;3&lt;/i&gt;(3), 135-144.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</si>
  <si>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</si>
  <si>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</si>
  <si>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</si>
  <si>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</si>
  <si>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Royle, J. A., &amp; Dorazio, R. M. (2008). &lt;i&gt;Hierarchical Modeling and Inference in Ecology: The Analysis of Data from Populations, Metapopulations and Communities.&lt;/i&gt; 1st ed. Academic Press, Amsterdam; Boston.</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</si>
  <si>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</si>
  <si>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</si>
  <si>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</si>
  <si>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</si>
  <si>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</si>
  <si>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</si>
  <si>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</si>
  <si>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Dunne, B. M., &amp; Quinn, M. S. (2009). Effectiveness of above-ground pipeline mitigation for moose (&lt;i&gt;Alces alces&lt;i&gt;) and other large mammals. &lt;i&gt;Biological Conservation, 142&lt;/i&gt;(2), 332-343.</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</si>
  <si>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</si>
  <si>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</si>
  <si>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</si>
  <si>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Gálvez, N., Guillera-Arroita, G., Morgan, B. J. T., &amp; Davies, Z. G. (2016). Cost-Efficient Effort Allocation for Camera-Trap Occupancy Surveys of Mammals. &lt;i&gt;Biological Conservation&lt;i&gt;, &lt;i&gt;204&lt;/i&gt;(B), 350-359.</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</si>
  <si>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</si>
  <si>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</si>
  <si>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</si>
  <si>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</si>
  <si>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</si>
  <si>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</si>
  <si>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</si>
  <si>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</si>
  <si>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</si>
  <si>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</si>
  <si>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</si>
  <si>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</si>
  <si>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</si>
  <si>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Balestrieri, A., Ruiz-González, A., Vergara, M., Capelli, E., Tirozzi, P., Alfino, S., Minuti, G., Prigioni, C., &amp; Saino, N. (2016). Pine marten density in lowland riparian woods\: A test of the Random Encounter Model based on genetic data. &lt;i&gt;Mammalian Biology, 81&lt;/i&gt;(5), 439-446.</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</si>
  <si>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</si>
  <si>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</si>
  <si>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</si>
  <si>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</si>
  <si>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</si>
  <si>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</si>
  <si>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</si>
  <si>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</si>
  <si>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</si>
  <si>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</si>
  <si>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</si>
  <si>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</si>
  <si>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</si>
  <si>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</si>
  <si>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</si>
  <si>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Newbold, H. G., &amp; King, C. M. (2009). Can a predator see invisible light? Infrared vision in ferrets (&lt;i&gt;Mustelo furo&lt;i&gt;). &lt;i&gt;Wildlife Research, 36&lt;/i&gt;(4), 309-318.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</si>
  <si>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</si>
  <si>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</si>
  <si>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</si>
  <si>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</si>
  <si>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</si>
  <si>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</si>
  <si>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</si>
  <si>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</si>
  <si>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Villette, P., Krebs, C. J., Jung, T. S., &amp; Boonstra, R. (2016). Can camera trapping provide accurate estimates of small mammal (&lt;i&gt;Myodes rutilus&lt;i&gt; and &lt;i&gt;Peromyscus maniculatus&lt;i&gt; density in the boreal forest? &lt;i&gt;Journal of Mammalogy, 97&lt;/i&gt;(1), 32-40.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</si>
  <si>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</si>
  <si>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</si>
  <si>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</si>
  <si>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</si>
  <si>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Wearn, O. R., &amp; Glover-Kapfer, P. (2019). Snap happy: Camera traps are an effective sampling tool when compared with alternative methods. &lt;i&gt;Royal Society Open Science&lt;i&gt;, &lt;i&gt;6&lt;/i&gt;(3), 181748.</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</si>
  <si>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</si>
  <si>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</si>
  <si>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</si>
  <si>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Gerber, B. D., Devarajan, K., Farris, Z. J., &amp; Fidino, M. (2023). A model-based hypothesis framework to define and estimate the diel niche via the ‘Diel.Niche’ R package. &lt;i&gt;bioRxiv, 2023.06.21.545898.&lt;/i&gt;</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</si>
  <si>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</si>
  <si>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</si>
  <si>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</si>
  <si>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</si>
  <si>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</si>
  <si>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</si>
  <si>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</si>
  <si>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</si>
  <si>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</si>
  <si>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</si>
  <si>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Burton, A. C., Neilson, E., Moreira, D., Ladle, A., Steenweg, R., Fisher, J. T., Bayne, E., Boutin, S., &amp; Stephens, P. (2015). Camera trap Trapping: A Review and Recommendations for Linking Surveys to Ecological Processes. &lt;i&gt;Journal of Applied Ecology&lt;i&gt;, &lt;i&gt;52&lt;/i&gt;(3), 675-685.</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</si>
  <si>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</si>
  <si>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</si>
  <si>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</si>
  <si>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</si>
  <si>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</si>
  <si>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</si>
  <si>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</si>
  <si>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Rowcliffe, J. M., Kays, R., Kranstauber, B., Carbone, C., Jansen, P. A., &amp; Fisher, D. (2014). Quantifying levels of animal activity using camera trap data. &lt;i&gt;Methods in Ecology and Evolution&lt;i&gt;, &lt;i&gt;5&lt;/i&gt;(11), 1170-1179.</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</si>
  <si>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</si>
  <si>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</si>
  <si>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</si>
  <si>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</si>
  <si>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</si>
  <si>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</si>
  <si>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</si>
  <si>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</si>
  <si>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</si>
  <si>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</si>
  <si>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</si>
  <si>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</si>
  <si>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</si>
  <si>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</si>
  <si>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</si>
  <si>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Brownlee, M., Warbington, C., &amp; Boyce., M. (2022). Monitoring Sitatunga (&lt;i&gt;Tragelaphus Spekii&lt;i&gt;) Populations Using Camera Traps. &lt;i&gt;African Journal of Ecology, 60&lt;/i&gt;(3), 377.</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</si>
  <si>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</si>
  <si>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</si>
  <si>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</si>
  <si>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</si>
  <si>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</si>
  <si>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</si>
  <si>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</si>
  <si>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</si>
  <si>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</si>
  <si>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</si>
  <si>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</si>
  <si>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</si>
  <si>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</si>
  <si>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</si>
  <si>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</si>
  <si>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</si>
  <si>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</si>
  <si>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Rowcliffe, J. M., Field, J., Turvey, S. T., &amp; Carbone, C. (2008). Estimating animal Density using camera traps without the need for individual recognition. &lt;i&gt;Journal of Applied Ecology&lt;i&gt;, &lt;i&gt;45&lt;/i&gt;(4), 1228-1236.</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</si>
  <si>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</si>
  <si>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</si>
  <si>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</si>
  <si>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</si>
  <si>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</si>
  <si>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</si>
  <si>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</si>
  <si>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</si>
  <si>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</si>
  <si>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</si>
  <si>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</si>
  <si>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</si>
  <si>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</si>
  <si>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</si>
  <si>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</si>
  <si>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</si>
  <si>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</si>
  <si>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</si>
  <si>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</si>
  <si>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</si>
  <si>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</si>
  <si>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</si>
  <si>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</si>
  <si>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</si>
  <si>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</si>
  <si>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</si>
  <si>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Soria-Díaz, L., Monroy-Vilchis, O., Rodríguez-Soto, C., Zarco-González, M., &amp; Urios, V. (2010). Variation of Abundance and Density of &lt;i&gt;Puma concolor&lt;i&gt; in Zones of High and Low Concentration of Camera Traps in Central Mexico. &lt;i&gt;Animal Biology, 60&lt;/i&gt;(4), 361-371.</t>
  </si>
  <si>
    <t>Junker, J., Kühl, H., Orth, L., Smith, R., Petrovan, S., &amp; Sutherland, W. (2021). &lt;i&gt;7. Primate Conservation.&lt;/i&gt; (pp. 435-486).</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</si>
  <si>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</si>
  <si>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</si>
  <si>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</si>
  <si>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</si>
  <si>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</si>
  <si>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</si>
  <si>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</si>
  <si>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</si>
  <si>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</si>
  <si>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</si>
  <si>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</si>
  <si>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</si>
  <si>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</si>
  <si>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Meek, P. D., Ballard, G. A., Fleming, P. J. S., Schaefer, M., Williams, W., &amp; Falzon, G. (2014a). Camera Traps Can Be Heard and Seen by Animals. &lt;i&gt;PLoS One&lt;i&gt;, &lt;i&gt;9&lt;/i&gt;(10), e110832.</t>
  </si>
  <si>
    <t>Alonso, R. S., McClintock, B. T., Lyren, L. M., Boydston, E. E., &amp; Crooks, K. R. (2015). Mark-recapture and Mark-resight Methods for Estimating Abundance with Remote Cameras: A Carnivore Case Study. &lt;i&gt;PLoS One, 10&lt;/i&gt;(3), e0123032.</t>
  </si>
  <si>
    <t>Cusack, J., Dickman, A. J., Rowcliffe, J. M., Carbone, C., Macdonald, D. W., &amp; Coulson, T. (2015). Random versus Game Trail-based Camera trap Placement Strategy for Monitoring Terrestrial Mammal Communities. &lt;i&gt;PloS One&lt;i&gt;,&lt;i&gt;10&lt;/i&gt;(5), e0126373.</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</si>
  <si>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</si>
  <si>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</si>
  <si>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</si>
  <si>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</si>
  <si>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</si>
  <si>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</si>
  <si>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</si>
  <si>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</si>
  <si>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</si>
  <si>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Roemer, G. W., Gompper, M. E., &amp; Van Valkenburgh, B. (2009). The Ecological Role of the Mammalian Mesocarnivore. &lt;i&gt;BioScience&lt;i&gt;, &lt;i&gt;59&lt;/i&gt;(2), 165-173.</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</si>
  <si>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</si>
  <si>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</si>
  <si>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</si>
  <si>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</si>
  <si>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</si>
  <si>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</si>
  <si>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</si>
  <si>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</si>
  <si>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Karanth, K. U., &amp; Nichols, J. D. (1998). Estimation of tiger densities in India using photographic captures and recaptures. &lt;i&gt;Ecology&lt;i&gt;, &lt;i&gt;79&lt;/i&gt;(8), 2852-2862.</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</si>
  <si>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</si>
  <si>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</si>
  <si>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</si>
  <si>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</si>
  <si>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</si>
  <si>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</si>
  <si>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</si>
  <si>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</si>
  <si>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Keim, J. L., DeWitt, P. D., &amp; Lele, S. R. (2011). Predators choose prey over prey habitats: Evidence from a lynx-hare system. &lt;i&gt;Ecological Applications&lt;i&gt;, &lt;i&gt;21&lt;/i&gt;(4), 1011-1016.</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</si>
  <si>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</si>
  <si>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</si>
  <si>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</si>
  <si>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</si>
  <si>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</si>
  <si>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</si>
  <si>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</si>
  <si>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</si>
  <si>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</si>
  <si>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</si>
  <si>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</si>
  <si>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</si>
  <si>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</si>
  <si>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</si>
  <si>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</si>
  <si>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</si>
  <si>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</si>
  <si>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Iannarilli, F., Erb, J., Arnold, T. W., &amp; Fieberg, J. R. (2021). Evaluating species-specific responses to camera-trap Survey designs. &lt;i&gt;Wildlife Biology&lt;i&gt;, &lt;i&gt;2021&lt;/i&gt;(1).</t>
  </si>
  <si>
    <t>Iijima, H. (2020). A Review of Wildlife Abundance Estimation Models: Comparison of Models for Correct Application. &lt;i&gt;Mammal Study, 45&lt;/i&gt;(3), 177.</t>
  </si>
  <si>
    <t>Rowcliffe, M. (2014). &lt;i&gt;Package 'activity': Animal Activity Statistics.&lt;/i&gt; R package version 1.3.4.</t>
  </si>
  <si>
    <t>Brooks, M., Bolker, B., Kristensen, K., Maechler, M., Magnusson, A., Skaug, H., Nielsen, A., Berg, C., &amp; Van Bentham, K. (2017).*glmmTMB: Generalized Linear Mixed Models using Template Model Builder.* R package version 1.1.10.</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</si>
  <si>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</si>
  <si>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</si>
  <si>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</si>
  <si>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</si>
  <si>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</si>
  <si>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</si>
  <si>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</si>
  <si>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</si>
  <si>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</si>
  <si>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Rovero, F., Zimmermann, F., Berzi, D., &amp; Meek, P. (2013). “Which camera trap type and how many do I need?” A review of camera features and study designs for a range of wildlife research applications. &lt;i&gt;Hystrix, the Italian Journal of Mammalogy&lt;i&gt;, &lt;i&gt;24&lt;/i&gt;(2), 148-156.</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</si>
  <si>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</si>
  <si>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</si>
  <si>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</si>
  <si>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</si>
  <si>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</si>
  <si>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</si>
  <si>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</si>
  <si>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</si>
  <si>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</si>
  <si>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</si>
  <si>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</si>
  <si>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</si>
  <si>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Strimas-Mackey, M., Hochachka, W. M., Ruiz-Gutierrez, V., Robinson, O. J., Miller, E. T., Auer, T., Kelling, S., Fink, D., &amp; Johnston, A. (2023). &lt;i&gt;Best Practices for Using eBird Data.&lt;/i&gt; Version 2.0.</t>
  </si>
  <si>
    <t>Babu, A. (N.D.). &lt;i&gt;Alpha, Beta and Gamma Diversity: Biodiversity at different scales&lt;/i&gt;.</t>
  </si>
  <si>
    <t>Gimenez, O. (2020a). &lt;i&gt;Bias in single-season occupancy models.&lt;/i&gt;</t>
  </si>
  <si>
    <t>Keim, J. L., DeWitt, P. D., Wilson, S. F., Fitzpatrick, J. J., Jenni, N. S., &amp; Lele, S. R. (2021). Managing animal movement conserves predator-prey dynamics. &lt;i&gt;Frontiers in Ecology and the Environment, 19&lt;/i&gt;(7), 379-385.</t>
  </si>
  <si>
    <t>Iannarilli, F., Gerber, B. D., Erb, J., and Fieberg, J. R. (2024a). &lt;i&gt;Data, R Code, and Output Supporting: A “How-to” Guide for Estimating Animal Diel Activity Using Hierarchical Models.&lt;/i&gt; Retrieved from the Data Repository for the University of Minnesota.</t>
  </si>
  <si>
    <t>Becker, M. Huggard, D. J., &amp; Alberta Biodiversity Monitoring Institute [ABMI]. (2021).&lt;i&gt;Estimating animal density using TIFC (Time In Front of Camera).&lt;/i&gt;</t>
  </si>
  <si>
    <t>Fidino, M. (2021e) &lt;i&gt;auto-logistic-occupancy.&lt;/i&gt;</t>
  </si>
  <si>
    <t>Fidino, M. (2023) &lt;i&gt;autoOcc: An R package for fitting autologistic occupancy models.&lt;/i&gt; R package version 0.1.1,</t>
  </si>
  <si>
    <t>Fidino, M. (2021a) &lt;i&gt;multi-state-occupancy-models.&lt;/i&gt;</t>
  </si>
  <si>
    <t>Fidino, M. (2021c) &lt;i&gt;integrated-occupancy-models&lt;/i&gt;</t>
  </si>
  <si>
    <t>Gimenez, O. (2020b). &lt;i&gt;Bias in occupancy estimate for a static model.&lt;/i&gt;</t>
  </si>
  <si>
    <t>Solymos, P., Moreno M., &amp; Lele, S. R. (2024). &lt;i&gt;detect: Analyzing Wildlife Data with Detection Error&lt;/i&gt;. R package version 0.5-0,</t>
  </si>
  <si>
    <t>Hoeks, S., Tucker, M., &amp; Broekman, M. (2024). &lt;i&gt;HomeRange&lt;/i&gt;</t>
  </si>
  <si>
    <t>WildCo Lab (2021a). &lt;i&gt;WildCo-FaceBlur.&lt;/i&gt;</t>
  </si>
  <si>
    <t>WildCo Lab (2020). &lt;i&gt;WildCo_Image_Renamer.&lt;/i&gt;</t>
  </si>
  <si>
    <t>Williams, B. K., Nichols, J. D., &amp; Conroy, M. J. (2002). &lt;i&gt;Analysis and Management of Animal Populations: Modeling, Estimation, and Decision Making&lt;/i&gt;. Book, Whole. San Diego: Academic Press.</t>
  </si>
  <si>
    <t>Paterson, J. (2024). &lt;i&gt;Implicit dynamics occupancy models in R.&lt;/i&gt;</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</si>
  <si>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</si>
  <si>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Byrne, M. &amp; Golden, J. (2021). &lt;i&gt;Occupancy Modeling.&lt;/i&gt;</t>
  </si>
  <si>
    <t>O'Brien, K. M. (2010). &lt;i&gt;Wildlife Picture Index: Implementation Manual Version 1. 0.&lt;/i&gt; WCS Working Paper No. 39.</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</si>
  <si>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</si>
  <si>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</si>
  <si>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Becker, M. Huggard, D. J., &amp; Alberta Biodiversity Monitoring Institute [ABMI]. (2020). &lt;i&gt;abmi.camera.extras.&lt;/i&gt; R package version 0.0.1.</t>
  </si>
  <si>
    <t>Fidino, M. (2021d) &lt;i&gt;So, you don't have enough data to fit a dynamic occupancy model? An introduction to auto-logistic occupancy models.&lt;/i&gt;</t>
  </si>
  <si>
    <t>Fidino, M. (2021b) &lt;i&gt;A gentle introduction to an integrated occupancy model that combines presence-only and detection/non-detection data, and how to fit it in JAGS&lt;/i&gt;</t>
  </si>
  <si>
    <t>Fidino, M. (2021F) &lt;i&gt;Using the mgcvmgcv package to create a generalized additive occupancy model in R.&lt;/i&gt;</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</si>
  <si>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</si>
  <si>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</si>
  <si>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</si>
  <si>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</si>
  <si>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Alberta Environment and Parks. (2016). &lt;i&gt;Aerial Ungulate Surveys using Distance Sampling Techniques Protocol Manual.&lt;/i&gt;</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</si>
  <si>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</si>
  <si>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</si>
  <si>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</si>
  <si>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</si>
  <si>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Greenberg, S. (2020). &lt;i&gt;Automated Image Recognition for Wildlife Camera Traps: Making it Work for You&lt;/i&gt;. Research report, University of Calgary: Prism Digital Repository, August 21, 15 pages,</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</si>
  <si>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</si>
  <si>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</si>
  <si>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</si>
  <si>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Roeland Kindt, R. (2020). &lt;i&gt;Species Accumulation Curves with vegan, BiodiversityR and ggplot2.&lt;/i&gt;</t>
  </si>
  <si>
    <t>Greenberg, S. (2018). &lt;i&gt;Timelapse: An Image Analyser for Camera Traps.&lt;/i&gt; University of Calgary.</t>
  </si>
  <si>
    <t>Loonam, K. E. (2019). &lt;i&gt;Assessing the Robustness of Time-to-Event Abundance Estimation&lt;/i&gt; [Thesis: Master of Science in Wildlife Biology, University of Montana].</t>
  </si>
  <si>
    <t>University of Cape Town. (2024a). &lt;i&gt;SEEC Toolbox seminars&lt;/i&gt;</t>
  </si>
  <si>
    <t>University of Cape Town. (2024d). &lt;i&gt;Single-season occupancy models using a Bayesian approach.&lt;/i&gt;</t>
  </si>
  <si>
    <t>University of Cape Town. (2024b). &lt;i&gt;SEEC Toolbox seminars - Spatial Capture-Recapture (SCR) models.&lt;/i&gt;</t>
  </si>
  <si>
    <t>University of Cape Town. (2024c). &lt;i&gt;Species Distribution Modelling.&lt;/i&gt;</t>
  </si>
  <si>
    <t>University of Cape Town. (2017). &lt;i&gt;SEEC Toolbox seminars.&lt;/i&gt; [Powerpoint].</t>
  </si>
  <si>
    <t>Benedetti, A. (2024). &lt;i&gt;Visualizing Biodiversity in [U.S.] National Parks.&lt;/i&gt;</t>
  </si>
  <si>
    <t xml:space="preserve">Dickie, M. (2022, April 19). “NEW PAPER ALERT!” Tweet. </t>
  </si>
  <si>
    <t>Lukacs, P. M. (2021, Oct 26).&lt;i&gt;Animal Abundance from Camera Data: Pipe Dream to Main Stream.&lt;/i&gt; Presented at the FCFC Seminar.</t>
  </si>
  <si>
    <t>Granados, A. (2021). &lt;i&gt;WildCAM Guide to Camera Trap Set Up. &lt;/i&gt; WildCAM.</t>
  </si>
  <si>
    <t>Kemp, C., Yarchuk, K., Menzies, A., &amp; Popp, J. (2022). &lt;i&gt;A Guide to Using Wildlife Cameras for Ecological Monitoring in a Community-based Context&lt;/i&gt;. WISE Lab.</t>
  </si>
  <si>
    <t>WildCAM Network (2019). &lt;i&gt;WildCAM Network Camera Trapping Best Practices Literature Synthesis.&lt;/i&gt;</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</si>
  <si>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</si>
  <si>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</si>
  <si>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Government of Alberta (2023a) &lt;i&gt;LAT Overview.&lt;/i&gt; Edmonton, Alberta.</t>
  </si>
  <si>
    <t>Government of Alberta (2023b) &lt;i&gt;Proponent-led Indigenous consultations.&lt;/i&gt; Edmonton, Alberta.</t>
  </si>
  <si>
    <t>Dubey, A (n.d.). &lt;i&gt;species abundance.&lt;/i&gt;</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</si>
  <si>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</si>
  <si>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</si>
  <si>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</si>
  <si>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</si>
  <si>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</si>
  <si>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</si>
  <si>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</si>
  <si>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</si>
  <si>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</si>
  <si>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Bailey, L. L., Hines, J. E., Nichols, J. D., &amp; MacKenzie, D. I. (2007). Sampling Design Trade-Offs in Occupancy Studies with Imperfect Detection\: Examples and Software. &lt;i&gt;Ecological Applications, 17&lt;/i&gt;(1), 281-290.</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</si>
  <si>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</si>
  <si>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</si>
  <si>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Hines, J. E. (2006). &lt;i&gt;PRESENCE - Software to estimate patch occupancy and related parameters.&lt;/i&gt;</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</si>
  <si>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</si>
  <si>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</si>
  <si>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</si>
  <si>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</si>
  <si>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Efford, M. G. (2022). &lt;i&gt;Mark-resight in secr 4. 5. 1-20. &lt;/i&gt;</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</si>
  <si>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</si>
  <si>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</si>
  <si>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</si>
  <si>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</si>
  <si>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Baddeley, A. (N.D.) &lt;i&gt;Spatial Point Processes and Their Applications.&lt;/i&gt; School of Mathematics &amp; Statistics, University of Western Australia.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</si>
  <si>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</si>
  <si>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</si>
  <si>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</si>
  <si>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</si>
  <si>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</si>
  <si>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</si>
  <si>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</si>
  <si>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</si>
  <si>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</si>
  <si>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</si>
  <si>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</si>
  <si>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</si>
  <si>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Seccombe, S. (2017). &lt;i&gt;ZSL Trail Camera Comparison Testing.&lt;/i&gt; Zoological Society of London: Conservation Technology Unit.</t>
  </si>
  <si>
    <t>oscrpackage206 (2020) &lt;i&gt;oSCR Package.&lt;/i&gt; [Channel]. YouTube.</t>
  </si>
  <si>
    <t>Nakajima. (2021a, Jul 1). &lt;i&gt;Density Estimation with the REST Model.&lt;/i&gt; [Playlist]. YouTube.</t>
  </si>
  <si>
    <t>Styring, A. (2020b, Jun 22). &lt;i&gt;Generating a species accumulation plot in excel for BBS data.&lt;/i&gt; [Video]. YouTube.</t>
  </si>
  <si>
    <t>weecology (2020, Oct 30). &lt;i&gt;Introduction to Species Distribution Modeling Using R.&lt;/i&gt; [Video]. YouTube.</t>
  </si>
  <si>
    <t>mecks100 (2018, Feb 7). &lt;i&gt;Species accumulation and rarefaction curves&lt;/i&gt; [Video]. YouTube.</t>
  </si>
  <si>
    <t>Royle, A. J. (2016, Oct 17). &lt;i&gt;'Spatial Capture-Recapture Modelling.’ CompSustNet.&lt;/i&gt; [Video]. YouTube.</t>
  </si>
  <si>
    <t>Proteus (2018b, Sep 21).  &lt;i&gt;Occupancy modelling - home range vs grid cell size.&lt;/i&gt;</t>
  </si>
  <si>
    <t>Ferguson, L. (2021, Apr 27). &lt;i&gt;Dispersal &amp; Animal Home Range.&lt;/i&gt;  [Video]. YouTube.</t>
  </si>
  <si>
    <t>MarinStatsLectures-R Programming &amp; Statistics (2020a, Mar 17). &lt;i&gt;Poisson Regression Review.&lt;/i&gt; [Video]. YouTube.</t>
  </si>
  <si>
    <t>Snow Leopard Network. (2020a, Aug 1). &lt;i&gt;PAWS: Spatial Capture Recapture Data Analysis Part 1.&lt;/i&gt; [Video]. YouTube.</t>
  </si>
  <si>
    <t>Russell, M. (2020, Nov 29). &lt;i&gt;Fitting Poisson and zero-inflated Poisson models.&lt;/i&gt; [Video]. YouTube.</t>
  </si>
  <si>
    <t>DE-CTR ACCEL (2016, Dec 21) &lt;i&gt;Using Hurdle Models to Analyze Zero-Inflated Count Data.&lt;/i&gt; [Video]. YouTube.</t>
  </si>
  <si>
    <t>Cove, M. (2020d, Sep 28). &lt;i&gt;Occupancy Modeling Video 4 -- How to Run and Interpret the Models in PRESENCE&lt;/i&gt; [Video]. YouTube.</t>
  </si>
  <si>
    <t>MarinStatsLectures-R Programming &amp; Statistics (2020b, Mar 17). &lt;i&gt;Poisson Regression: Zero Inflation (Excessive Zeros).&lt;/i&gt; [Video]. YouTube.</t>
  </si>
  <si>
    <t>Cove, M. (2020c, Sep 27). &lt;i&gt;Occupancy Modeling Video 3 -- What are Occupancy Models and What are the Applications?&lt;/i&gt; [Video]. YouTube.</t>
  </si>
  <si>
    <t>Project Dragonfly. (2019, Jan 24). &lt;i&gt;Abundance, species richness, and diversity&lt;/i&gt; [Video]. YouTube.</t>
  </si>
  <si>
    <t>The Wildlife Degree (2022, Feb 3). &lt;i&gt;Rarefied Species Accumulation Curves (the simple way) tutorial.&lt;/i&gt; [Video]. YouTube.</t>
  </si>
  <si>
    <t>Rob K Statistics (2018, Oct 16). &lt;i&gt;Species Accumulation Curves.&lt;/i&gt; [Video]. YouTube.</t>
  </si>
  <si>
    <t>Styring, A. (2020a, May 4). &lt;i&gt;Field Ecology - Diversity Metrics in R.&lt;/i&gt; [Video]. YouTube.</t>
  </si>
  <si>
    <t>Cove, M. (2020a, Sep 27). &lt;i&gt;Occupancy Modeling Video 1 -- Sampling Techniques for Mammals.&lt;/i&gt; [Video]. YouTube.</t>
  </si>
  <si>
    <t>Palencia, P. &amp; Project ENETWILD (2022, May 19). &lt;i&gt;Camera Trap Methods for Density Estimation.&lt;/i&gt; [Video]. YouTube.</t>
  </si>
  <si>
    <t>Nakajima. (2021b, Jul 1). &lt;i&gt;Density Estimation with the REST Model &gt; REST_01_Set_Focal_Area.&lt;/i&gt; [Video]. YouTube.</t>
  </si>
  <si>
    <t>Cao, A. (2021, Jun 14) &lt;i&gt;Hurdle models.&lt;/i&gt; [Video]. YouTube.</t>
  </si>
  <si>
    <t>Gimenez, O. (2023, May 16). &lt;i&gt;Workshop on estimating (wolf) occupancy with R&lt;/i&gt; [Video]. YouTube.</t>
  </si>
  <si>
    <t>Nakajima. (2021d, Jul 1). &lt;i&gt;Density Estimation with the REST Model &gt; REST_03_MeasureStayingTime.&lt;/i&gt;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</si>
  <si>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</si>
  <si>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</si>
  <si>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</si>
  <si>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Cove, M. (2020b, Sep 27). &lt;i&gt;Occupancy Modeling Video 2 -- Introductory Statistical Review.&lt;/i&gt;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</si>
  <si>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</si>
  <si>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</si>
  <si>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Turlapaty, A. (2014, Jun 15). &lt;i&gt;Probability of Detection: Eg 01.&lt;/i&gt; [Video]. YouTube.</t>
  </si>
  <si>
    <t>VSN International (2022, Jul 13). &lt;i&gt;Species abundance tools in Genstat.&lt;/i&gt; [Video]. YouTube.</t>
  </si>
  <si>
    <t>Riffomonas Project (2022a, Mar 17). &lt;i&gt;Using vegan to calculate alpha diversity metrics within the tidyverse in R (CC196)&lt;/i&gt; [Video]. YouTube.</t>
  </si>
  <si>
    <t>Nakajima. (2021c, Jul 1). &lt;i&gt;Density Estimation with the REST Model &gt; REST_02_Set_Up_Emv.&lt;/i&gt; [Video]. YouTube.</t>
  </si>
  <si>
    <t>Royle, A. J. (2020, Oct 26) &lt;i&gt;Introduction to Spatial Capture-Recapture. oSCR Package.&lt;/i&gt;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</si>
  <si>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</si>
  <si>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</si>
  <si>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TileStats (2021, Apr 18). &lt;i&gt;Zero-inflated Poisson (ZIP) regression.&lt;/i&gt;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</si>
  <si>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</si>
  <si>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</si>
  <si>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</si>
  <si>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National Boreal Caribou Knowledge Consortium [NBCKC / CNSCB]. (2024). &lt;i&gt;National Boreal Caribou Knowledge Consortium Glossary: Creating a common language.&lt;/i&gt; National Boreal Caribou Knowledge Consortium (NBCKC / CNSCB).</t>
  </si>
  <si>
    <t>National Boreal Caribou Knowledge Consortium [NBCKC / CNSCB]. (2024). &lt;i&gt;National Boreal Caribou Knowledge Consortium Glossary: Creating a common language.&lt;i&gt; National Boreal Caribou Knowledge Consortium (NBCKC / CNSCB).</t>
  </si>
  <si>
    <t>refbib_html_nolink</t>
  </si>
  <si>
    <t>https://www.youtube.com/watch?v=IHVez1a_hqg&amp;t=2675s</t>
  </si>
  <si>
    <t>https://search.proquest.com/openview/bfe15ec06593d5a8d3904add35055867/1?pq-origsite=gscholar&amp;cbl=18750&amp;diss=y</t>
  </si>
  <si>
    <t>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t>
  </si>
  <si>
    <t>icon_progress_bar_num7.png</t>
  </si>
  <si>
    <t>Recommendations - Analysis considersation</t>
  </si>
  <si>
    <t>prog_7_3</t>
  </si>
  <si>
    <t>Recommendations - Study design</t>
  </si>
  <si>
    <t>prog_7_2</t>
  </si>
  <si>
    <t>Recommendations - Modelling approach</t>
  </si>
  <si>
    <t>prog_7_1</t>
  </si>
  <si>
    <t>icon_progress_bar_num4.png</t>
  </si>
  <si>
    <t>Target species (multiple)</t>
  </si>
  <si>
    <t>Target species</t>
  </si>
  <si>
    <t>prog_4_2</t>
  </si>
  <si>
    <t>Target species (single)</t>
  </si>
  <si>
    <t>prog_4_1</t>
  </si>
  <si>
    <t>Timing</t>
  </si>
  <si>
    <t>prog_3_2</t>
  </si>
  <si>
    <t>Duration</t>
  </si>
  <si>
    <t>prog_3_1</t>
  </si>
  <si>
    <t>icon_progress_bar_num2.png</t>
  </si>
  <si>
    <t>Site selection constraints</t>
  </si>
  <si>
    <t>prog_2_2</t>
  </si>
  <si>
    <t>prog_2_1</t>
  </si>
  <si>
    <t>prog_4</t>
  </si>
  <si>
    <t>Study area &amp; Site selection constraints</t>
  </si>
  <si>
    <t>prog_2</t>
  </si>
  <si>
    <t>Recommendations</t>
  </si>
  <si>
    <t>prog_7</t>
  </si>
  <si>
    <t>icon_progress_bar_num1.png</t>
  </si>
  <si>
    <t>Objectives &amp; Resources</t>
  </si>
  <si>
    <t>prog_1</t>
  </si>
  <si>
    <t>icon_progress_bar_num5.png</t>
  </si>
  <si>
    <t>Equipment &amp; Deployment</t>
  </si>
  <si>
    <t>prog_5</t>
  </si>
  <si>
    <t>icon_progress_bar_num3.png</t>
  </si>
  <si>
    <t>Duration &amp; Timing</t>
  </si>
  <si>
    <t>prog_3</t>
  </si>
  <si>
    <t>icon_progress_bar_num6.png</t>
  </si>
  <si>
    <t>Data &amp; Analysis</t>
  </si>
  <si>
    <t>prog_6</t>
  </si>
  <si>
    <t>prog_bar_icon_filename</t>
  </si>
  <si>
    <t>prog_level_toc</t>
  </si>
  <si>
    <t>prog_level_text_progress_bar</t>
  </si>
  <si>
    <t>prog_level_id</t>
  </si>
  <si>
    <t>Open concept infobox as separate window</t>
  </si>
  <si>
    <t>sidebar_button</t>
  </si>
  <si>
    <t>button</t>
  </si>
  <si>
    <t>tool_interface</t>
  </si>
  <si>
    <t>https://ab-rcsc.github.io/rc-decision-support-tool_concept-library/02_dialog-boxes/08_references.html</t>
  </si>
  <si>
    <t>References</t>
  </si>
  <si>
    <t>https://ab-rcsc.github.io/rc-decision-support-tool_concept-library/index.html#i_data_analysis</t>
  </si>
  <si>
    <t>i_data_analysis</t>
  </si>
  <si>
    <t>sidebar_button_old</t>
  </si>
  <si>
    <t>https://ab-rcsc.github.io/rc-decision-support-tool_concept-library/index.html#i_equipment_deployment</t>
  </si>
  <si>
    <t>i_equipment_deployment</t>
  </si>
  <si>
    <t>https://ab-rcsc.github.io/rc-decision-support-tool_concept-library/index.html#i_target_species</t>
  </si>
  <si>
    <t>i_target_species</t>
  </si>
  <si>
    <t>https://ab-rcsc.github.io/rc-decision-support-tool_concept-library/index.html#i_duration_timing</t>
  </si>
  <si>
    <t>i_duration_timing</t>
  </si>
  <si>
    <t>https://ab-rcsc.github.io/rc-decision-support-tool_concept-library/index.html#i_study_area_site_selection_constraints</t>
  </si>
  <si>
    <t>i_study_area_site_selection_constraints</t>
  </si>
  <si>
    <t>https://ab-rcsc.github.io/rc-decision-support-tool_concept-library/index.html#i_objective_resources</t>
  </si>
  <si>
    <t>i_objective_resources</t>
  </si>
  <si>
    <t>https://ab-rcsc.github.io/rc-decision-support-tool_concept-library/02_dialog-boxes/09_glossary.html</t>
  </si>
  <si>
    <t>Glossary</t>
  </si>
  <si>
    <t>https://www.rc-decision-support-tool.ca/voila/render/objective.ipynb?</t>
  </si>
  <si>
    <t>Start over</t>
  </si>
  <si>
    <t>https://ab-rcsc.github.io/rc-decision-support-tool/</t>
  </si>
  <si>
    <t>Home</t>
  </si>
  <si>
    <t>https://ab-rcsc.github.io/rc-decision-support-tool</t>
  </si>
  <si>
    <t>00_00_welcome</t>
  </si>
  <si>
    <t>https://ab-rcsc.github.io/rc-decision-support-tool_concept-library/index.html#concept-library</t>
  </si>
  <si>
    <t>Concept library TOC</t>
  </si>
  <si>
    <t>concept-library</t>
  </si>
  <si>
    <t>https://ab-rcsc.github.io/rc-decision-support-tool_concept-library/02_dialog-boxes/01_08_surv_dur_min_max.html</t>
  </si>
  <si>
    <t>surv_dur_min_max</t>
  </si>
  <si>
    <t>info box page</t>
  </si>
  <si>
    <t>iframe-ref</t>
  </si>
  <si>
    <t>https://ab-rcsc.github.io/rc-decision-support-tool_concept-library/02_dialog-boxes/01_14_sp_type.html</t>
  </si>
  <si>
    <t>https://ab-rcsc.github.io/rc-decision-support-tool_concept-library/02_dialog-boxes/01_18_sp_size.htm</t>
  </si>
  <si>
    <t>https://ab-rcsc.github.io/rc-decision-support-tool_concept-library/02_dialog-boxes/01_19_sp_rarity.html</t>
  </si>
  <si>
    <t>https://ab-rcsc.github.io/rc-decision-support-tool_concept-library/02_dialog-boxes/01_16_sp_occ_restr.html</t>
  </si>
  <si>
    <t>https://ab-rcsc.github.io/rc-decision-support-tool_concept-library/02_dialog-boxes/01_13_sp_info.html</t>
  </si>
  <si>
    <t>https://ab-rcsc.github.io/rc-decision-support-tool_concept-library/02_dialog-boxes/01_17_sp_hr_size.html</t>
  </si>
  <si>
    <t>sp_hr_size</t>
  </si>
  <si>
    <t>https://ab-rcsc.github.io/rc-decision-support-tool_concept-library/02_dialog-boxes/01_20_sp_detprob_cat.html</t>
  </si>
  <si>
    <t>https://ab-rcsc.github.io/rc-decision-support-tool_concept-library/02_dialog-boxes/01_10_sp_asymptote.html</t>
  </si>
  <si>
    <t>https://ab-rcsc.github.io/rc-decision-support-tool_concept-library/02_dialog-boxes/01_12_obj_targ_sp.html</t>
  </si>
  <si>
    <t>https://ab-rcsc.github.io/rc-decision-support-tool_concept-library/02_dialog-boxes/01_02_objective.html</t>
  </si>
  <si>
    <t>https://ab-rcsc.github.io/rc-decision-support-tool_concept-library/02_dialog-boxes/01_03_num_cams.html</t>
  </si>
  <si>
    <t>num_cams</t>
  </si>
  <si>
    <t>https://ab-rcsc.github.io/rc-decision-support-tool_concept-library/02_dialog-boxes/01_06_cam_strat_covar.html</t>
  </si>
  <si>
    <t>https://ab-rcsc.github.io/rc-decision-support-tool_concept-library/02_dialog-boxes/01_47_cam_independent.html</t>
  </si>
  <si>
    <t>https://ab-rcsc.github.io/rc-decision-support-tool_concept-library/02_dialog-boxes/03_24_mod_behaviour</t>
  </si>
  <si>
    <t>Click here for more information</t>
  </si>
  <si>
    <t>https://ab-rcsc.github.io/rc-decision-support-tool_concept-library/02_dialog-boxes/03_23_mod_is</t>
  </si>
  <si>
    <t>https://ab-rcsc.github.io/rc-decision-support-tool_concept-library/02_dialog-boxes/03_22_mod_ste</t>
  </si>
  <si>
    <t>https://ab-rcsc.github.io/rc-decision-support-tool_concept-library/02_dialog-boxes/03_21_mod_tte</t>
  </si>
  <si>
    <t>https://ab-rcsc.github.io/rc-decision-support-tool_concept-library/02_dialog-boxes/03_20_mod_ds</t>
  </si>
  <si>
    <t>https://ab-rcsc.github.io/rc-decision-support-tool_concept-library/02_dialog-boxes/03_19_mod_tifc</t>
  </si>
  <si>
    <t>https://ab-rcsc.github.io/rc-decision-support-tool_concept-library/02_dialog-boxes/03_18_mod_rest</t>
  </si>
  <si>
    <t>https://ab-rcsc.github.io/rc-decision-support-tool_concept-library/02_dialog-boxes/03_17_mod_rem</t>
  </si>
  <si>
    <t>https://ab-rcsc.github.io/rc-decision-support-tool_concept-library/02_dialog-boxes/03_16_mod_2flankspim</t>
  </si>
  <si>
    <t>https://ab-rcsc.github.io/rc-decision-support-tool_concept-library/02_dialog-boxes/03_15_mod_catspim</t>
  </si>
  <si>
    <t>https://ab-rcsc.github.io/rc-decision-support-tool_concept-library/02_dialog-boxes/03_14_mod_sc</t>
  </si>
  <si>
    <t>https://ab-rcsc.github.io/rc-decision-support-tool_concept-library/02_dialog-boxes/03_13_mod_smr</t>
  </si>
  <si>
    <t>https://ab-rcsc.github.io/rc-decision-support-tool_concept-library/02_dialog-boxes/03_11_mod_scr_secr</t>
  </si>
  <si>
    <t>https://ab-rcsc.github.io/rc-decision-support-tool_concept-library/02_dialog-boxes/03_10_mod_cr_cmr</t>
  </si>
  <si>
    <t>https://ab-rcsc.github.io/rc-decision-support-tool_concept-library/02_dialog-boxes/03_04_mod_rai</t>
  </si>
  <si>
    <t>https://ab-rcsc.github.io/rc-decision-support-tool_concept-library/02_dialog-boxes/03_03_mod_occupancy</t>
  </si>
  <si>
    <t>https://ab-rcsc.github.io/rc-decision-support-tool_concept-library/02_dialog-boxes/03_02_mod_divers_rich</t>
  </si>
  <si>
    <t>https://ab-rcsc.github.io/rc-decision-support-tool_concept-library/02_dialog-boxes/03_01_mod_inventory</t>
  </si>
  <si>
    <t>{bdg-link-primary-line}`Species-accumulation curves&lt;https://ab-rcsc.github.io/rc-decision-support-tool_concept-library/02_dialog-boxes/01_10_sp_asymptote.html&gt;`</t>
  </si>
  <si>
    <t>Species-accumulation curves</t>
  </si>
  <si>
    <t>link_bdg_sp_asymptote</t>
  </si>
  <si>
    <t>bdg-link-primary-line</t>
  </si>
  <si>
    <t>concept-lib</t>
  </si>
  <si>
    <t>{bdg-link-primary-line}`Species rarity&lt;https://ab-rcsc.github.io/rc-decision-support-tool_concept-library/02_dialog-boxes/01_19_sp_rarity.html&gt;`</t>
  </si>
  <si>
    <t>link_bdg_sp_rarity</t>
  </si>
  <si>
    <t>{bdg-link-primary-line}`Viewshed density estimators&lt;https://ab-rcsc.github.io/rc-decision-support-tool_concept-library/02_dialog-boxes/09_viewshed_dens_est.html&gt;`</t>
  </si>
  <si>
    <t>https://ab-rcsc.github.io/rc-decision-support-tool_concept-library/02_dialog-boxes/09_viewshed_dens_est.html</t>
  </si>
  <si>
    <t>viewshed_dens_est</t>
  </si>
  <si>
    <t>link_bdg_viewshed_dens_est</t>
  </si>
  <si>
    <t>{bdg-link-primary-line}`Space-to-event (STE)&lt;https://ab-rcsc.github.io/rc-decision-support-tool_concept-library/02_dialog-boxes/03_22_mod_ste.html&gt;`</t>
  </si>
  <si>
    <t>https://ab-rcsc.github.io/rc-decision-support-tool_concept-library/02_dialog-boxes/03_22_mod_ste.html</t>
  </si>
  <si>
    <t>link_bdg_mod_ste</t>
  </si>
  <si>
    <t>{bdg-link-primary-line}`Spatial Partial Identity Model (Categorical SPIM; catSPIM)&lt;https://ab-rcsc.github.io/rc-decision-support-tool_concept-library/02_dialog-boxes/03_15_mod_catspim.html&gt;`</t>
  </si>
  <si>
    <t>https://ab-rcsc.github.io/rc-decision-support-tool_concept-library/02_dialog-boxes/03_15_mod_catspim.html</t>
  </si>
  <si>
    <t>{bdg-link-primary-line}`Spatial Partial Identity Model (2-flank SPIM)&lt;https://ab-rcsc.github.io/rc-decision-support-tool_concept-library/02_dialog-boxes/03_16_mod_2flankspim.html&gt;`</t>
  </si>
  <si>
    <t>https://ab-rcsc.github.io/rc-decision-support-tool_concept-library/02_dialog-boxes/03_16_mod_2flankspim.html</t>
  </si>
  <si>
    <t>link_bdg_mod_2flankspim</t>
  </si>
  <si>
    <t>2.3.2 Spatial Partial Identity Model</t>
  </si>
  <si>
    <t>{bdg-link-primary-line}`Spatial mark-resight&lt;https://ab-rcsc.github.io/rc-decision-support-tool_concept-library/02_dialog-boxes/03_13_mod_smr.html&gt;`</t>
  </si>
  <si>
    <t>https://ab-rcsc.github.io/rc-decision-support-tool_concept-library/02_dialog-boxes/03_13_mod_smr.html</t>
  </si>
  <si>
    <t>Spatial mark-resight</t>
  </si>
  <si>
    <t>link_bdg_mod_smr</t>
  </si>
  <si>
    <t>2.3.1 Spatial Mark-Resight</t>
  </si>
  <si>
    <t>{bdg-link-primary-line}`Time-to-event&lt;https://ab-rcsc.github.io/rc-decision-support-tool_concept-library/02_dialog-boxes/03_20_mod_tte.html&gt;`</t>
  </si>
  <si>
    <t>https://ab-rcsc.github.io/rc-decision-support-tool_concept-library/02_dialog-boxes/03_20_mod_tte.html</t>
  </si>
  <si>
    <t>Time-to-event</t>
  </si>
  <si>
    <t>link_bdg_mod_tte</t>
  </si>
  <si>
    <t>2.2.6 Time-toEvent Model</t>
  </si>
  <si>
    <t>{bdg-link-primary-line}`Random encounter and staying time [REST]&lt;https://ab-rcsc.github.io/rc-decision-support-tool_concept-library/02_dialog-boxes/03_18_mod_rest.html&gt;`</t>
  </si>
  <si>
    <t>https://ab-rcsc.github.io/rc-decision-support-tool_concept-library/02_dialog-boxes/03_18_mod_rest.html</t>
  </si>
  <si>
    <t>Random encounter and staying time [REST]</t>
  </si>
  <si>
    <t>link_bdg_mod_rest</t>
  </si>
  <si>
    <t>2.2.4 Random Encounter and Staying Time</t>
  </si>
  <si>
    <t>{bdg-link-primary-line}`Random encounter model [REM]&lt;https://ab-rcsc.github.io/rc-decision-support-tool_concept-library/02_dialog-boxes/03_17_mod_rem.html&gt;`</t>
  </si>
  <si>
    <t>https://ab-rcsc.github.io/rc-decision-support-tool_concept-library/02_dialog-boxes/03_17_mod_rem.html</t>
  </si>
  <si>
    <t>Random encounter model [REM]</t>
  </si>
  <si>
    <t>link_bdg_mod_rem</t>
  </si>
  <si>
    <t>2.2.3 Random Encounter Model</t>
  </si>
  <si>
    <t>{bdg-link-primary-line}`Distance sampling&lt;https://ab-rcsc.github.io/rc-decision-support-tool_concept-library/02_dialog-boxes/03_20_mod_ds.html&gt;`</t>
  </si>
  <si>
    <t>https://ab-rcsc.github.io/rc-decision-support-tool_concept-library/02_dialog-boxes/03_20_mod_ds.html</t>
  </si>
  <si>
    <t>link_bdg_mod_ds</t>
  </si>
  <si>
    <t>2.2.2 Distance Sampling</t>
  </si>
  <si>
    <t>{bdg-link-primary-line}`Spatial count&lt;https://ab-rcsc.github.io/rc-decision-support-tool_concept-library/02_dialog-boxes/03_14_mod_sc.html&gt;`</t>
  </si>
  <si>
    <t>https://ab-rcsc.github.io/rc-decision-support-tool_concept-library/02_dialog-boxes/03_14_mod_sc.html</t>
  </si>
  <si>
    <t>Spatial count</t>
  </si>
  <si>
    <t>link_bdg_mod_sc</t>
  </si>
  <si>
    <t>2.2.1 Spatial Count</t>
  </si>
  <si>
    <t>{bdg-link-primary-line}`Spatial capture-recapture (SCR) / Spatially explicit capture recapture (SECR)&lt;https://ab-rcsc.github.io/rc-decision-support-tool_concept-library/02_dialog-boxes/03_11_mod_scr_secr.html&gt;`</t>
  </si>
  <si>
    <t>https://ab-rcsc.github.io/rc-decision-support-tool_concept-library/02_dialog-boxes/03_11_mod_scr_secr.html</t>
  </si>
  <si>
    <t>link_bdg_mod_scr_secr</t>
  </si>
  <si>
    <t>2.1.2 Spatial Capture-Recapture  / How the Model Works in the SCR section</t>
  </si>
  <si>
    <t>{bdg-link-primary-line}`Capture-recapture (CR) / Capture-mark-recapture (CMR)&lt;https://ab-rcsc.github.io/rc-decision-support-tool_concept-library/02_dialog-boxes/03_10_mod_cr_cmr.html&gt;`</t>
  </si>
  <si>
    <t>https://ab-rcsc.github.io/rc-decision-support-tool_concept-library/02_dialog-boxes/03_10_mod_cr_cmr.html</t>
  </si>
  <si>
    <t>link_bdg_mod_cr_cmr</t>
  </si>
  <si>
    <t>2.1.1 Capture-Recapture</t>
  </si>
  <si>
    <t>http://www.rc-decision-support-tool.ca/voila/render/objective.ipynb?</t>
  </si>
  <si>
    <t>link_launchtool</t>
  </si>
  <si>
    <t>text-link</t>
  </si>
  <si>
    <t>&lt;a href=\"https://www.alberta.ca/wildlife-loadforms.aspx\" target=\"_blank\"&gt;https://www.alberta.ca/wildlife-loadforms.aspx&lt;/a&gt;</t>
  </si>
  <si>
    <t>https://www.alberta.ca/wildlife-loadforms.aspx</t>
  </si>
  <si>
    <t>link_fwmis</t>
  </si>
  <si>
    <t>&lt;a href=\"https://five.epicollect.net/project/rcsc-and-wildcam-remote-camera-survey-guidelines\" target=\"_blank\"&gt;EpiCollect Template&lt;/a&gt;</t>
  </si>
  <si>
    <t>https://five.epicollect.net/project/rcsc-and-wildcam-remote-camera-survey-guidelines</t>
  </si>
  <si>
    <t>EpiCollect Template</t>
  </si>
  <si>
    <t>link_epicollect_template</t>
  </si>
  <si>
    <t>&lt;a href=\"https://ab-rcsc.github.io/RCSC-WildCAM_Remote-Camera-Survey-Guidelines-and-Metadata-Standards/1_survey-guidelines/1_10.2_AppendixA-Field-Datasheets.html\" target=\"_blank\"&gt;deployment and service/retrieval fieldsheets&lt;/a&gt;</t>
  </si>
  <si>
    <t>https://ab-rcsc.github.io/RCSC-WildCAM_Remote-Camera-Survey-Guidelines-and-Metadata-Standards/1_survey-guidelines/1_10.2_AppendixA-Field-Datasheets.html</t>
  </si>
  <si>
    <t>deployment and service/retrieval fieldsheets</t>
  </si>
  <si>
    <t>link_surv_guide_fielddatasheets</t>
  </si>
  <si>
    <t>&lt;a href=\"https://ab-rcsc.github.io/RCSC-WildCAM_Remote-Camera-Survey-Guidelines-and-Metadata-Standards/1_survey-guidelines/1_0.1_Citation-and-Info.html\" target=\"_blank\"&gt;Remote Camera Survey Guidelines (RCSC et al., 2024)&lt;/a&gt;</t>
  </si>
  <si>
    <t>https://ab-rcsc.github.io/RCSC-WildCAM_Remote-Camera-Survey-Guidelines-and-Metadata-Standards/1_survey-guidelines/1_0.1_Citation-and-Info.html</t>
  </si>
  <si>
    <t>Remote Camera Survey Guidelines (RCSC et al., 2024)</t>
  </si>
  <si>
    <t>link_surv_guide</t>
  </si>
  <si>
    <t>&lt;a href=\"https://ab-rcsc.github.io/RCSC-WildCAM_Remote-Camera-Survey-Guidelines-and-Metadata-Standards/2_metadata-standards/2_0.1_Citation-and-Info.html\" target=\"_blank\"&gt;Remote Camera Metadata Standards for Alberta (RCSC, 2024)&lt;/a&gt;</t>
  </si>
  <si>
    <t>Alberta Metadata Standards (RCSC, 2024)</t>
  </si>
  <si>
    <t>link_ab_metadata_abrv</t>
  </si>
  <si>
    <t>Remote Camera Metadata Standards for Alberta (RCSC, 2024)</t>
  </si>
  <si>
    <t>link_ab_metadata</t>
  </si>
  <si>
    <t>https://wildcams.ca/library/camera-trapping-papers-directory/</t>
  </si>
  <si>
    <t>WildCAM’s "sampling design &amp; effort section section"</t>
  </si>
  <si>
    <t>(&lt;https://wildcams.ca/library/camera-trapping-papers-directory/&gt;).</t>
  </si>
  <si>
    <t xml:space="preserve">resource library </t>
  </si>
  <si>
    <t>https://ab-rcsc.github.io/RCSC-WildCAM_Remote-Camera-Survey-Guidelines-and-Metadata-Standards/1_survey-guidelines/1_10.1_AppendixA-Tables.html</t>
  </si>
  <si>
    <t>Appendix A - Table A2</t>
  </si>
  <si>
    <t>sub</t>
  </si>
  <si>
    <t>text (clarke)</t>
  </si>
  <si>
    <t>formatted</t>
  </si>
  <si>
    <t>key_code</t>
  </si>
  <si>
    <t>where</t>
  </si>
  <si>
    <t>Accounting for zero-inflation with site random effect</t>
  </si>
  <si>
    <t>01_57_zi_re_overdispersed</t>
  </si>
  <si>
    <t>question</t>
  </si>
  <si>
    <t>Zero-inflation due to separate process</t>
  </si>
  <si>
    <t>01_58_zi_process</t>
  </si>
  <si>
    <t>Accounting for overdispersion due to zero-inflation</t>
  </si>
  <si>
    <t>01_55_zi_overdispersed</t>
  </si>
  <si>
    <t>User entry (Study design or data already collected)</t>
  </si>
  <si>
    <t>01_01_user_entry</t>
  </si>
  <si>
    <t>Survey duration (months surveyed)</t>
  </si>
  <si>
    <t>surv_dur</t>
  </si>
  <si>
    <t>01_08_surv_dur</t>
  </si>
  <si>
    <t>Survey duration</t>
  </si>
  <si>
    <t>Season(s)</t>
  </si>
  <si>
    <t>study_season_num</t>
  </si>
  <si>
    <t>01_11_study_season_num</t>
  </si>
  <si>
    <t>Single *vs* multiple</t>
  </si>
  <si>
    <t>01_04_study_area_mult</t>
  </si>
  <si>
    <t>Carnivore / ungulate</t>
  </si>
  <si>
    <t>01_14_sp_type</t>
  </si>
  <si>
    <t>Species body size</t>
  </si>
  <si>
    <t>Body size</t>
  </si>
  <si>
    <t>01_18_sp_size</t>
  </si>
  <si>
    <t>Rarity</t>
  </si>
  <si>
    <t>01_19_sp_rarity</t>
  </si>
  <si>
    <t>Occurrence restricted</t>
  </si>
  <si>
    <t>01_16_sp_occ_restr</t>
  </si>
  <si>
    <t>Species well known &lt;i&gt;vs.&lt;/i&gt; poorly known</t>
  </si>
  <si>
    <t>Ecology of species (well known *vs.* poorly known)</t>
  </si>
  <si>
    <t>01_13_sp_info</t>
  </si>
  <si>
    <t>01_17_sp_hr_size</t>
  </si>
  <si>
    <t>Species detection probability</t>
  </si>
  <si>
    <t>01_20_sp_detprob_cat</t>
  </si>
  <si>
    <t>Low density species</t>
  </si>
  <si>
    <t>01_15_sp_dens_low</t>
  </si>
  <si>
    <t>Study population size</t>
  </si>
  <si>
    <t>01_30_sp_common_pop_lg</t>
  </si>
  <si>
    <t>01_21_sp_behav</t>
  </si>
  <si>
    <t>01_10_sp_asymptote</t>
  </si>
  <si>
    <t>Overdispersion &amp; Zero-inflation</t>
  </si>
  <si>
    <t>overdispersion_zeroinflation</t>
  </si>
  <si>
    <t>01_53_overdispersion_zeroinflation</t>
  </si>
  <si>
    <t>Variable of interest</t>
  </si>
  <si>
    <t>01_02_objective</t>
  </si>
  <si>
    <t xml:space="preserve">Number of Target Species </t>
  </si>
  <si>
    <t>Single *vs.* multiple</t>
  </si>
  <si>
    <t>01_12_obj_targ_sp</t>
  </si>
  <si>
    <t>num_recap</t>
  </si>
  <si>
    <t>num_det</t>
  </si>
  <si>
    <t>num_det_individ</t>
  </si>
  <si>
    <t>Number of cameras available</t>
  </si>
  <si>
    <t>01_03_num_cams</t>
  </si>
  <si>
    <t>Repeat sampling</t>
  </si>
  <si>
    <t>01_48_multisamp_per_loc</t>
  </si>
  <si>
    <t>Mixed models</t>
  </si>
  <si>
    <t>01_49_modmixed</t>
  </si>
  <si>
    <t>Focal area measured or detections binned by distance</t>
  </si>
  <si>
    <t>01_28_focalarea_calc</t>
  </si>
  <si>
    <t>design_survey_duration</t>
  </si>
  <si>
    <t>02_07_design_survey_duration</t>
  </si>
  <si>
    <t>survey_duration</t>
  </si>
  <si>
    <t>Sampling design</t>
  </si>
  <si>
    <t>design</t>
  </si>
  <si>
    <t>design_study_area</t>
  </si>
  <si>
    <t>02_01_design_study_area</t>
  </si>
  <si>
    <t>Number of cameras</t>
  </si>
  <si>
    <t>design_num_cams</t>
  </si>
  <si>
    <t>02_04_design_num_cams</t>
  </si>
  <si>
    <t>design_camdays_per_loc</t>
  </si>
  <si>
    <t>02_05_design_camdays_per_loc</t>
  </si>
  <si>
    <t>camdays_per_loc</t>
  </si>
  <si>
    <t>design_cam_spacing</t>
  </si>
  <si>
    <t>02_03_design_cam_spacing</t>
  </si>
  <si>
    <t>design_cam_days_ttl</t>
  </si>
  <si>
    <t>02_06_design_cam_days_ttl</t>
  </si>
  <si>
    <t>cam_days_ttl</t>
  </si>
  <si>
    <t>design_cam_arrange_targeted</t>
  </si>
  <si>
    <t>02_02_08_design_cam_arrange_targeted</t>
  </si>
  <si>
    <t>cam_arrange</t>
  </si>
  <si>
    <t>design_cam_arrange_systematic_random</t>
  </si>
  <si>
    <t>02_02_03_design_cam_arrange_systematic_random</t>
  </si>
  <si>
    <t>design_cam_arrange_systematic</t>
  </si>
  <si>
    <t>02_02_02_design_cam_arrange_systematic</t>
  </si>
  <si>
    <t>design_cam_arrange_stratified_random</t>
  </si>
  <si>
    <t>02_02_05_design_cam_arrange_stratified_random</t>
  </si>
  <si>
    <t>design_cam_arrange_stratified</t>
  </si>
  <si>
    <t>02_02_04_design_cam_arrange_stratified</t>
  </si>
  <si>
    <t>design_cam_arrange_random</t>
  </si>
  <si>
    <t>02_02_01_design_cam_arrange_random</t>
  </si>
  <si>
    <t>design_cam_arrange_paired</t>
  </si>
  <si>
    <t>02_02_07_design_cam_arrange_paired</t>
  </si>
  <si>
    <t>design_cam_arrange_convenience</t>
  </si>
  <si>
    <t>02_02_09_design_cam_arrange_convenience</t>
  </si>
  <si>
    <t>02_02_06_design_clustered</t>
  </si>
  <si>
    <t>design_cam_arrange_clustered</t>
  </si>
  <si>
    <t>Camera arrangement</t>
  </si>
  <si>
    <t>design_cam_arrange</t>
  </si>
  <si>
    <t>02_02_00_design_cam_arrange</t>
  </si>
  <si>
    <t>Target features</t>
  </si>
  <si>
    <t>targ_feature</t>
  </si>
  <si>
    <t>01_45_targ_feature</t>
  </si>
  <si>
    <t>Stratified by covariates</t>
  </si>
  <si>
    <t>01_06_cam_strat_covar</t>
  </si>
  <si>
    <t>Camera settings</t>
  </si>
  <si>
    <t>cam_settings</t>
  </si>
  <si>
    <t>01_40_cam_settings</t>
  </si>
  <si>
    <t>Camera height, angle, direction</t>
  </si>
  <si>
    <t>cam_placement</t>
  </si>
  <si>
    <t>01_41_cam_placement</t>
  </si>
  <si>
    <t>Camera equipment</t>
  </si>
  <si>
    <t>cam_equipment</t>
  </si>
  <si>
    <t>01_39_cam_equipment</t>
  </si>
  <si>
    <t>Camera location independence</t>
  </si>
  <si>
    <t>01_47_cam_independent</t>
  </si>
  <si>
    <t>Camera density</t>
  </si>
  <si>
    <t>01_07_cam_high_dens</t>
  </si>
  <si>
    <t>Camera direction consistent or random</t>
  </si>
  <si>
    <t>01_42_cam_direction_ds</t>
  </si>
  <si>
    <t>Known density gradient</t>
  </si>
  <si>
    <t>01_05_cam_dens_gradient</t>
  </si>
  <si>
    <t>01_43_bait_lure</t>
  </si>
  <si>
    <t>Bait/lure (Types, Placement at all vs. a subset of cameras)</t>
  </si>
  <si>
    <t>Additional information that may be collected to support modelling density</t>
  </si>
  <si>
    <t>target_species_single</t>
  </si>
  <si>
    <t>header</t>
  </si>
  <si>
    <t>target_species_multiple</t>
  </si>
  <si>
    <t>study_area_site_selection_constraints</t>
  </si>
  <si>
    <t>References / Glossary</t>
  </si>
  <si>
    <t>references_glossary</t>
  </si>
  <si>
    <t>references</t>
  </si>
  <si>
    <t>08_references</t>
  </si>
  <si>
    <t>recommendations_study_design</t>
  </si>
  <si>
    <t>Modelling Approaches</t>
  </si>
  <si>
    <t>recommendations_modelling_approach</t>
  </si>
  <si>
    <t>Analysis considerations</t>
  </si>
  <si>
    <t>recommendations_considersations</t>
  </si>
  <si>
    <t>recommendations</t>
  </si>
  <si>
    <t>objective_resources</t>
  </si>
  <si>
    <t>glossary</t>
  </si>
  <si>
    <t>09_glossary</t>
  </si>
  <si>
    <t>duration_timing</t>
  </si>
  <si>
    <t>data_analysis</t>
  </si>
  <si>
    <t>toc_order</t>
  </si>
  <si>
    <t>toc_level</t>
  </si>
  <si>
    <t>link_infobox</t>
  </si>
  <si>
    <t>title_sub</t>
  </si>
  <si>
    <t>page_dropdown_text</t>
  </si>
  <si>
    <t>title_text</t>
  </si>
  <si>
    <t>title_id</t>
  </si>
  <si>
    <t>info_file_name</t>
  </si>
  <si>
    <t>prog_id</t>
  </si>
  <si>
    <t>sort</t>
  </si>
  <si>
    <t>survey_dur_mth</t>
  </si>
  <si>
    <t>Same sp_size codes from Q above, however, labels differ from what user see when obj_targ_sp=="single" and "multiple" is now an option available to users</t>
  </si>
  <si>
    <t>If obj_targ_sp=="single", user will not be able to select "Multiple"; Examples of comparable species users can refer to in order to select the most appropriate option; need to provide recommendations that incorp range of rarity</t>
  </si>
  <si>
    <t>sp_rarity_multi; sp_rarity_leastrare; sp_rarity_rarest</t>
  </si>
  <si>
    <t>need to provide recommendations that incorp range of rarity</t>
  </si>
  <si>
    <t>sp_detprob_cat; sp_detprob_cat_least; sp_detprob_cat_most</t>
  </si>
  <si>
    <t>Same sp_behav codes from Q above, however, labels differ from what user see when obj_targ_sp=="single" and "variable" is now an option available to users; Examples of comparable species users can refer to in order to select the most appropriate option</t>
  </si>
  <si>
    <t>If obj_targ_sp=="single", user will not be able to select "Variable"; If obj_targ_sp=="multiple", any objective could warrant consideration unless all species have similar behaviour (unlikely)</t>
  </si>
  <si>
    <t>add for study design if combining data from muliple setups?</t>
  </si>
  <si>
    <t>where "NO" will be included as "0" in surv_dur_mth_min; which should make it easy to formulate recommendations (&gt;0; no min)</t>
  </si>
  <si>
    <t>surv_dur_mth_min</t>
  </si>
  <si>
    <t>where "NO" will be included as "999" in surv_dur_mth_max; which should make it easy to in formulate recommendations (multiplicative of 0 is 0)</t>
  </si>
  <si>
    <t>surv_dur_mth_max</t>
  </si>
  <si>
    <t>If obj_targ_sp=="single", user will not be able to select "Multiple"; cater to "unknown" at first; Determine "cut-off" values or provide comparable species for users to base selection from Incorporate "Unknown" into recommendations</t>
  </si>
  <si>
    <t>Add note in sample_design recommendations if response if(sp_occ_restr=="unkn")</t>
  </si>
  <si>
    <t>Add note in sample_design recommendations if response if(sp_info=="unkn")</t>
  </si>
  <si>
    <t>If obj_targ_sp=="single", user will not be able to select "Multiple"; Anne: may depend if using lure/bait? Incorporate "Unknown" into recommendations</t>
  </si>
  <si>
    <t>simplify, if answer = unsure, provide user with options that would be available if either YES, NO selected</t>
  </si>
  <si>
    <t>Anne: Agree with Corrina. Suggest simply what was in Guidelines ("a formal measure that summarizes the state of a community or population at a particular time (Wearn &amp; Glover-Kapfer, 2017) (e.g., species richness or population abundance)". Also should they not in all cases have a state variable in mind prior to data collection (or are you envisioning situations where they have data collected with no primary goal in mind)?</t>
  </si>
  <si>
    <t>where "NO" will be included as "999" in num_cams_avail; which should make it easy to in formulate recommendations (number of cams referred to as &gt; 20, &gt; 30 etc.)</t>
  </si>
  <si>
    <t>data_hr; hr_size</t>
  </si>
  <si>
    <t>cam_strat_covar_num&lt;-ifelse(cam_strat_covar=="NO",0,cam_strat_covar); where "NO" will be included as "0" in cam_strat_covar_num; which should make it easy to in formulate recommendations (multiplicative of 0 is 0); Do we need "cam_strat_covar", or can we presume NO = 1</t>
  </si>
  <si>
    <t>question_notes</t>
  </si>
  <si>
    <t>obj_pop_size</t>
  </si>
  <si>
    <t>01_50_num_det_individ_recaptures</t>
  </si>
  <si>
    <t>num_det_individ_recaptures</t>
  </si>
  <si>
    <t>User entry</t>
  </si>
  <si>
    <t>auxillary_info_count</t>
  </si>
  <si>
    <t>markings</t>
  </si>
  <si>
    <t>01_26_auxillary_info_count</t>
  </si>
  <si>
    <t>01_24_markings</t>
  </si>
  <si>
    <t>Markings (Marked, unmarked, partially marked) / (Categorical identifiers)</t>
  </si>
  <si>
    <t>Number of detections, individuals, recaptures</t>
  </si>
  <si>
    <t>Behaviour (Investigative / Multiple species / Seasonal)</t>
  </si>
  <si>
    <t>equipment_deployment</t>
  </si>
  <si>
    <t>code</t>
  </si>
  <si>
    <t>is_page</t>
  </si>
  <si>
    <t>Behaviour focused objectives vary greatly; they may be qualitative or quantitative (e.g., diel activity patterns, mating, boldness, predation, foraging, activity patterns, vigilance, parental care (Caravaggi et al., 2020; Wearn &amp; Glover-Kapfer, 2017).</t>
  </si>
  <si>
    <t>The average number of offspring produced per individual per unit time.' (NBCKC, 2024a)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</si>
</sst>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i/>
      <sz val="12"/>
      <color theme="1"/>
      <name val="Calibri"/>
      <family val="2"/>
    </font>
    <font>
      <sz val="12"/>
      <color rgb="FF1F2328"/>
      <name val="Calibri"/>
      <family val="2"/>
    </font>
    <font>
      <u/>
      <sz val="12"/>
      <color rgb="FF365F91"/>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
      <b/>
      <sz val="11"/>
      <color theme="1"/>
      <name val="Aptos Narrow"/>
    </font>
    <font>
      <b/>
      <sz val="11"/>
      <color theme="1"/>
      <name val="Aptos Narrow"/>
      <family val="2"/>
    </font>
    <font>
      <sz val="11"/>
      <color theme="1"/>
      <name val="Aptos Narrow"/>
    </font>
    <font>
      <sz val="11"/>
      <color rgb="FF000000"/>
      <name val="Aptos Narrow"/>
    </font>
    <font>
      <u/>
      <sz val="11"/>
      <color theme="10"/>
      <name val="Aptos Narrow"/>
    </font>
    <font>
      <sz val="11"/>
      <color theme="1"/>
      <name val="Aptos"/>
    </font>
    <font>
      <sz val="12"/>
      <color theme="1"/>
      <name val="Aptos"/>
    </font>
    <font>
      <sz val="11"/>
      <color rgb="FFFF0000"/>
      <name val="Aptos Narrow"/>
    </font>
    <font>
      <sz val="12"/>
      <color rgb="FF333333"/>
      <name val="Calibri"/>
      <family val="2"/>
    </font>
  </fonts>
  <fills count="23">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D8D8D8"/>
        <bgColor rgb="FFD8D8D8"/>
      </patternFill>
    </fill>
    <fill>
      <patternFill patternType="solid">
        <fgColor rgb="FFC1F0C8"/>
        <bgColor rgb="FFC1F0C8"/>
      </patternFill>
    </fill>
    <fill>
      <patternFill patternType="solid">
        <fgColor rgb="FFCAEDFB"/>
        <bgColor rgb="FFCAEDFB"/>
      </patternFill>
    </fill>
    <fill>
      <patternFill patternType="solid">
        <fgColor rgb="FFF6C6AC"/>
        <bgColor rgb="FFF6C6AC"/>
      </patternFill>
    </fill>
    <fill>
      <patternFill patternType="solid">
        <fgColor rgb="FFE8E8E8"/>
        <bgColor rgb="FFE8E8E8"/>
      </patternFill>
    </fill>
    <fill>
      <patternFill patternType="solid">
        <fgColor rgb="FFFFFFCC"/>
        <bgColor rgb="FFFFFFCC"/>
      </patternFill>
    </fill>
  </fills>
  <borders count="4">
    <border>
      <left/>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4">
    <xf numFmtId="0" fontId="0" fillId="0" borderId="0"/>
    <xf numFmtId="0" fontId="3" fillId="0" borderId="0"/>
    <xf numFmtId="0" fontId="30" fillId="0" borderId="0" applyNumberFormat="0" applyFill="0" applyBorder="0" applyAlignment="0" applyProtection="0"/>
    <xf numFmtId="0" fontId="17" fillId="0" borderId="0"/>
  </cellStyleXfs>
  <cellXfs count="166">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49" fontId="6" fillId="4" borderId="0" xfId="0" applyNumberFormat="1" applyFont="1" applyFill="1" applyAlignment="1">
      <alignment vertical="center"/>
    </xf>
    <xf numFmtId="49" fontId="7" fillId="0" borderId="0" xfId="0" applyNumberFormat="1"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applyAlignment="1">
      <alignment horizontal="left" vertical="top"/>
    </xf>
    <xf numFmtId="0" fontId="3" fillId="0" borderId="0" xfId="0" applyFont="1"/>
    <xf numFmtId="0" fontId="25" fillId="0" borderId="0" xfId="0" applyFont="1"/>
    <xf numFmtId="0" fontId="25" fillId="0" borderId="0" xfId="0" applyFont="1" applyAlignment="1">
      <alignment vertical="center"/>
    </xf>
    <xf numFmtId="0" fontId="25" fillId="0" borderId="0" xfId="0" applyFont="1" applyAlignment="1">
      <alignment horizontal="left" vertical="top"/>
    </xf>
    <xf numFmtId="0" fontId="25" fillId="6" borderId="0" xfId="0" applyFont="1" applyFill="1" applyAlignment="1">
      <alignment horizontal="left" vertical="top"/>
    </xf>
    <xf numFmtId="0" fontId="26" fillId="0" borderId="0" xfId="0" applyFont="1"/>
    <xf numFmtId="0" fontId="28" fillId="0" borderId="0" xfId="0" applyFont="1" applyAlignment="1">
      <alignment horizontal="left" vertical="top"/>
    </xf>
    <xf numFmtId="0" fontId="28" fillId="0" borderId="0" xfId="0" applyFont="1"/>
    <xf numFmtId="0" fontId="26" fillId="0" borderId="0" xfId="0" applyFont="1" applyAlignment="1">
      <alignment horizontal="left" vertical="top"/>
    </xf>
    <xf numFmtId="0" fontId="31" fillId="0" borderId="0" xfId="2" applyFont="1" applyAlignment="1"/>
    <xf numFmtId="0" fontId="32" fillId="5" borderId="0" xfId="0" applyFont="1" applyFill="1"/>
    <xf numFmtId="0" fontId="32" fillId="5" borderId="0" xfId="0" applyFont="1" applyFill="1" applyAlignment="1">
      <alignment horizontal="left" vertical="top"/>
    </xf>
    <xf numFmtId="0" fontId="1" fillId="0" borderId="0" xfId="0" applyFont="1"/>
    <xf numFmtId="0" fontId="33" fillId="0" borderId="0" xfId="0" applyFont="1"/>
    <xf numFmtId="0" fontId="25" fillId="5" borderId="0" xfId="0" applyFont="1" applyFill="1"/>
    <xf numFmtId="0" fontId="25" fillId="5" borderId="0" xfId="0" applyFont="1" applyFill="1" applyAlignment="1">
      <alignment vertical="center"/>
    </xf>
    <xf numFmtId="0" fontId="3" fillId="5" borderId="0" xfId="0" applyFont="1" applyFill="1"/>
    <xf numFmtId="0" fontId="32" fillId="9" borderId="0" xfId="0" applyFont="1" applyFill="1"/>
    <xf numFmtId="0" fontId="0" fillId="0" borderId="0" xfId="0" applyAlignment="1">
      <alignment horizontal="left" vertical="top"/>
    </xf>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0" fillId="0" borderId="0" xfId="2"/>
    <xf numFmtId="0" fontId="35" fillId="0" borderId="0" xfId="0" applyFont="1"/>
    <xf numFmtId="0" fontId="36" fillId="0" borderId="0" xfId="0" applyFont="1"/>
    <xf numFmtId="0" fontId="5" fillId="6" borderId="0" xfId="0" applyFont="1" applyFill="1"/>
    <xf numFmtId="0" fontId="37" fillId="0" borderId="0" xfId="0" applyFont="1"/>
    <xf numFmtId="0" fontId="38" fillId="0" borderId="0" xfId="0" quotePrefix="1" applyFont="1" applyAlignment="1">
      <alignment horizontal="left" vertical="center"/>
    </xf>
    <xf numFmtId="0" fontId="25" fillId="6" borderId="0" xfId="0" quotePrefix="1" applyFont="1" applyFill="1"/>
    <xf numFmtId="0" fontId="8" fillId="0" borderId="0" xfId="0" applyFont="1" applyAlignment="1">
      <alignment vertical="center"/>
    </xf>
    <xf numFmtId="0" fontId="3" fillId="9" borderId="0" xfId="0" applyFont="1" applyFill="1"/>
    <xf numFmtId="0" fontId="32" fillId="12" borderId="0" xfId="0" applyFont="1" applyFill="1"/>
    <xf numFmtId="0" fontId="17" fillId="0" borderId="0" xfId="3"/>
    <xf numFmtId="0" fontId="3" fillId="0" borderId="0" xfId="3" applyFont="1"/>
    <xf numFmtId="0" fontId="39" fillId="0" borderId="0" xfId="3" applyFont="1"/>
    <xf numFmtId="0" fontId="40" fillId="0" borderId="0" xfId="3" applyFont="1"/>
    <xf numFmtId="0" fontId="41" fillId="0" borderId="0" xfId="3" applyFont="1"/>
    <xf numFmtId="0" fontId="41" fillId="0" borderId="2" xfId="3" applyFont="1" applyBorder="1"/>
    <xf numFmtId="0" fontId="42" fillId="0" borderId="0" xfId="3" applyFont="1" applyAlignment="1">
      <alignment horizontal="left" vertical="center" readingOrder="1"/>
    </xf>
    <xf numFmtId="0" fontId="41" fillId="14" borderId="0" xfId="3" applyFont="1" applyFill="1"/>
    <xf numFmtId="0" fontId="1" fillId="0" borderId="0" xfId="3" applyFont="1"/>
    <xf numFmtId="0" fontId="43" fillId="0" borderId="0" xfId="3" applyFont="1"/>
    <xf numFmtId="0" fontId="8" fillId="0" borderId="0" xfId="3" applyFont="1"/>
    <xf numFmtId="0" fontId="44" fillId="0" borderId="0" xfId="3" applyFont="1"/>
    <xf numFmtId="0" fontId="45" fillId="0" borderId="0" xfId="3" applyFont="1" applyAlignment="1">
      <alignment vertical="center"/>
    </xf>
    <xf numFmtId="0" fontId="41" fillId="15" borderId="0" xfId="3" applyFont="1" applyFill="1"/>
    <xf numFmtId="0" fontId="39" fillId="14" borderId="0" xfId="3" applyFont="1" applyFill="1"/>
    <xf numFmtId="0" fontId="8" fillId="14" borderId="0" xfId="3" applyFont="1" applyFill="1"/>
    <xf numFmtId="0" fontId="39" fillId="16" borderId="0" xfId="3" applyFont="1" applyFill="1"/>
    <xf numFmtId="0" fontId="39" fillId="17" borderId="0" xfId="3" applyFont="1" applyFill="1"/>
    <xf numFmtId="0" fontId="41" fillId="17" borderId="0" xfId="3" applyFont="1" applyFill="1"/>
    <xf numFmtId="0" fontId="41" fillId="18" borderId="0" xfId="3" applyFont="1" applyFill="1"/>
    <xf numFmtId="0" fontId="25" fillId="19" borderId="0" xfId="3" applyFont="1" applyFill="1" applyAlignment="1">
      <alignment horizontal="left" vertical="top" wrapText="1"/>
    </xf>
    <xf numFmtId="0" fontId="41" fillId="19" borderId="0" xfId="3" applyFont="1" applyFill="1"/>
    <xf numFmtId="0" fontId="46" fillId="16" borderId="0" xfId="3" applyFont="1" applyFill="1"/>
    <xf numFmtId="0" fontId="25" fillId="19" borderId="2" xfId="3" applyFont="1" applyFill="1" applyBorder="1" applyAlignment="1">
      <alignment horizontal="left" vertical="top" wrapText="1"/>
    </xf>
    <xf numFmtId="0" fontId="41" fillId="16" borderId="0" xfId="3" applyFont="1" applyFill="1"/>
    <xf numFmtId="0" fontId="25" fillId="0" borderId="0" xfId="3" applyFont="1" applyAlignment="1">
      <alignment horizontal="left" vertical="center"/>
    </xf>
    <xf numFmtId="0" fontId="25" fillId="0" borderId="0" xfId="3" applyFont="1"/>
    <xf numFmtId="0" fontId="25" fillId="0" borderId="0" xfId="3" applyFont="1" applyAlignment="1">
      <alignment horizontal="left" vertical="top"/>
    </xf>
    <xf numFmtId="0" fontId="41" fillId="0" borderId="0" xfId="3" applyFont="1" applyAlignment="1">
      <alignment vertical="center"/>
    </xf>
    <xf numFmtId="0" fontId="42" fillId="16" borderId="0" xfId="3" applyFont="1" applyFill="1" applyAlignment="1">
      <alignment vertical="center"/>
    </xf>
    <xf numFmtId="0" fontId="17" fillId="0" borderId="2" xfId="3" applyBorder="1"/>
    <xf numFmtId="0" fontId="42" fillId="0" borderId="0" xfId="3" applyFont="1" applyAlignment="1">
      <alignment vertical="center"/>
    </xf>
    <xf numFmtId="0" fontId="46" fillId="0" borderId="0" xfId="3" applyFont="1"/>
    <xf numFmtId="0" fontId="25" fillId="0" borderId="2" xfId="3" applyFont="1" applyBorder="1" applyAlignment="1">
      <alignment horizontal="left" vertical="top" wrapText="1"/>
    </xf>
    <xf numFmtId="0" fontId="39" fillId="20" borderId="0" xfId="3" applyFont="1" applyFill="1"/>
    <xf numFmtId="0" fontId="39" fillId="19" borderId="0" xfId="3" applyFont="1" applyFill="1"/>
    <xf numFmtId="0" fontId="35" fillId="19" borderId="0" xfId="3" applyFont="1" applyFill="1"/>
    <xf numFmtId="0" fontId="32" fillId="19" borderId="2" xfId="3" applyFont="1" applyFill="1" applyBorder="1" applyAlignment="1">
      <alignment horizontal="left" vertical="center"/>
    </xf>
    <xf numFmtId="0" fontId="39" fillId="21" borderId="0" xfId="3" applyFont="1" applyFill="1"/>
    <xf numFmtId="0" fontId="41" fillId="22" borderId="0" xfId="3" applyFont="1" applyFill="1"/>
    <xf numFmtId="0" fontId="26" fillId="0" borderId="0" xfId="3" applyFont="1" applyAlignment="1">
      <alignment horizontal="left" vertical="center"/>
    </xf>
    <xf numFmtId="0" fontId="41" fillId="0" borderId="0" xfId="3" applyFont="1" applyAlignment="1">
      <alignment horizontal="left" vertical="center"/>
    </xf>
    <xf numFmtId="0" fontId="47" fillId="0" borderId="0" xfId="3" applyFont="1" applyAlignment="1">
      <alignment horizontal="left" vertical="center"/>
    </xf>
    <xf numFmtId="0" fontId="32" fillId="17" borderId="0" xfId="3" applyFont="1" applyFill="1" applyAlignment="1">
      <alignment horizontal="left" vertical="center"/>
    </xf>
    <xf numFmtId="0" fontId="41" fillId="22" borderId="0" xfId="3" applyFont="1" applyFill="1" applyAlignment="1">
      <alignment horizontal="left" vertical="center"/>
    </xf>
    <xf numFmtId="0" fontId="32" fillId="22" borderId="2" xfId="3" applyFont="1" applyFill="1" applyBorder="1" applyAlignment="1">
      <alignment horizontal="left" vertical="center"/>
    </xf>
    <xf numFmtId="0" fontId="32" fillId="0" borderId="2" xfId="3" applyFont="1" applyBorder="1" applyAlignment="1">
      <alignment horizontal="left" vertical="center"/>
    </xf>
    <xf numFmtId="0" fontId="32" fillId="19" borderId="0" xfId="3" applyFont="1" applyFill="1" applyAlignment="1">
      <alignment horizontal="left" vertical="center"/>
    </xf>
    <xf numFmtId="0" fontId="25" fillId="0" borderId="2" xfId="3" applyFont="1" applyBorder="1" applyAlignment="1">
      <alignment horizontal="left" vertical="center"/>
    </xf>
    <xf numFmtId="0" fontId="41" fillId="19" borderId="2" xfId="3" applyFont="1" applyFill="1" applyBorder="1" applyAlignment="1">
      <alignment horizontal="left" vertical="center"/>
    </xf>
    <xf numFmtId="0" fontId="39" fillId="0" borderId="0" xfId="3" applyFont="1" applyAlignment="1">
      <alignment horizontal="left" vertical="center"/>
    </xf>
    <xf numFmtId="0" fontId="25" fillId="15" borderId="2" xfId="3" applyFont="1" applyFill="1" applyBorder="1" applyAlignment="1">
      <alignment horizontal="left" vertical="top" wrapText="1"/>
    </xf>
    <xf numFmtId="0" fontId="41" fillId="0" borderId="3" xfId="3" applyFont="1" applyBorder="1"/>
    <xf numFmtId="49" fontId="0" fillId="6" borderId="0" xfId="0" quotePrefix="1" applyNumberFormat="1" applyFill="1"/>
  </cellXfs>
  <cellStyles count="4">
    <cellStyle name="Hyperlink" xfId="2" builtinId="8"/>
    <cellStyle name="Normal" xfId="0" builtinId="0"/>
    <cellStyle name="Normal 2" xfId="1" xr:uid="{E7F4B3A1-D101-4933-801E-52D84A9801FC}"/>
    <cellStyle name="Normal 3" xfId="3" xr:uid="{A80F1905-21D0-4FCC-94AE-622D09D74A34}"/>
  </cellStyles>
  <dxfs count="50">
    <dxf>
      <font>
        <color rgb="FF9C0006"/>
      </font>
      <fill>
        <patternFill>
          <bgColor rgb="FFFFC7CE"/>
        </patternFill>
      </fill>
    </dxf>
    <dxf>
      <font>
        <color rgb="FF9C0006"/>
      </font>
      <fill>
        <patternFill>
          <bgColor rgb="FFFFC7CE"/>
        </patternFill>
      </fill>
    </dxf>
    <dxf>
      <fill>
        <patternFill patternType="solid">
          <fgColor rgb="FFD9EAD3"/>
          <bgColor rgb="FFD9EAD3"/>
        </patternFill>
      </fill>
    </dxf>
    <dxf>
      <fill>
        <patternFill patternType="solid">
          <fgColor rgb="FFF3F3F3"/>
          <bgColor rgb="FFF3F3F3"/>
        </patternFill>
      </fill>
    </dxf>
    <dxf>
      <fill>
        <patternFill patternType="solid">
          <fgColor rgb="FFD9EAD3"/>
          <bgColor rgb="FFD9EAD3"/>
        </patternFill>
      </fill>
    </dxf>
    <dxf>
      <fill>
        <patternFill patternType="solid">
          <fgColor rgb="FFF3F3F3"/>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doi.org/10.1111/1365-2656.14213" TargetMode="External"/><Relationship Id="rId7" Type="http://schemas.openxmlformats.org/officeDocument/2006/relationships/printerSettings" Target="../printerSettings/printerSettings8.bin"/><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5" Type="http://schemas.openxmlformats.org/officeDocument/2006/relationships/hyperlink" Target="https://www.youtube.com/watch?v=IHVez1a_hqg&amp;t=2675s" TargetMode="External"/><Relationship Id="rId10" Type="http://schemas.microsoft.com/office/2017/10/relationships/threadedComment" Target="../threadedComments/threadedComment2.xml"/><Relationship Id="rId4" Type="http://schemas.openxmlformats.org/officeDocument/2006/relationships/hyperlink" Target="https://www.youtube.com/watch?v=6TtVXy91AY4" TargetMode="External"/><Relationship Id="rId9"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6" tint="0.79998168889431442"/>
  </sheetPr>
  <dimension ref="A2:B5"/>
  <sheetViews>
    <sheetView workbookViewId="0">
      <selection activeCell="A6" sqref="A6"/>
    </sheetView>
  </sheetViews>
  <sheetFormatPr defaultRowHeight="14.25"/>
  <cols>
    <col min="2" max="2" width="22" customWidth="1"/>
  </cols>
  <sheetData>
    <row r="2" spans="1:2">
      <c r="A2" t="s">
        <v>5368</v>
      </c>
      <c r="B2" s="101" t="s">
        <v>4662</v>
      </c>
    </row>
    <row r="3" spans="1:2">
      <c r="A3" t="s">
        <v>5368</v>
      </c>
      <c r="B3" s="101" t="s">
        <v>4663</v>
      </c>
    </row>
    <row r="5" spans="1:2">
      <c r="A5" t="s">
        <v>5369</v>
      </c>
      <c r="B5" s="61" t="s">
        <v>4664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dimension ref="A1:K35"/>
  <sheetViews>
    <sheetView workbookViewId="0">
      <selection activeCell="D12" sqref="D12"/>
    </sheetView>
  </sheetViews>
  <sheetFormatPr defaultRowHeight="15"/>
  <cols>
    <col min="1" max="1" width="9" style="30"/>
    <col min="2" max="2" width="9" style="47"/>
    <col min="3" max="3" width="23" style="30" customWidth="1"/>
    <col min="4" max="5" width="29.875" style="30" customWidth="1"/>
    <col min="6" max="9" width="23" style="30" customWidth="1"/>
  </cols>
  <sheetData>
    <row r="1" spans="1:11">
      <c r="A1" s="47" t="s">
        <v>436</v>
      </c>
      <c r="B1" s="36" t="s">
        <v>1801</v>
      </c>
      <c r="C1" s="47" t="s">
        <v>347</v>
      </c>
      <c r="D1" s="50" t="s">
        <v>1802</v>
      </c>
      <c r="E1" s="36" t="s">
        <v>350</v>
      </c>
      <c r="F1" s="50" t="s">
        <v>1780</v>
      </c>
      <c r="G1" s="53" t="s">
        <v>1803</v>
      </c>
      <c r="H1" s="53" t="s">
        <v>1779</v>
      </c>
      <c r="I1" s="30" t="s">
        <v>1063</v>
      </c>
      <c r="K1" t="s">
        <v>1782</v>
      </c>
    </row>
    <row r="2" spans="1:11">
      <c r="C2" s="32" t="s">
        <v>1361</v>
      </c>
      <c r="D2" s="32" t="s">
        <v>1360</v>
      </c>
      <c r="E2" s="32"/>
      <c r="F2" s="32" t="str">
        <f t="shared" ref="F2:F10" si="0">C2&amp;"_tu"</f>
        <v>covariate_tu</v>
      </c>
      <c r="G2" s="32" t="str">
        <f t="shared" ref="G2:G10" si="1">LOWER(D2)</f>
        <v>covariate</v>
      </c>
      <c r="H2" s="32" t="str">
        <f t="shared" ref="H2:H10" si="2">C2&amp;"_tl"</f>
        <v>covariate_tl</v>
      </c>
      <c r="I2" s="32"/>
    </row>
    <row r="3" spans="1:11">
      <c r="C3" s="33" t="s">
        <v>1273</v>
      </c>
      <c r="D3" s="33" t="s">
        <v>1362</v>
      </c>
      <c r="E3" s="33"/>
      <c r="F3" s="32" t="str">
        <f t="shared" si="0"/>
        <v>distribution_tu</v>
      </c>
      <c r="G3" s="32" t="str">
        <f t="shared" si="1"/>
        <v>distribution</v>
      </c>
      <c r="H3" s="32" t="str">
        <f t="shared" si="2"/>
        <v>distribution_tl</v>
      </c>
      <c r="I3" s="33"/>
    </row>
    <row r="4" spans="1:11" ht="14.25">
      <c r="B4" s="32"/>
      <c r="C4" s="32" t="s">
        <v>1369</v>
      </c>
      <c r="D4" s="32" t="s">
        <v>1359</v>
      </c>
      <c r="E4" s="32"/>
      <c r="F4" s="32" t="str">
        <f t="shared" si="0"/>
        <v>independence_tu</v>
      </c>
      <c r="G4" s="32" t="str">
        <f t="shared" si="1"/>
        <v>independence</v>
      </c>
      <c r="H4" s="32" t="str">
        <f t="shared" si="2"/>
        <v>independence_tl</v>
      </c>
    </row>
    <row r="5" spans="1:11">
      <c r="C5" s="30" t="s">
        <v>792</v>
      </c>
      <c r="D5" s="30" t="s">
        <v>1370</v>
      </c>
      <c r="F5" s="32" t="str">
        <f t="shared" si="0"/>
        <v>home_range_tu</v>
      </c>
      <c r="G5" s="32" t="str">
        <f t="shared" si="1"/>
        <v>home ranges</v>
      </c>
      <c r="H5" s="32" t="str">
        <f t="shared" si="2"/>
        <v>home_range_tl</v>
      </c>
    </row>
    <row r="6" spans="1:11">
      <c r="C6" s="31" t="s">
        <v>1364</v>
      </c>
      <c r="D6" s="30" t="s">
        <v>1356</v>
      </c>
      <c r="F6" s="32" t="str">
        <f t="shared" si="0"/>
        <v>sp_accum_asymptote_tu</v>
      </c>
      <c r="G6" s="32" t="str">
        <f t="shared" si="1"/>
        <v>species-accumulation asymptote</v>
      </c>
      <c r="H6" s="32" t="str">
        <f t="shared" si="2"/>
        <v>sp_accum_asymptote_tl</v>
      </c>
    </row>
    <row r="7" spans="1:11">
      <c r="C7" s="30" t="s">
        <v>4568</v>
      </c>
      <c r="D7" s="32" t="s">
        <v>1365</v>
      </c>
      <c r="E7" s="32"/>
      <c r="F7" s="32" t="str">
        <f t="shared" si="0"/>
        <v>data_distr_para_tu</v>
      </c>
      <c r="G7" s="32" t="str">
        <f t="shared" si="1"/>
        <v>parametric distribution</v>
      </c>
      <c r="H7" s="32" t="str">
        <f t="shared" si="2"/>
        <v>data_distr_para_tl</v>
      </c>
    </row>
    <row r="8" spans="1:11">
      <c r="C8" s="30" t="s">
        <v>4569</v>
      </c>
      <c r="D8" s="30" t="s">
        <v>1366</v>
      </c>
      <c r="F8" s="32" t="str">
        <f t="shared" si="0"/>
        <v>data_distr_poisson_tu</v>
      </c>
      <c r="G8" s="32" t="str">
        <f t="shared" si="1"/>
        <v>poisson-distributed</v>
      </c>
      <c r="H8" s="32" t="str">
        <f t="shared" si="2"/>
        <v>data_distr_poisson_tl</v>
      </c>
    </row>
    <row r="9" spans="1:11">
      <c r="C9" s="30" t="s">
        <v>4570</v>
      </c>
      <c r="D9" s="32" t="s">
        <v>1367</v>
      </c>
      <c r="E9" s="32"/>
      <c r="F9" s="32" t="str">
        <f t="shared" si="0"/>
        <v>closure_demo_tu</v>
      </c>
      <c r="G9" s="32" t="str">
        <f t="shared" si="1"/>
        <v>demographic closure</v>
      </c>
      <c r="H9" s="32" t="str">
        <f t="shared" si="2"/>
        <v>closure_demo_tl</v>
      </c>
    </row>
    <row r="10" spans="1:11">
      <c r="C10" s="30" t="s">
        <v>4571</v>
      </c>
      <c r="D10" s="32" t="s">
        <v>1368</v>
      </c>
      <c r="E10" s="32"/>
      <c r="F10" s="32" t="str">
        <f t="shared" si="0"/>
        <v>closure_geo_tu</v>
      </c>
      <c r="G10" s="32" t="str">
        <f t="shared" si="1"/>
        <v xml:space="preserve">geographic closure </v>
      </c>
      <c r="H10" s="32" t="str">
        <f t="shared" si="2"/>
        <v>closure_geo_tl</v>
      </c>
    </row>
    <row r="11" spans="1:11">
      <c r="C11" s="61" t="s">
        <v>4678</v>
      </c>
      <c r="D11" s="32" t="s">
        <v>4679</v>
      </c>
      <c r="E11" s="30" t="s">
        <v>4680</v>
      </c>
      <c r="F11" s="32"/>
      <c r="G11" s="32"/>
      <c r="H11" s="32"/>
    </row>
    <row r="12" spans="1:11">
      <c r="C12" s="30" t="s">
        <v>4489</v>
      </c>
      <c r="D12" s="30" t="s">
        <v>1828</v>
      </c>
    </row>
    <row r="13" spans="1:11">
      <c r="C13" s="30" t="s">
        <v>4490</v>
      </c>
      <c r="D13" s="30" t="s">
        <v>4530</v>
      </c>
    </row>
    <row r="14" spans="1:11">
      <c r="C14" s="12" t="s">
        <v>4520</v>
      </c>
      <c r="D14" s="12" t="s">
        <v>4580</v>
      </c>
      <c r="E14" s="12"/>
      <c r="F14" s="12"/>
      <c r="G14" s="12"/>
      <c r="H14" s="12"/>
    </row>
    <row r="15" spans="1:11">
      <c r="C15" s="30" t="s">
        <v>4519</v>
      </c>
      <c r="D15" s="30" t="s">
        <v>4531</v>
      </c>
    </row>
    <row r="16" spans="1:11">
      <c r="C16" s="30" t="s">
        <v>4567</v>
      </c>
      <c r="D16" s="30" t="s">
        <v>4532</v>
      </c>
    </row>
    <row r="17" spans="3:4">
      <c r="C17" s="30" t="s">
        <v>4562</v>
      </c>
      <c r="D17" s="30" t="s">
        <v>4533</v>
      </c>
    </row>
    <row r="18" spans="3:4">
      <c r="C18" s="30" t="s">
        <v>4524</v>
      </c>
      <c r="D18" s="30" t="s">
        <v>4534</v>
      </c>
    </row>
    <row r="19" spans="3:4">
      <c r="C19" s="30" t="s">
        <v>4563</v>
      </c>
      <c r="D19" s="30" t="s">
        <v>4535</v>
      </c>
    </row>
    <row r="20" spans="3:4">
      <c r="C20" s="30" t="s">
        <v>4526</v>
      </c>
      <c r="D20" s="30" t="s">
        <v>4536</v>
      </c>
    </row>
    <row r="21" spans="3:4">
      <c r="C21" s="30" t="s">
        <v>4564</v>
      </c>
      <c r="D21" s="30" t="s">
        <v>4537</v>
      </c>
    </row>
    <row r="22" spans="3:4">
      <c r="C22" s="30" t="s">
        <v>4565</v>
      </c>
      <c r="D22" s="30" t="s">
        <v>4527</v>
      </c>
    </row>
    <row r="23" spans="3:4">
      <c r="C23" s="30" t="s">
        <v>4561</v>
      </c>
      <c r="D23" s="30" t="s">
        <v>4538</v>
      </c>
    </row>
    <row r="24" spans="3:4">
      <c r="C24" s="30" t="s">
        <v>4566</v>
      </c>
      <c r="D24" s="30" t="s">
        <v>4529</v>
      </c>
    </row>
    <row r="25" spans="3:4">
      <c r="C25" s="30" t="s">
        <v>4572</v>
      </c>
      <c r="D25" s="30" t="s">
        <v>4539</v>
      </c>
    </row>
    <row r="26" spans="3:4">
      <c r="C26" s="30" t="s">
        <v>4543</v>
      </c>
      <c r="D26" s="30" t="s">
        <v>4544</v>
      </c>
    </row>
    <row r="27" spans="3:4">
      <c r="C27" s="30" t="s">
        <v>4546</v>
      </c>
      <c r="D27" s="30" t="s">
        <v>4548</v>
      </c>
    </row>
    <row r="28" spans="3:4">
      <c r="C28" s="30" t="s">
        <v>4560</v>
      </c>
      <c r="D28" s="30" t="s">
        <v>4547</v>
      </c>
    </row>
    <row r="29" spans="3:4">
      <c r="C29" s="30" t="s">
        <v>4559</v>
      </c>
      <c r="D29" s="30" t="s">
        <v>4549</v>
      </c>
    </row>
    <row r="30" spans="3:4">
      <c r="C30" s="30" t="s">
        <v>4558</v>
      </c>
      <c r="D30" s="30" t="s">
        <v>4551</v>
      </c>
    </row>
    <row r="31" spans="3:4">
      <c r="C31" s="30" t="s">
        <v>4557</v>
      </c>
      <c r="D31" s="30" t="s">
        <v>4556</v>
      </c>
    </row>
    <row r="32" spans="3:4">
      <c r="D32" s="30" t="s">
        <v>4579</v>
      </c>
    </row>
    <row r="33" spans="4:4">
      <c r="D33" s="30" t="s">
        <v>4581</v>
      </c>
    </row>
    <row r="34" spans="4:4">
      <c r="D34" s="61" t="s">
        <v>5192</v>
      </c>
    </row>
    <row r="35" spans="4:4">
      <c r="D35" s="61" t="s">
        <v>5193</v>
      </c>
    </row>
  </sheetData>
  <autoFilter ref="A1:I10" xr:uid="{DAB812F5-68DD-4D9B-96D7-5A08DE09C995}">
    <sortState xmlns:xlrd2="http://schemas.microsoft.com/office/spreadsheetml/2017/richdata2" ref="A2:I10">
      <sortCondition ref="I1:I10"/>
    </sortState>
  </autoFilter>
  <conditionalFormatting sqref="C5">
    <cfRule type="duplicateValues" dxfId="49" priority="48"/>
  </conditionalFormatting>
  <conditionalFormatting sqref="D1">
    <cfRule type="duplicateValues" dxfId="48" priority="2"/>
  </conditionalFormatting>
  <conditionalFormatting sqref="D5:E5 D7:E7">
    <cfRule type="duplicateValues" dxfId="47" priority="5"/>
  </conditionalFormatting>
  <conditionalFormatting sqref="G1">
    <cfRule type="duplicateValues" dxfId="46"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dimension ref="A1:E21"/>
  <sheetViews>
    <sheetView workbookViewId="0">
      <selection activeCell="A10" sqref="A10"/>
    </sheetView>
  </sheetViews>
  <sheetFormatPr defaultRowHeight="14.25"/>
  <cols>
    <col min="1" max="1" width="97.75" customWidth="1"/>
    <col min="2" max="3" width="26.375" customWidth="1"/>
    <col min="4" max="4" width="7.625" customWidth="1"/>
  </cols>
  <sheetData>
    <row r="1" spans="1:5" ht="15">
      <c r="A1" s="20" t="s">
        <v>50</v>
      </c>
      <c r="B1" s="20" t="s">
        <v>622</v>
      </c>
      <c r="C1" s="20" t="s">
        <v>623</v>
      </c>
      <c r="D1" s="20" t="s">
        <v>624</v>
      </c>
      <c r="E1" s="20" t="s">
        <v>511</v>
      </c>
    </row>
    <row r="2" spans="1:5" ht="15">
      <c r="B2" s="12"/>
    </row>
    <row r="3" spans="1:5" ht="15">
      <c r="A3" s="14" t="s">
        <v>649</v>
      </c>
      <c r="B3" s="12"/>
    </row>
    <row r="4" spans="1:5">
      <c r="A4" s="14" t="s">
        <v>650</v>
      </c>
    </row>
    <row r="8" spans="1:5" ht="30">
      <c r="A8" s="16" t="s">
        <v>654</v>
      </c>
      <c r="B8" s="15" t="s">
        <v>652</v>
      </c>
      <c r="D8" t="s">
        <v>653</v>
      </c>
    </row>
    <row r="9" spans="1:5">
      <c r="A9" t="s">
        <v>665</v>
      </c>
    </row>
    <row r="10" spans="1:5">
      <c r="A10" t="s">
        <v>655</v>
      </c>
      <c r="B10" t="s">
        <v>656</v>
      </c>
    </row>
    <row r="11" spans="1:5" ht="15">
      <c r="A11" t="s">
        <v>1218</v>
      </c>
      <c r="B11" s="12" t="s">
        <v>657</v>
      </c>
    </row>
    <row r="12" spans="1:5" ht="15">
      <c r="B12" s="12"/>
    </row>
    <row r="14" spans="1:5" ht="15">
      <c r="A14" s="18" t="s">
        <v>1213</v>
      </c>
      <c r="B14" t="s">
        <v>3955</v>
      </c>
      <c r="C14" t="s">
        <v>3954</v>
      </c>
      <c r="D14" t="s">
        <v>1220</v>
      </c>
    </row>
    <row r="15" spans="1:5" ht="15">
      <c r="A15" s="18" t="s">
        <v>1214</v>
      </c>
      <c r="B15" t="s">
        <v>3956</v>
      </c>
      <c r="C15" t="s">
        <v>1219</v>
      </c>
      <c r="D15" t="s">
        <v>1220</v>
      </c>
    </row>
    <row r="16" spans="1:5" ht="15">
      <c r="A16" s="18" t="s">
        <v>1215</v>
      </c>
      <c r="B16" t="s">
        <v>3957</v>
      </c>
      <c r="C16" t="s">
        <v>1219</v>
      </c>
      <c r="D16" t="s">
        <v>1220</v>
      </c>
    </row>
    <row r="17" spans="1:4">
      <c r="C17" t="s">
        <v>1219</v>
      </c>
      <c r="D17" t="s">
        <v>1220</v>
      </c>
    </row>
    <row r="18" spans="1:4">
      <c r="C18" t="s">
        <v>1219</v>
      </c>
      <c r="D18" t="s">
        <v>1220</v>
      </c>
    </row>
    <row r="19" spans="1:4">
      <c r="A19" s="23"/>
      <c r="C19" t="s">
        <v>1219</v>
      </c>
      <c r="D19" t="s">
        <v>1220</v>
      </c>
    </row>
    <row r="21" spans="1:4">
      <c r="A21" s="26"/>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zoomScaleNormal="100" workbookViewId="0">
      <pane ySplit="1" topLeftCell="A2" activePane="bottomLeft" state="frozen"/>
      <selection activeCell="H1" sqref="H1"/>
      <selection pane="bottomLeft" activeCell="M15" sqref="M15:N15"/>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11" customWidth="1"/>
    <col min="14" max="14" width="8.75" style="11" customWidth="1"/>
    <col min="15" max="15" width="44.5" style="39" customWidth="1"/>
    <col min="16" max="16" width="65.625" style="39"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6" t="s">
        <v>529</v>
      </c>
      <c r="B1" s="47" t="s">
        <v>453</v>
      </c>
      <c r="C1" s="47" t="s">
        <v>428</v>
      </c>
      <c r="D1" s="47" t="s">
        <v>1755</v>
      </c>
      <c r="E1" s="47" t="s">
        <v>814</v>
      </c>
      <c r="F1" s="36" t="s">
        <v>977</v>
      </c>
      <c r="G1" s="47" t="s">
        <v>436</v>
      </c>
      <c r="H1" s="36" t="s">
        <v>1801</v>
      </c>
      <c r="I1" s="47" t="s">
        <v>5186</v>
      </c>
      <c r="J1" s="47" t="s">
        <v>347</v>
      </c>
      <c r="K1" s="50" t="s">
        <v>1802</v>
      </c>
      <c r="L1" s="50" t="s">
        <v>1811</v>
      </c>
      <c r="M1" s="48" t="s">
        <v>350</v>
      </c>
      <c r="N1" s="48" t="s">
        <v>1063</v>
      </c>
      <c r="O1" s="59" t="s">
        <v>1839</v>
      </c>
      <c r="P1" s="59" t="s">
        <v>437</v>
      </c>
      <c r="Q1" s="47" t="s">
        <v>349</v>
      </c>
      <c r="R1" s="47" t="s">
        <v>348</v>
      </c>
      <c r="S1" s="47" t="s">
        <v>155</v>
      </c>
      <c r="T1" s="47" t="s">
        <v>512</v>
      </c>
      <c r="U1" s="47" t="s">
        <v>895</v>
      </c>
      <c r="V1" s="49" t="s">
        <v>981</v>
      </c>
      <c r="W1" s="49" t="s">
        <v>982</v>
      </c>
      <c r="X1" s="49" t="s">
        <v>983</v>
      </c>
      <c r="Y1" s="44" t="s">
        <v>1815</v>
      </c>
      <c r="Z1" t="s">
        <v>4684</v>
      </c>
    </row>
    <row r="2" spans="1:26">
      <c r="A2" s="30"/>
      <c r="B2" s="30">
        <v>107</v>
      </c>
      <c r="C2" s="30" t="s">
        <v>429</v>
      </c>
      <c r="D2" s="82" t="s">
        <v>984</v>
      </c>
      <c r="E2" s="34" t="s">
        <v>493</v>
      </c>
      <c r="F2" s="30" t="s">
        <v>897</v>
      </c>
      <c r="G2" s="30" t="s">
        <v>767</v>
      </c>
      <c r="H2" s="30" t="s">
        <v>544</v>
      </c>
      <c r="I2" s="40" t="s">
        <v>345</v>
      </c>
      <c r="J2" s="40" t="str">
        <f t="shared" ref="J2:J65" si="0">IF(D2&lt;&gt;"-",I2&amp;"_"&amp;D2,I2)</f>
        <v>number_of_images</v>
      </c>
      <c r="K2" s="34" t="s">
        <v>751</v>
      </c>
      <c r="L2" s="34" t="str">
        <f>IF(VLOOKUP(J2,find_replace!H:H,1,"false")=J2,"TRUE","FALSE")</f>
        <v>TRUE</v>
      </c>
      <c r="M2" s="82" t="s">
        <v>346</v>
      </c>
      <c r="N2" s="82" t="s">
        <v>346</v>
      </c>
      <c r="O2" s="60" t="str">
        <f t="shared" ref="O2:O65" si="1">IF(M2=999,"",("    term_"&amp;J2&amp;": """&amp;K2&amp;""""))</f>
        <v xml:space="preserve">    term_number_of_images: "# Of Images"</v>
      </c>
      <c r="P2" s="39" t="str">
        <f t="shared" ref="P2:P65" si="2">IF(M2="-","-",("    def_"&amp;J2&amp;": """&amp;M2&amp;""""))</f>
        <v xml:space="preserve">    def_number_of_images: "The number of images on an SD card."</v>
      </c>
      <c r="Q2" s="40"/>
      <c r="R2" s="83" t="b">
        <v>0</v>
      </c>
      <c r="S2" s="86" t="b">
        <v>1</v>
      </c>
      <c r="T2" s="86" t="b">
        <v>1</v>
      </c>
      <c r="U2" s="85" t="s">
        <v>895</v>
      </c>
      <c r="V2" t="s">
        <v>896</v>
      </c>
      <c r="W2" s="13" t="s">
        <v>1816</v>
      </c>
      <c r="X2" t="s">
        <v>4582</v>
      </c>
      <c r="Y2" t="str">
        <f t="shared" ref="Y2:Y65" si="3">IF(M2&lt;&gt;"-",("    "&amp;J2&amp;"_ti"&amp;": "&amp;""""&amp;"&lt;a href=\"&amp;""""&amp;"09_glossary.html#"&amp;J2&amp;V2&amp;K2&amp;": "&amp;M2&amp;W2&amp;""&amp;X2&amp;""""),"-")</f>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3" spans="1:26">
      <c r="A3" s="31"/>
      <c r="B3" s="31"/>
      <c r="C3" s="31" t="s">
        <v>0</v>
      </c>
      <c r="D3" s="82" t="s">
        <v>984</v>
      </c>
      <c r="E3" s="99" t="s">
        <v>564</v>
      </c>
      <c r="F3" s="31"/>
      <c r="G3" s="30" t="s">
        <v>767</v>
      </c>
      <c r="H3" s="31" t="s">
        <v>40</v>
      </c>
      <c r="I3" s="31" t="s">
        <v>43</v>
      </c>
      <c r="J3" s="40" t="str">
        <f t="shared" si="0"/>
        <v>obj_abundance</v>
      </c>
      <c r="K3" s="99" t="s">
        <v>564</v>
      </c>
      <c r="L3" s="34" t="str">
        <f>IF(VLOOKUP(J3,find_replace!H:H,1,"false")=J3,"TRUE","FALSE")</f>
        <v>TRUE</v>
      </c>
      <c r="M3" s="93" t="s">
        <v>1008</v>
      </c>
      <c r="N3" s="93" t="s">
        <v>842</v>
      </c>
      <c r="O3" s="60" t="str">
        <f t="shared" si="1"/>
        <v xml:space="preserve">    term_obj_abundance: "Absolute abundance / Population size"</v>
      </c>
      <c r="P3" s="39" t="str">
        <f t="shared" si="2"/>
        <v xml:space="preserve">    def_obj_abundance: "The number of individuals in a population ({{ rtxt_wearn_gloverkapfer_2017 }})."</v>
      </c>
      <c r="Q3" s="31"/>
      <c r="R3" s="31"/>
      <c r="S3" s="31"/>
      <c r="T3" s="31"/>
      <c r="U3" s="85" t="s">
        <v>895</v>
      </c>
      <c r="V3" t="s">
        <v>896</v>
      </c>
      <c r="W3" s="13" t="s">
        <v>1816</v>
      </c>
      <c r="X3" t="s">
        <v>4582</v>
      </c>
      <c r="Y3" t="str">
        <f t="shared" si="3"/>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4" spans="1:26">
      <c r="A4" s="30"/>
      <c r="B4" s="30">
        <v>1</v>
      </c>
      <c r="C4" s="30" t="s">
        <v>429</v>
      </c>
      <c r="D4" s="82" t="s">
        <v>984</v>
      </c>
      <c r="E4" s="34" t="s">
        <v>558</v>
      </c>
      <c r="F4" s="30" t="s">
        <v>897</v>
      </c>
      <c r="G4" s="30" t="s">
        <v>767</v>
      </c>
      <c r="H4" s="30" t="s">
        <v>541</v>
      </c>
      <c r="I4" s="40" t="s">
        <v>344</v>
      </c>
      <c r="J4" s="40" t="str">
        <f t="shared" si="0"/>
        <v>access_method</v>
      </c>
      <c r="K4" s="34" t="s">
        <v>670</v>
      </c>
      <c r="L4" s="34" t="str">
        <f>IF(VLOOKUP(J4,find_replace!H:H,1,"false")=J4,"TRUE","FALSE")</f>
        <v>TRUE</v>
      </c>
      <c r="M4" s="82" t="s">
        <v>353</v>
      </c>
      <c r="N4" s="82" t="s">
        <v>353</v>
      </c>
      <c r="O4" s="60" t="str">
        <f t="shared" si="1"/>
        <v xml:space="preserve">    term_access_method: "Access Method"</v>
      </c>
      <c r="P4" s="39" t="str">
        <f t="shared" si="2"/>
        <v xml:space="preserve">    def_access_method: "The method used to reach the camera location (e.g., on 'Foot,' 'ATV,' 'Helicopter,' etc.)."</v>
      </c>
      <c r="Q4" s="40"/>
      <c r="R4" s="83" t="b">
        <v>0</v>
      </c>
      <c r="S4" s="86" t="b">
        <v>1</v>
      </c>
      <c r="T4" s="86" t="b">
        <v>1</v>
      </c>
      <c r="U4" s="85" t="s">
        <v>895</v>
      </c>
      <c r="V4" t="s">
        <v>896</v>
      </c>
      <c r="W4" s="13" t="s">
        <v>1816</v>
      </c>
      <c r="X4" t="s">
        <v>4582</v>
      </c>
      <c r="Y4" t="str">
        <f t="shared" si="3"/>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5" spans="1:26">
      <c r="A5" s="30"/>
      <c r="B5" s="30"/>
      <c r="C5" s="30" t="s">
        <v>0</v>
      </c>
      <c r="D5" s="82" t="s">
        <v>984</v>
      </c>
      <c r="E5" s="30"/>
      <c r="F5" s="30"/>
      <c r="G5" s="30" t="s">
        <v>463</v>
      </c>
      <c r="H5" s="30"/>
      <c r="I5" s="30" t="s">
        <v>786</v>
      </c>
      <c r="J5" s="40" t="str">
        <f t="shared" si="0"/>
        <v>accuracy</v>
      </c>
      <c r="K5" s="34" t="s">
        <v>658</v>
      </c>
      <c r="L5" s="34" t="str">
        <f>IF(VLOOKUP(J5,find_replace!H:H,1,"false")=J5,"TRUE","FALSE")</f>
        <v>TRUE</v>
      </c>
      <c r="M5" s="55" t="s">
        <v>1312</v>
      </c>
      <c r="N5" s="55" t="s">
        <v>1305</v>
      </c>
      <c r="O5" s="60" t="str">
        <f t="shared" si="1"/>
        <v xml:space="preserve">    term_accuracy: "Accuracy"</v>
      </c>
      <c r="P5" s="39" t="str">
        <f t="shared" si="2"/>
        <v xml:space="preserve">    def_accuracy: "How close a measured or estimated value is to the true value' ({{ rtxt_clarke_et_al_2023 }})."</v>
      </c>
      <c r="Q5" s="30"/>
      <c r="R5" s="30"/>
      <c r="S5" s="30"/>
      <c r="T5" s="30"/>
      <c r="U5" s="85" t="s">
        <v>895</v>
      </c>
      <c r="V5" t="s">
        <v>896</v>
      </c>
      <c r="W5" s="13" t="s">
        <v>1816</v>
      </c>
      <c r="X5" t="s">
        <v>4582</v>
      </c>
      <c r="Y5"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6" spans="1:26">
      <c r="A6" s="30"/>
      <c r="B6" s="30">
        <v>2</v>
      </c>
      <c r="C6" s="30" t="s">
        <v>430</v>
      </c>
      <c r="D6" s="82" t="s">
        <v>984</v>
      </c>
      <c r="E6" s="40" t="s">
        <v>4634</v>
      </c>
      <c r="F6" s="30" t="s">
        <v>897</v>
      </c>
      <c r="G6" s="30" t="s">
        <v>767</v>
      </c>
      <c r="H6" s="40" t="s">
        <v>1249</v>
      </c>
      <c r="I6" s="40" t="s">
        <v>303</v>
      </c>
      <c r="J6" s="40" t="str">
        <f t="shared" si="0"/>
        <v>age_class_adult</v>
      </c>
      <c r="K6" s="40" t="s">
        <v>672</v>
      </c>
      <c r="L6" s="34" t="str">
        <f>IF(VLOOKUP(J6,find_replace!H:H,1,"false")=J6,"TRUE","FALSE")</f>
        <v>TRUE</v>
      </c>
      <c r="M6" s="82" t="s">
        <v>304</v>
      </c>
      <c r="N6" s="82" t="s">
        <v>304</v>
      </c>
      <c r="O6" s="60" t="str">
        <f t="shared" si="1"/>
        <v xml:space="preserve">    term_age_class_adult: "Adult"</v>
      </c>
      <c r="P6" s="39" t="str">
        <f t="shared" si="2"/>
        <v xml:space="preserve">    def_age_class_adult: "Animals that are old enough to breed; reproductively mature."</v>
      </c>
      <c r="Q6" s="40"/>
      <c r="R6" s="83" t="s">
        <v>51</v>
      </c>
      <c r="S6" s="86" t="b">
        <v>1</v>
      </c>
      <c r="T6" s="84" t="b">
        <v>0</v>
      </c>
      <c r="U6" s="85" t="s">
        <v>895</v>
      </c>
      <c r="V6" t="s">
        <v>896</v>
      </c>
      <c r="W6" s="13" t="s">
        <v>1816</v>
      </c>
      <c r="X6" t="s">
        <v>4582</v>
      </c>
      <c r="Y6"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7" spans="1:26">
      <c r="A7" s="30"/>
      <c r="B7" s="30">
        <v>3</v>
      </c>
      <c r="C7" s="30" t="s">
        <v>429</v>
      </c>
      <c r="D7" s="82" t="s">
        <v>984</v>
      </c>
      <c r="E7" s="40" t="s">
        <v>4635</v>
      </c>
      <c r="F7" s="30" t="s">
        <v>897</v>
      </c>
      <c r="G7" s="30" t="s">
        <v>767</v>
      </c>
      <c r="H7" s="40" t="s">
        <v>1249</v>
      </c>
      <c r="I7" s="40" t="s">
        <v>302</v>
      </c>
      <c r="J7" s="40" t="str">
        <f t="shared" si="0"/>
        <v>age_class</v>
      </c>
      <c r="K7" s="40" t="s">
        <v>671</v>
      </c>
      <c r="L7" s="34" t="str">
        <f>IF(VLOOKUP(J7,find_replace!H:H,1,"false")=J7,"TRUE","FALSE")</f>
        <v>TRUE</v>
      </c>
      <c r="M7" s="82" t="s">
        <v>354</v>
      </c>
      <c r="N7" s="82" t="s">
        <v>354</v>
      </c>
      <c r="O7" s="60" t="str">
        <f t="shared" si="1"/>
        <v xml:space="preserve">    term_age_class: "Age Class"</v>
      </c>
      <c r="P7" s="39" t="str">
        <f t="shared" si="2"/>
        <v xml:space="preserve">    def_age_class: "The age classification of individual(s) being categorized (e.g., 'Adult,' 'Juvenile,' 'Subadult,' 'Subadult - Young of Year,' 'Subadult - Yearling,' or 'Unknown'). "</v>
      </c>
      <c r="Q7" s="40"/>
      <c r="R7" s="83" t="b">
        <v>1</v>
      </c>
      <c r="S7" s="86" t="b">
        <v>1</v>
      </c>
      <c r="T7" s="86" t="b">
        <v>1</v>
      </c>
      <c r="U7" s="85" t="s">
        <v>895</v>
      </c>
      <c r="V7" t="s">
        <v>896</v>
      </c>
      <c r="W7" s="13" t="s">
        <v>1816</v>
      </c>
      <c r="X7" t="s">
        <v>4582</v>
      </c>
      <c r="Y7"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8" spans="1:26">
      <c r="A8" s="30" t="s">
        <v>530</v>
      </c>
      <c r="B8" s="30"/>
      <c r="C8" s="30" t="s">
        <v>0</v>
      </c>
      <c r="D8" s="82" t="s">
        <v>984</v>
      </c>
      <c r="E8" s="30" t="s">
        <v>621</v>
      </c>
      <c r="F8" s="30"/>
      <c r="G8" s="30" t="s">
        <v>767</v>
      </c>
      <c r="H8" s="30" t="s">
        <v>815</v>
      </c>
      <c r="I8" s="30" t="s">
        <v>434</v>
      </c>
      <c r="J8" s="40" t="str">
        <f t="shared" si="0"/>
        <v>mod_divers_rich_alpha</v>
      </c>
      <c r="K8" s="30" t="s">
        <v>621</v>
      </c>
      <c r="L8" s="34" t="str">
        <f>IF(VLOOKUP(J8,find_replace!H:H,1,"false")=J8,"TRUE","FALSE")</f>
        <v>TRUE</v>
      </c>
      <c r="M8" s="54" t="s">
        <v>1007</v>
      </c>
      <c r="N8" s="54" t="s">
        <v>844</v>
      </c>
      <c r="O8" s="60" t="str">
        <f t="shared" si="1"/>
        <v xml:space="preserve">    term_mod_divers_rich_alpha: "Alpha richness (α)"</v>
      </c>
      <c r="P8" s="39" t="str">
        <f t="shared" si="2"/>
        <v xml:space="preserve">    def_mod_divers_rich_alpha: "The number of species at the level of an individual camera location ({{ rtxt_wearn_gloverkapfer_2017 }})."</v>
      </c>
      <c r="Q8" s="30"/>
      <c r="R8" s="30"/>
      <c r="S8" s="30"/>
      <c r="T8" s="30"/>
      <c r="U8" s="85" t="s">
        <v>895</v>
      </c>
      <c r="V8" t="s">
        <v>896</v>
      </c>
      <c r="W8" s="13" t="s">
        <v>1816</v>
      </c>
      <c r="X8" t="s">
        <v>4582</v>
      </c>
      <c r="Y8" t="str">
        <f t="shared" si="3"/>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row>
    <row r="9" spans="1:26">
      <c r="A9" s="30"/>
      <c r="B9" s="30">
        <v>4</v>
      </c>
      <c r="C9" s="30" t="s">
        <v>429</v>
      </c>
      <c r="D9" s="82" t="s">
        <v>984</v>
      </c>
      <c r="E9" s="40" t="s">
        <v>4644</v>
      </c>
      <c r="F9" s="30" t="s">
        <v>897</v>
      </c>
      <c r="G9" s="30" t="s">
        <v>767</v>
      </c>
      <c r="H9" s="40" t="s">
        <v>1249</v>
      </c>
      <c r="I9" s="40" t="s">
        <v>300</v>
      </c>
      <c r="J9" s="40" t="str">
        <f t="shared" si="0"/>
        <v>analyst</v>
      </c>
      <c r="K9" s="40" t="s">
        <v>677</v>
      </c>
      <c r="L9" s="34" t="str">
        <f>IF(VLOOKUP(J9,find_replace!H:H,1,"false")=J9,"TRUE","FALSE")</f>
        <v>TRUE</v>
      </c>
      <c r="M9" s="82" t="s">
        <v>301</v>
      </c>
      <c r="N9" s="82" t="s">
        <v>301</v>
      </c>
      <c r="O9" s="60" t="str">
        <f t="shared" si="1"/>
        <v xml:space="preserve">    term_analyst: "Analyst"</v>
      </c>
      <c r="P9" s="39" t="str">
        <f t="shared" si="2"/>
        <v xml:space="preserve">    def_analyst: "The first and last names of the individual who provided the observation data point (species identification and associated information). If there are multiple analysts for an observation, enter the primary analyst."</v>
      </c>
      <c r="Q9" s="40"/>
      <c r="R9" s="83" t="b">
        <v>1</v>
      </c>
      <c r="S9" s="86" t="b">
        <v>1</v>
      </c>
      <c r="T9" s="86" t="b">
        <v>1</v>
      </c>
      <c r="U9" s="85" t="s">
        <v>895</v>
      </c>
      <c r="V9" t="s">
        <v>896</v>
      </c>
      <c r="W9" s="13" t="s">
        <v>1816</v>
      </c>
      <c r="X9" t="s">
        <v>4582</v>
      </c>
      <c r="Y9"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0" spans="1:26">
      <c r="A10" s="30"/>
      <c r="B10" s="30">
        <v>5</v>
      </c>
      <c r="C10" s="30" t="s">
        <v>429</v>
      </c>
      <c r="D10" s="82" t="s">
        <v>984</v>
      </c>
      <c r="E10" s="40" t="s">
        <v>557</v>
      </c>
      <c r="F10" s="30" t="s">
        <v>897</v>
      </c>
      <c r="G10" s="30" t="s">
        <v>767</v>
      </c>
      <c r="H10" s="40" t="s">
        <v>1249</v>
      </c>
      <c r="I10" s="40" t="s">
        <v>342</v>
      </c>
      <c r="J10" s="40" t="str">
        <f t="shared" si="0"/>
        <v>animal_id</v>
      </c>
      <c r="K10" s="40" t="s">
        <v>678</v>
      </c>
      <c r="L10" s="34" t="str">
        <f>IF(VLOOKUP(J10,find_replace!H:H,1,"false")=J10,"TRUE","FALSE")</f>
        <v>TRUE</v>
      </c>
      <c r="M10" s="82" t="s">
        <v>343</v>
      </c>
      <c r="N10" s="82" t="s">
        <v>343</v>
      </c>
      <c r="O10" s="60" t="str">
        <f t="shared" si="1"/>
        <v xml:space="preserve">    term_animal_id: "Animal ID"</v>
      </c>
      <c r="P10" s="39" t="str">
        <f t="shared" si="2"/>
        <v xml:space="preserve">    def_animal_id: "A unique ID for an animal that can be uniquely identified (e.g., marked in some way). If multiple unique individuals are identified, enter an Animal ID for each as a unique row. Leave blank if not applicable."</v>
      </c>
      <c r="Q10" s="40" t="b">
        <v>1</v>
      </c>
      <c r="R10" s="83" t="b">
        <v>0</v>
      </c>
      <c r="S10" s="86" t="b">
        <v>1</v>
      </c>
      <c r="T10" s="84" t="b">
        <v>0</v>
      </c>
      <c r="U10" s="85" t="s">
        <v>895</v>
      </c>
      <c r="V10" t="s">
        <v>896</v>
      </c>
      <c r="W10" s="13" t="s">
        <v>1816</v>
      </c>
      <c r="X10" t="s">
        <v>4582</v>
      </c>
      <c r="Y10"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1" spans="1:26">
      <c r="A11" s="30"/>
      <c r="B11" s="30">
        <v>6</v>
      </c>
      <c r="C11" s="30" t="s">
        <v>0</v>
      </c>
      <c r="D11" s="82" t="s">
        <v>984</v>
      </c>
      <c r="E11" s="34" t="s">
        <v>237</v>
      </c>
      <c r="F11" s="30"/>
      <c r="G11" s="30" t="s">
        <v>767</v>
      </c>
      <c r="H11" s="30" t="s">
        <v>539</v>
      </c>
      <c r="I11" s="40" t="s">
        <v>236</v>
      </c>
      <c r="J11" s="40" t="str">
        <f t="shared" si="0"/>
        <v>baitlure_audible_lure</v>
      </c>
      <c r="K11" s="34" t="s">
        <v>237</v>
      </c>
      <c r="L11" s="34" t="str">
        <f>IF(VLOOKUP(J11,find_replace!H:H,1,"false")=J11,"TRUE","FALSE")</f>
        <v>TRUE</v>
      </c>
      <c r="M11" s="82" t="s">
        <v>1006</v>
      </c>
      <c r="N11" s="82" t="s">
        <v>893</v>
      </c>
      <c r="O11" s="60" t="str">
        <f t="shared" si="1"/>
        <v xml:space="preserve">    term_baitlure_audible_lure: "Audible lure"</v>
      </c>
      <c r="P11" s="39" t="str">
        <f t="shared" si="2"/>
        <v xml:space="preserve">    def_baitlure_audible_lure: "Sounds imitating noises of prey or conspecifics that draw animals closer by eliciting curiosity ({{ rtxt_schlexer_2008 }})."</v>
      </c>
      <c r="Q11" s="40"/>
      <c r="R11" s="83" t="s">
        <v>51</v>
      </c>
      <c r="S11" s="84" t="b">
        <v>0</v>
      </c>
      <c r="T11" s="86" t="b">
        <v>1</v>
      </c>
      <c r="U11" s="85" t="s">
        <v>895</v>
      </c>
      <c r="V11" t="s">
        <v>896</v>
      </c>
      <c r="W11" s="13" t="s">
        <v>1816</v>
      </c>
      <c r="X11" t="s">
        <v>4582</v>
      </c>
      <c r="Y11"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2" spans="1:26">
      <c r="A12" s="30"/>
      <c r="B12" s="30">
        <v>7</v>
      </c>
      <c r="C12" s="30" t="s">
        <v>0</v>
      </c>
      <c r="D12" s="82" t="s">
        <v>984</v>
      </c>
      <c r="E12" s="40" t="s">
        <v>235</v>
      </c>
      <c r="F12" s="30"/>
      <c r="G12" s="30" t="s">
        <v>767</v>
      </c>
      <c r="H12" s="30" t="s">
        <v>539</v>
      </c>
      <c r="I12" s="40" t="s">
        <v>234</v>
      </c>
      <c r="J12" s="40" t="str">
        <f t="shared" si="0"/>
        <v>baitlure_bait</v>
      </c>
      <c r="K12" s="40" t="s">
        <v>235</v>
      </c>
      <c r="L12" s="34" t="str">
        <f>IF(VLOOKUP(J12,find_replace!H:H,1,"false")=J12,"TRUE","FALSE")</f>
        <v>TRUE</v>
      </c>
      <c r="M12" s="82" t="s">
        <v>1013</v>
      </c>
      <c r="N12" s="82" t="s">
        <v>892</v>
      </c>
      <c r="O12" s="60" t="str">
        <f t="shared" si="1"/>
        <v xml:space="preserve">    term_baitlure_bait: "Bait"</v>
      </c>
      <c r="P12" s="39" t="str">
        <f t="shared" si="2"/>
        <v xml:space="preserve">    def_baitlure_bait: "A food item (or other substance) that is placed to attract animals via the sense of taste and olfactory cues ({{ rtxt_schlexer_2008 }})."</v>
      </c>
      <c r="Q12" s="40"/>
      <c r="R12" s="83" t="s">
        <v>51</v>
      </c>
      <c r="S12" s="86" t="b">
        <v>1</v>
      </c>
      <c r="T12" s="86" t="b">
        <v>1</v>
      </c>
      <c r="U12" s="85" t="s">
        <v>895</v>
      </c>
      <c r="V12" t="s">
        <v>896</v>
      </c>
      <c r="W12" s="13" t="s">
        <v>1816</v>
      </c>
      <c r="X12" t="s">
        <v>4582</v>
      </c>
      <c r="Y12"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3" spans="1:26">
      <c r="A13" s="30"/>
      <c r="B13" s="30">
        <v>8</v>
      </c>
      <c r="C13" s="30" t="s">
        <v>429</v>
      </c>
      <c r="D13" s="82" t="s">
        <v>984</v>
      </c>
      <c r="E13" s="34" t="s">
        <v>4659</v>
      </c>
      <c r="F13" s="30" t="s">
        <v>897</v>
      </c>
      <c r="G13" s="30" t="s">
        <v>767</v>
      </c>
      <c r="H13" s="30" t="s">
        <v>539</v>
      </c>
      <c r="I13" s="40" t="s">
        <v>299</v>
      </c>
      <c r="J13" s="40" t="str">
        <f t="shared" si="0"/>
        <v>baitlure_bait_lure_type</v>
      </c>
      <c r="K13" s="34" t="s">
        <v>679</v>
      </c>
      <c r="L13" s="34" t="str">
        <f>IF(VLOOKUP(J13,find_replace!H:H,1,"false")=J13,"TRUE","FALSE")</f>
        <v>TRUE</v>
      </c>
      <c r="M13" s="82" t="s">
        <v>406</v>
      </c>
      <c r="N13" s="82" t="s">
        <v>406</v>
      </c>
      <c r="O13" s="60" t="str">
        <f t="shared" si="1"/>
        <v xml:space="preserve">    term_baitlure_bait_lure_type: "Bait/Lure Type"</v>
      </c>
      <c r="P13" s="39" t="str">
        <f t="shared" si="2"/>
        <v xml:space="preserve">    def_baitlure_bait_lure_type: "The type of bait or lure used at a camera location. Record 'None' if a Bait*/Lure Type was not used and 'Unknown' if not known. If 'Other,' describe in the Deployment Comments."</v>
      </c>
      <c r="Q13" s="40" t="b">
        <v>1</v>
      </c>
      <c r="R13" s="83" t="b">
        <v>1</v>
      </c>
      <c r="S13" s="86" t="b">
        <v>1</v>
      </c>
      <c r="T13" s="86" t="b">
        <v>1</v>
      </c>
      <c r="U13" s="85" t="s">
        <v>895</v>
      </c>
      <c r="V13" t="s">
        <v>896</v>
      </c>
      <c r="W13" s="13" t="s">
        <v>1816</v>
      </c>
      <c r="X13" t="s">
        <v>4582</v>
      </c>
      <c r="Y13"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4" spans="1:26">
      <c r="A14" s="30"/>
      <c r="B14" s="30">
        <v>9</v>
      </c>
      <c r="C14" s="30" t="s">
        <v>429</v>
      </c>
      <c r="D14" s="82" t="s">
        <v>984</v>
      </c>
      <c r="E14" s="40" t="s">
        <v>559</v>
      </c>
      <c r="F14" s="30" t="s">
        <v>897</v>
      </c>
      <c r="G14" s="30" t="s">
        <v>767</v>
      </c>
      <c r="H14" s="30" t="s">
        <v>544</v>
      </c>
      <c r="I14" s="40" t="s">
        <v>340</v>
      </c>
      <c r="J14" s="40" t="str">
        <f t="shared" si="0"/>
        <v>batteries_replaced</v>
      </c>
      <c r="K14" s="40" t="s">
        <v>680</v>
      </c>
      <c r="L14" s="34" t="str">
        <f>IF(VLOOKUP(J14,find_replace!H:H,1,"false")=J14,"TRUE","FALSE")</f>
        <v>TRUE</v>
      </c>
      <c r="M14" s="82" t="s">
        <v>341</v>
      </c>
      <c r="N14" s="82" t="s">
        <v>341</v>
      </c>
      <c r="O14" s="60" t="str">
        <f t="shared" si="1"/>
        <v xml:space="preserve">    term_batteries_replaced: "Batteries Replaced"</v>
      </c>
      <c r="P14" s="39" t="str">
        <f t="shared" si="2"/>
        <v xml:space="preserve">    def_batteries_replaced: "Whether the camera's batteries were replaced."</v>
      </c>
      <c r="Q14" s="40"/>
      <c r="R14" s="83" t="b">
        <v>0</v>
      </c>
      <c r="S14" s="86" t="b">
        <v>1</v>
      </c>
      <c r="T14" s="86" t="b">
        <v>1</v>
      </c>
      <c r="U14" s="85" t="s">
        <v>895</v>
      </c>
      <c r="V14" t="s">
        <v>896</v>
      </c>
      <c r="W14" s="13" t="s">
        <v>1816</v>
      </c>
      <c r="X14" t="s">
        <v>4582</v>
      </c>
      <c r="Y14"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5" spans="1:26">
      <c r="A15" s="31"/>
      <c r="B15" s="31"/>
      <c r="C15" s="31" t="s">
        <v>0</v>
      </c>
      <c r="D15" s="82" t="s">
        <v>984</v>
      </c>
      <c r="E15" s="31" t="s">
        <v>30</v>
      </c>
      <c r="F15" s="31"/>
      <c r="G15" s="30" t="s">
        <v>767</v>
      </c>
      <c r="H15" s="31" t="s">
        <v>40</v>
      </c>
      <c r="I15" s="31" t="s">
        <v>39</v>
      </c>
      <c r="J15" s="40" t="str">
        <f t="shared" si="0"/>
        <v>obj_behaviour</v>
      </c>
      <c r="K15" s="31" t="s">
        <v>30</v>
      </c>
      <c r="L15" s="34" t="str">
        <f>IF(VLOOKUP(J15,find_replace!H:H,1,"false")=J15,"TRUE","FALSE")</f>
        <v>TRUE</v>
      </c>
      <c r="M15" s="93" t="s">
        <v>4618</v>
      </c>
      <c r="N15" s="93" t="s">
        <v>6571</v>
      </c>
      <c r="O15" s="60" t="str">
        <f t="shared" si="1"/>
        <v xml:space="preserve">    term_obj_behaviour: "Behaviour"</v>
      </c>
      <c r="P15" s="39" t="str">
        <f t="shared" si="2"/>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5" s="31"/>
      <c r="R15" s="31"/>
      <c r="S15" s="31"/>
      <c r="T15" s="31"/>
      <c r="U15" s="85" t="s">
        <v>895</v>
      </c>
      <c r="V15" t="s">
        <v>896</v>
      </c>
      <c r="W15" s="13" t="s">
        <v>1816</v>
      </c>
      <c r="X15" t="s">
        <v>4582</v>
      </c>
      <c r="Y15" t="str">
        <f t="shared" si="3"/>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5" s="3"/>
    </row>
    <row r="16" spans="1:26" s="3" customFormat="1">
      <c r="A16" s="30"/>
      <c r="B16" s="30">
        <v>10</v>
      </c>
      <c r="C16" s="30" t="s">
        <v>429</v>
      </c>
      <c r="D16" s="82" t="s">
        <v>241</v>
      </c>
      <c r="E16" s="34" t="s">
        <v>474</v>
      </c>
      <c r="F16" s="30" t="s">
        <v>897</v>
      </c>
      <c r="G16" s="30" t="s">
        <v>767</v>
      </c>
      <c r="H16" s="30" t="s">
        <v>544</v>
      </c>
      <c r="I16" s="40" t="s">
        <v>339</v>
      </c>
      <c r="J16" s="40" t="str">
        <f t="shared" si="0"/>
        <v>behaviour_tag</v>
      </c>
      <c r="K16" s="34" t="s">
        <v>5187</v>
      </c>
      <c r="L16" s="34" t="e">
        <f>IF(VLOOKUP(J16,find_replace!H:H,1,"false")=J16,"TRUE","FALSE")</f>
        <v>#N/A</v>
      </c>
      <c r="M16" s="82" t="s">
        <v>358</v>
      </c>
      <c r="N16" s="82" t="s">
        <v>358</v>
      </c>
      <c r="O16" s="60" t="str">
        <f t="shared" si="1"/>
        <v xml:space="preserve">    term_behaviour_tag: "Behaviour (tag)"</v>
      </c>
      <c r="P16" s="39" t="str">
        <f t="shared" si="2"/>
        <v xml:space="preserve">    def_behaviour_tag: "The behaviour of the individual(s) being categorized (e.g., 'Standing,' 'Drinking,' 'Vigilant,' etc.)."</v>
      </c>
      <c r="Q16" s="40"/>
      <c r="R16" s="83" t="b">
        <v>0</v>
      </c>
      <c r="S16" s="86" t="b">
        <v>1</v>
      </c>
      <c r="T16" s="86" t="b">
        <v>1</v>
      </c>
      <c r="U16" s="85" t="s">
        <v>895</v>
      </c>
      <c r="V16" t="s">
        <v>896</v>
      </c>
      <c r="W16" s="13" t="s">
        <v>1816</v>
      </c>
      <c r="X16" t="s">
        <v>4582</v>
      </c>
      <c r="Y16"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c r="Z16"/>
    </row>
    <row r="17" spans="1:26" s="3" customFormat="1" ht="14.25" customHeight="1">
      <c r="A17" s="30" t="s">
        <v>530</v>
      </c>
      <c r="B17" s="30"/>
      <c r="C17" s="30" t="s">
        <v>0</v>
      </c>
      <c r="D17" s="82" t="s">
        <v>984</v>
      </c>
      <c r="E17" s="30" t="s">
        <v>620</v>
      </c>
      <c r="F17" s="30"/>
      <c r="G17" s="30" t="s">
        <v>767</v>
      </c>
      <c r="H17" s="30" t="s">
        <v>815</v>
      </c>
      <c r="I17" s="30" t="s">
        <v>433</v>
      </c>
      <c r="J17" s="40" t="str">
        <f t="shared" si="0"/>
        <v>mod_divers_rich_beta</v>
      </c>
      <c r="K17" s="30" t="s">
        <v>620</v>
      </c>
      <c r="L17" s="34" t="str">
        <f>IF(VLOOKUP(J17,find_replace!H:H,1,"false")=J17,"TRUE","FALSE")</f>
        <v>TRUE</v>
      </c>
      <c r="M17" s="54" t="s">
        <v>1005</v>
      </c>
      <c r="N17" s="54" t="s">
        <v>843</v>
      </c>
      <c r="O17" s="60" t="str">
        <f t="shared" si="1"/>
        <v xml:space="preserve">    term_mod_divers_rich_beta: "Beta-diversity (β)"</v>
      </c>
      <c r="P17" s="39" t="str">
        <f t="shared" si="2"/>
        <v xml:space="preserve">    def_mod_divers_rich_beta: "The differences between the communities or, more formally, the variance among the communities ({{ rtxt_wearn_gloverkapfer_2017 }})."</v>
      </c>
      <c r="Q17" s="30"/>
      <c r="R17" s="30"/>
      <c r="S17" s="30"/>
      <c r="T17" s="30"/>
      <c r="U17" s="85" t="s">
        <v>895</v>
      </c>
      <c r="V17" t="s">
        <v>896</v>
      </c>
      <c r="W17" s="13" t="s">
        <v>1816</v>
      </c>
      <c r="X17" t="s">
        <v>4582</v>
      </c>
      <c r="Y17" t="str">
        <f t="shared" si="3"/>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row>
    <row r="18" spans="1:26">
      <c r="A18" s="30"/>
      <c r="B18" s="30"/>
      <c r="C18" s="30" t="s">
        <v>0</v>
      </c>
      <c r="D18" s="82" t="s">
        <v>984</v>
      </c>
      <c r="E18" s="30"/>
      <c r="F18" s="30"/>
      <c r="G18" s="30" t="s">
        <v>651</v>
      </c>
      <c r="H18" s="30"/>
      <c r="I18" s="33" t="s">
        <v>779</v>
      </c>
      <c r="J18" s="40" t="str">
        <f t="shared" si="0"/>
        <v>bias</v>
      </c>
      <c r="K18" s="30" t="s">
        <v>629</v>
      </c>
      <c r="L18" s="34" t="str">
        <f>IF(VLOOKUP(J18,find_replace!H:H,1,"false")=J18,"TRUE","FALSE")</f>
        <v>TRUE</v>
      </c>
      <c r="M18" s="55" t="s">
        <v>1320</v>
      </c>
      <c r="N18" s="55" t="s">
        <v>1275</v>
      </c>
      <c r="O18" s="60" t="str">
        <f t="shared" si="1"/>
        <v xml:space="preserve">    term_bias: "Bias"</v>
      </c>
      <c r="P18" s="39" t="str">
        <f t="shared" si="2"/>
        <v xml:space="preserve">    def_bias: "A skewed or altered perspective. Biased data refers to data that may be inaccurate or unevenly portrayed (usually in favour of specific variables) and is therefore not as robust.' ({{ rtxt_kemp_et_al_2022 }})."</v>
      </c>
      <c r="Q18" s="30"/>
      <c r="R18" s="30"/>
      <c r="S18" s="30"/>
      <c r="T18" s="30"/>
      <c r="U18" s="85" t="s">
        <v>895</v>
      </c>
      <c r="V18" t="s">
        <v>896</v>
      </c>
      <c r="W18" s="13" t="s">
        <v>1816</v>
      </c>
      <c r="X18" t="s">
        <v>4582</v>
      </c>
      <c r="Y18"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19" spans="1:26">
      <c r="A19" s="30"/>
      <c r="B19" s="30"/>
      <c r="C19" s="30" t="s">
        <v>0</v>
      </c>
      <c r="D19" s="82" t="s">
        <v>984</v>
      </c>
      <c r="E19" s="30"/>
      <c r="F19" s="30"/>
      <c r="G19" s="30" t="s">
        <v>651</v>
      </c>
      <c r="H19" s="30"/>
      <c r="I19" s="30" t="s">
        <v>778</v>
      </c>
      <c r="J19" s="40" t="str">
        <f t="shared" si="0"/>
        <v>biodiversity</v>
      </c>
      <c r="K19" s="30" t="s">
        <v>628</v>
      </c>
      <c r="L19" s="34" t="str">
        <f>IF(VLOOKUP(J19,find_replace!H:H,1,"false")=J19,"TRUE","FALSE")</f>
        <v>TRUE</v>
      </c>
      <c r="M19" s="54" t="s">
        <v>1321</v>
      </c>
      <c r="N19" s="54" t="s">
        <v>1276</v>
      </c>
      <c r="O19" s="60" t="str">
        <f t="shared" si="1"/>
        <v xml:space="preserve">    term_biodiversity: "Biodiversity"</v>
      </c>
      <c r="P19" s="39" t="str">
        <f t="shared" si="2"/>
        <v xml:space="preserve">    def_biodiversity: "The variation of life in the natural world. In the context of this guide, biodiversity refers to the variety of different wildlife species found in an area.' ({{ rtxt_kemp_et_al_2022 }})."</v>
      </c>
      <c r="Q19" s="30"/>
      <c r="R19" s="30"/>
      <c r="S19" s="30"/>
      <c r="T19" s="30"/>
      <c r="U19" s="85" t="s">
        <v>895</v>
      </c>
      <c r="V19" t="s">
        <v>896</v>
      </c>
      <c r="W19" s="13" t="s">
        <v>1816</v>
      </c>
      <c r="X19" t="s">
        <v>4582</v>
      </c>
      <c r="Y19"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0" spans="1:26" ht="15.75">
      <c r="A20" s="105"/>
      <c r="B20" s="105"/>
      <c r="C20" s="30" t="s">
        <v>0</v>
      </c>
      <c r="D20" s="82" t="s">
        <v>984</v>
      </c>
      <c r="E20" s="105"/>
      <c r="F20" s="2"/>
      <c r="G20" s="30" t="s">
        <v>651</v>
      </c>
      <c r="H20" s="105"/>
      <c r="I20" s="31" t="s">
        <v>5182</v>
      </c>
      <c r="J20" s="40" t="str">
        <f t="shared" si="0"/>
        <v>obj_vital_rate_birth</v>
      </c>
      <c r="K20" s="2" t="s">
        <v>5178</v>
      </c>
      <c r="L20" s="34" t="e">
        <f>IF(VLOOKUP(J20,find_replace!H:H,1,"false")=J20,"TRUE","FALSE")</f>
        <v>#N/A</v>
      </c>
      <c r="M20" s="108" t="s">
        <v>5185</v>
      </c>
      <c r="N20" s="165" t="s">
        <v>6572</v>
      </c>
      <c r="O20" s="60" t="str">
        <f t="shared" si="1"/>
        <v xml:space="preserve">    term_obj_vital_rate_birth: "Birth rate"</v>
      </c>
      <c r="P20" s="39" t="str">
        <f t="shared" si="2"/>
        <v xml:space="preserve">    def_obj_vital_rate_birth: "The average number of offspring produced per individual per unit time.' ({{ rtxt_nbckc_2024a }})"</v>
      </c>
      <c r="Q20" s="105"/>
      <c r="R20" s="105"/>
      <c r="S20" s="105"/>
      <c r="T20" s="105"/>
      <c r="U20" s="85" t="s">
        <v>895</v>
      </c>
      <c r="V20" t="s">
        <v>896</v>
      </c>
      <c r="W20" s="13" t="s">
        <v>1816</v>
      </c>
      <c r="X20" t="s">
        <v>4582</v>
      </c>
      <c r="Y20" t="str">
        <f t="shared" si="3"/>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20" s="2"/>
    </row>
    <row r="21" spans="1:26">
      <c r="A21" s="30"/>
      <c r="B21" s="30">
        <v>11</v>
      </c>
      <c r="C21" s="30" t="s">
        <v>429</v>
      </c>
      <c r="D21" s="82" t="s">
        <v>984</v>
      </c>
      <c r="E21" s="40" t="s">
        <v>475</v>
      </c>
      <c r="F21" s="30" t="s">
        <v>897</v>
      </c>
      <c r="G21" s="30" t="s">
        <v>767</v>
      </c>
      <c r="H21" s="30" t="s">
        <v>544</v>
      </c>
      <c r="I21" s="40" t="s">
        <v>1226</v>
      </c>
      <c r="J21" s="40" t="str">
        <f t="shared" si="0"/>
        <v>cam_active_on_arrival</v>
      </c>
      <c r="K21" s="40" t="s">
        <v>733</v>
      </c>
      <c r="L21" s="34" t="str">
        <f>IF(VLOOKUP(J21,find_replace!H:H,1,"false")=J21,"TRUE","FALSE")</f>
        <v>TRUE</v>
      </c>
      <c r="M21" s="82" t="s">
        <v>338</v>
      </c>
      <c r="N21" s="82" t="s">
        <v>338</v>
      </c>
      <c r="O21" s="60" t="str">
        <f t="shared" si="1"/>
        <v xml:space="preserve">    term_cam_active_on_arrival: "Camera Active On Arrival"</v>
      </c>
      <c r="P21" s="39" t="str">
        <f t="shared" si="2"/>
        <v xml:space="preserve">    def_cam_active_on_arrival: "Whether a camera was functional upon arrival."</v>
      </c>
      <c r="Q21" s="40"/>
      <c r="R21" s="83" t="b">
        <v>0</v>
      </c>
      <c r="S21" s="86" t="b">
        <v>1</v>
      </c>
      <c r="T21" s="86" t="b">
        <v>1</v>
      </c>
      <c r="U21" s="85" t="s">
        <v>895</v>
      </c>
      <c r="V21" t="s">
        <v>896</v>
      </c>
      <c r="W21" s="13" t="s">
        <v>1816</v>
      </c>
      <c r="X21" t="s">
        <v>4582</v>
      </c>
      <c r="Y21"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2" spans="1:26">
      <c r="A22" s="30"/>
      <c r="B22" s="30">
        <v>12</v>
      </c>
      <c r="C22" s="30" t="s">
        <v>429</v>
      </c>
      <c r="D22" s="82" t="s">
        <v>984</v>
      </c>
      <c r="E22" s="40" t="s">
        <v>476</v>
      </c>
      <c r="F22" s="30" t="s">
        <v>897</v>
      </c>
      <c r="G22" s="30" t="s">
        <v>767</v>
      </c>
      <c r="H22" s="30" t="s">
        <v>544</v>
      </c>
      <c r="I22" s="40" t="s">
        <v>1227</v>
      </c>
      <c r="J22" s="40" t="str">
        <f t="shared" si="0"/>
        <v>cam_active_on_departure</v>
      </c>
      <c r="K22" s="40" t="s">
        <v>734</v>
      </c>
      <c r="L22" s="34" t="str">
        <f>IF(VLOOKUP(J22,find_replace!H:H,1,"false")=J22,"TRUE","FALSE")</f>
        <v>TRUE</v>
      </c>
      <c r="M22" s="82" t="s">
        <v>337</v>
      </c>
      <c r="N22" s="82" t="s">
        <v>337</v>
      </c>
      <c r="O22" s="60" t="str">
        <f t="shared" si="1"/>
        <v xml:space="preserve">    term_cam_active_on_departure: "Camera Active On Departure"</v>
      </c>
      <c r="P22" s="39" t="str">
        <f t="shared" si="2"/>
        <v xml:space="preserve">    def_cam_active_on_departure: "Whether a camera was functional upon departure."</v>
      </c>
      <c r="Q22" s="40"/>
      <c r="R22" s="83" t="b">
        <v>0</v>
      </c>
      <c r="S22" s="86" t="b">
        <v>1</v>
      </c>
      <c r="T22" s="86" t="b">
        <v>1</v>
      </c>
      <c r="U22" s="85" t="s">
        <v>895</v>
      </c>
      <c r="V22" t="s">
        <v>896</v>
      </c>
      <c r="W22" s="13" t="s">
        <v>1816</v>
      </c>
      <c r="X22" t="s">
        <v>4582</v>
      </c>
      <c r="Y22"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3" spans="1:26">
      <c r="A23" s="30"/>
      <c r="B23" s="30">
        <v>13</v>
      </c>
      <c r="C23" s="30" t="s">
        <v>0</v>
      </c>
      <c r="D23" s="82" t="s">
        <v>984</v>
      </c>
      <c r="E23" s="34" t="s">
        <v>233</v>
      </c>
      <c r="F23" s="30"/>
      <c r="G23" s="30" t="s">
        <v>767</v>
      </c>
      <c r="H23" s="30" t="s">
        <v>543</v>
      </c>
      <c r="I23" s="40" t="s">
        <v>1228</v>
      </c>
      <c r="J23" s="40" t="str">
        <f t="shared" si="0"/>
        <v>cam_angle</v>
      </c>
      <c r="K23" s="34" t="s">
        <v>233</v>
      </c>
      <c r="L23" s="34" t="str">
        <f>IF(VLOOKUP(J23,find_replace!H:H,1,"false")=J23,"TRUE","FALSE")</f>
        <v>TRUE</v>
      </c>
      <c r="M23" s="82" t="s">
        <v>232</v>
      </c>
      <c r="N23" s="82" t="s">
        <v>232</v>
      </c>
      <c r="O23" s="60" t="str">
        <f t="shared" si="1"/>
        <v xml:space="preserve">    term_cam_angle: "Camera angle"</v>
      </c>
      <c r="P23" s="39" t="str">
        <f t="shared" si="2"/>
        <v xml:space="preserve">    def_cam_angle: "The degree at which the camera is pointed toward the FOV Target Feature relative to the horizontal ground surface (with respect to slope, if applicable)."</v>
      </c>
      <c r="Q23" s="40"/>
      <c r="R23" s="83" t="s">
        <v>51</v>
      </c>
      <c r="S23" s="84" t="b">
        <v>0</v>
      </c>
      <c r="T23" s="86" t="b">
        <v>1</v>
      </c>
      <c r="U23" s="85" t="s">
        <v>895</v>
      </c>
      <c r="V23" t="s">
        <v>896</v>
      </c>
      <c r="W23" s="13" t="s">
        <v>1816</v>
      </c>
      <c r="X23" t="s">
        <v>4582</v>
      </c>
      <c r="Y23"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4" spans="1:26">
      <c r="A24" s="30"/>
      <c r="B24" s="30">
        <v>14</v>
      </c>
      <c r="C24" s="30" t="s">
        <v>429</v>
      </c>
      <c r="D24" s="82" t="s">
        <v>984</v>
      </c>
      <c r="E24" s="40" t="s">
        <v>477</v>
      </c>
      <c r="F24" s="30" t="s">
        <v>897</v>
      </c>
      <c r="G24" s="30" t="s">
        <v>767</v>
      </c>
      <c r="H24" s="30" t="s">
        <v>543</v>
      </c>
      <c r="I24" s="40" t="s">
        <v>1229</v>
      </c>
      <c r="J24" s="40" t="str">
        <f t="shared" si="0"/>
        <v>cam_attachment</v>
      </c>
      <c r="K24" s="40" t="s">
        <v>735</v>
      </c>
      <c r="L24" s="34" t="str">
        <f>IF(VLOOKUP(J24,find_replace!H:H,1,"false")=J24,"TRUE","FALSE")</f>
        <v>TRUE</v>
      </c>
      <c r="M24" s="82" t="s">
        <v>407</v>
      </c>
      <c r="N24" s="82" t="s">
        <v>407</v>
      </c>
      <c r="O24" s="60" t="str">
        <f t="shared" si="1"/>
        <v xml:space="preserve">    term_cam_attachment: "Camera Attachment"</v>
      </c>
      <c r="P24" s="39" t="str">
        <f t="shared" si="2"/>
        <v xml:space="preserve">    def_cam_attachment: "The method*/tools used to attach the camera (e.g., attached to a tree with a bungee cord; reported as codes such as 'Tree + Bungee*/Strap'). If 'Other,' describe in the Camera Location Comments."</v>
      </c>
      <c r="Q24" s="40" t="b">
        <v>1</v>
      </c>
      <c r="R24" s="83" t="b">
        <v>0</v>
      </c>
      <c r="S24" s="86" t="b">
        <v>1</v>
      </c>
      <c r="T24" s="86" t="b">
        <v>1</v>
      </c>
      <c r="U24" s="85" t="s">
        <v>895</v>
      </c>
      <c r="V24" t="s">
        <v>896</v>
      </c>
      <c r="W24" s="13" t="s">
        <v>1816</v>
      </c>
      <c r="X24" t="s">
        <v>4582</v>
      </c>
      <c r="Y24"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5" spans="1:26">
      <c r="A25" s="30"/>
      <c r="B25" s="30">
        <v>15</v>
      </c>
      <c r="C25" s="30" t="s">
        <v>429</v>
      </c>
      <c r="D25" s="82" t="s">
        <v>984</v>
      </c>
      <c r="E25" s="40" t="s">
        <v>478</v>
      </c>
      <c r="F25" s="30" t="s">
        <v>897</v>
      </c>
      <c r="G25" s="30" t="s">
        <v>767</v>
      </c>
      <c r="H25" s="30" t="s">
        <v>544</v>
      </c>
      <c r="I25" s="40" t="s">
        <v>1230</v>
      </c>
      <c r="J25" s="40" t="str">
        <f t="shared" si="0"/>
        <v>cam_damaged</v>
      </c>
      <c r="K25" s="40" t="s">
        <v>736</v>
      </c>
      <c r="L25" s="34" t="str">
        <f>IF(VLOOKUP(J25,find_replace!H:H,1,"false")=J25,"TRUE","FALSE")</f>
        <v>TRUE</v>
      </c>
      <c r="M25" s="82" t="s">
        <v>336</v>
      </c>
      <c r="N25" s="82" t="s">
        <v>336</v>
      </c>
      <c r="O25" s="60" t="str">
        <f t="shared" si="1"/>
        <v xml:space="preserve">    term_cam_damaged: "Camera Damaged"</v>
      </c>
      <c r="P25" s="39" t="str">
        <f t="shared" si="2"/>
        <v xml:space="preserve">    def_cam_damaged: "Whether the camera was damaged or malfunctioning; if there is any damage to the device (physical or mechanical), the crew should describe the damage in the Service*/Retrieval Comments."</v>
      </c>
      <c r="Q25" s="40"/>
      <c r="R25" s="83" t="b">
        <v>0</v>
      </c>
      <c r="S25" s="86" t="b">
        <v>1</v>
      </c>
      <c r="T25" s="86" t="b">
        <v>1</v>
      </c>
      <c r="U25" s="85" t="s">
        <v>895</v>
      </c>
      <c r="V25" t="s">
        <v>896</v>
      </c>
      <c r="W25" s="13" t="s">
        <v>1816</v>
      </c>
      <c r="X25" t="s">
        <v>4582</v>
      </c>
      <c r="Y25"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6" spans="1:26">
      <c r="A26" s="30"/>
      <c r="B26" s="30">
        <v>16</v>
      </c>
      <c r="C26" s="30" t="s">
        <v>0</v>
      </c>
      <c r="D26" s="82" t="s">
        <v>984</v>
      </c>
      <c r="E26" s="34" t="s">
        <v>231</v>
      </c>
      <c r="F26" s="30"/>
      <c r="G26" s="30" t="s">
        <v>767</v>
      </c>
      <c r="H26" s="30" t="s">
        <v>540</v>
      </c>
      <c r="I26" s="40" t="s">
        <v>1231</v>
      </c>
      <c r="J26" s="40" t="str">
        <f t="shared" si="0"/>
        <v>cam_days_per_cam_location</v>
      </c>
      <c r="K26" s="34" t="s">
        <v>231</v>
      </c>
      <c r="L26" s="34" t="str">
        <f>IF(VLOOKUP(J26,find_replace!H:H,1,"false")=J26,"TRUE","FALSE")</f>
        <v>TRUE</v>
      </c>
      <c r="M26" s="82" t="s">
        <v>230</v>
      </c>
      <c r="N26" s="82" t="s">
        <v>230</v>
      </c>
      <c r="O26" s="60" t="str">
        <f t="shared" si="1"/>
        <v xml:space="preserve">    term_cam_days_per_cam_location: "Camera days per camera location"</v>
      </c>
      <c r="P26" s="39"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6" s="40"/>
      <c r="R26" s="83" t="s">
        <v>51</v>
      </c>
      <c r="S26" s="84" t="b">
        <v>0</v>
      </c>
      <c r="T26" s="86" t="b">
        <v>1</v>
      </c>
      <c r="U26" s="85" t="s">
        <v>895</v>
      </c>
      <c r="V26" t="s">
        <v>896</v>
      </c>
      <c r="W26" s="13" t="s">
        <v>1816</v>
      </c>
      <c r="X26" t="s">
        <v>4582</v>
      </c>
      <c r="Y26"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7" spans="1:26">
      <c r="A27" s="30"/>
      <c r="B27" s="30">
        <v>17</v>
      </c>
      <c r="C27" s="30" t="s">
        <v>429</v>
      </c>
      <c r="D27" s="82" t="s">
        <v>984</v>
      </c>
      <c r="E27" s="34" t="s">
        <v>479</v>
      </c>
      <c r="F27" s="30" t="s">
        <v>897</v>
      </c>
      <c r="G27" s="30" t="s">
        <v>767</v>
      </c>
      <c r="H27" s="30" t="s">
        <v>543</v>
      </c>
      <c r="I27" s="40" t="s">
        <v>1232</v>
      </c>
      <c r="J27" s="40" t="str">
        <f t="shared" si="0"/>
        <v>cam_direction</v>
      </c>
      <c r="K27" s="34" t="s">
        <v>737</v>
      </c>
      <c r="L27" s="34" t="str">
        <f>IF(VLOOKUP(J27,find_replace!H:H,1,"false")=J27,"TRUE","FALSE")</f>
        <v>TRUE</v>
      </c>
      <c r="M27" s="82" t="s">
        <v>359</v>
      </c>
      <c r="N27" s="82" t="s">
        <v>359</v>
      </c>
      <c r="O27" s="60" t="str">
        <f t="shared" si="1"/>
        <v xml:space="preserve">    term_cam_direction: "Camera Direction (degrees)"</v>
      </c>
      <c r="P27" s="39"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7" s="40"/>
      <c r="R27" s="83" t="b">
        <v>0</v>
      </c>
      <c r="S27" s="86" t="b">
        <v>1</v>
      </c>
      <c r="T27" s="86" t="b">
        <v>1</v>
      </c>
      <c r="U27" s="85" t="s">
        <v>895</v>
      </c>
      <c r="V27" t="s">
        <v>896</v>
      </c>
      <c r="W27" s="13" t="s">
        <v>1816</v>
      </c>
      <c r="X27" t="s">
        <v>4582</v>
      </c>
      <c r="Y27"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8" spans="1:26">
      <c r="A28" s="30"/>
      <c r="B28" s="30">
        <v>18</v>
      </c>
      <c r="C28" s="30" t="s">
        <v>429</v>
      </c>
      <c r="D28" s="82" t="s">
        <v>984</v>
      </c>
      <c r="E28" s="40" t="s">
        <v>4646</v>
      </c>
      <c r="F28" s="30" t="s">
        <v>897</v>
      </c>
      <c r="G28" s="30" t="s">
        <v>767</v>
      </c>
      <c r="H28" s="30" t="s">
        <v>543</v>
      </c>
      <c r="I28" s="40" t="s">
        <v>1233</v>
      </c>
      <c r="J28" s="40" t="str">
        <f t="shared" si="0"/>
        <v>cam_height</v>
      </c>
      <c r="K28" s="40" t="s">
        <v>1398</v>
      </c>
      <c r="L28" s="34" t="str">
        <f>IF(VLOOKUP(J28,find_replace!H:H,1,"false")=J28,"TRUE","FALSE")</f>
        <v>TRUE</v>
      </c>
      <c r="M28" s="82" t="s">
        <v>298</v>
      </c>
      <c r="N28" s="82" t="s">
        <v>298</v>
      </c>
      <c r="O28" s="60" t="str">
        <f t="shared" si="1"/>
        <v xml:space="preserve">    term_cam_height: "Camera Height (m)"</v>
      </c>
      <c r="P28" s="39" t="str">
        <f t="shared" si="2"/>
        <v xml:space="preserve">    def_cam_height: "The height from the ground (below snow) to the bottom of the lens (metres; to the nearest 0.05 m)."</v>
      </c>
      <c r="Q28" s="40"/>
      <c r="R28" s="83" t="b">
        <v>1</v>
      </c>
      <c r="S28" s="86" t="b">
        <v>1</v>
      </c>
      <c r="T28" s="86" t="b">
        <v>1</v>
      </c>
      <c r="U28" s="85" t="s">
        <v>895</v>
      </c>
      <c r="V28" t="s">
        <v>896</v>
      </c>
      <c r="W28" s="13" t="s">
        <v>1816</v>
      </c>
      <c r="X28" t="s">
        <v>4582</v>
      </c>
      <c r="Y28"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29" spans="1:26">
      <c r="A29" s="30"/>
      <c r="B29" s="30">
        <v>19</v>
      </c>
      <c r="C29" s="30" t="s">
        <v>429</v>
      </c>
      <c r="D29" s="82" t="s">
        <v>984</v>
      </c>
      <c r="E29" s="40" t="s">
        <v>4627</v>
      </c>
      <c r="F29" s="30" t="s">
        <v>897</v>
      </c>
      <c r="G29" s="30" t="s">
        <v>767</v>
      </c>
      <c r="H29" s="30" t="s">
        <v>544</v>
      </c>
      <c r="I29" s="40" t="s">
        <v>1234</v>
      </c>
      <c r="J29" s="40" t="str">
        <f t="shared" si="0"/>
        <v>cam_id</v>
      </c>
      <c r="K29" s="40" t="s">
        <v>682</v>
      </c>
      <c r="L29" s="34" t="str">
        <f>IF(VLOOKUP(J29,find_replace!H:H,1,"false")=J29,"TRUE","FALSE")</f>
        <v>TRUE</v>
      </c>
      <c r="M29" s="82" t="s">
        <v>297</v>
      </c>
      <c r="N29" s="82" t="s">
        <v>297</v>
      </c>
      <c r="O29" s="60" t="str">
        <f t="shared" si="1"/>
        <v xml:space="preserve">    term_cam_id: "Camera ID"</v>
      </c>
      <c r="P29" s="39" t="str">
        <f t="shared" si="2"/>
        <v xml:space="preserve">    def_cam_id: "A unique alphanumeric ID for the camera that distinguishes it from other cameras of the same make or model."</v>
      </c>
      <c r="Q29" s="40"/>
      <c r="R29" s="83" t="b">
        <v>1</v>
      </c>
      <c r="S29" s="86" t="b">
        <v>1</v>
      </c>
      <c r="T29" s="86" t="b">
        <v>1</v>
      </c>
      <c r="U29" s="85" t="s">
        <v>895</v>
      </c>
      <c r="V29" t="s">
        <v>896</v>
      </c>
      <c r="W29" s="13" t="s">
        <v>1816</v>
      </c>
      <c r="X29" t="s">
        <v>4582</v>
      </c>
      <c r="Y29"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0" spans="1:26">
      <c r="A30" s="30"/>
      <c r="B30" s="30">
        <v>20</v>
      </c>
      <c r="C30" s="30" t="s">
        <v>0</v>
      </c>
      <c r="D30" s="82" t="s">
        <v>984</v>
      </c>
      <c r="E30" s="34" t="s">
        <v>229</v>
      </c>
      <c r="F30" s="30"/>
      <c r="G30" s="30" t="s">
        <v>767</v>
      </c>
      <c r="H30" s="30" t="s">
        <v>547</v>
      </c>
      <c r="I30" s="40" t="s">
        <v>1235</v>
      </c>
      <c r="J30" s="40" t="str">
        <f t="shared" si="0"/>
        <v>cam_location</v>
      </c>
      <c r="K30" s="34" t="s">
        <v>229</v>
      </c>
      <c r="L30" s="34" t="str">
        <f>IF(VLOOKUP(J30,find_replace!H:H,1,"false")=J30,"TRUE","FALSE")</f>
        <v>TRUE</v>
      </c>
      <c r="M30" s="82" t="s">
        <v>360</v>
      </c>
      <c r="N30" s="82" t="s">
        <v>360</v>
      </c>
      <c r="O30" s="60" t="str">
        <f t="shared" si="1"/>
        <v xml:space="preserve">    term_cam_location: "Camera location"</v>
      </c>
      <c r="P30" s="39" t="str">
        <f t="shared" si="2"/>
        <v xml:space="preserve">    def_cam_location: "The location where a single camera was placed (recorded as 'Camera Location Name')."</v>
      </c>
      <c r="Q30" s="40"/>
      <c r="R30" s="83" t="s">
        <v>51</v>
      </c>
      <c r="S30" s="86" t="b">
        <v>1</v>
      </c>
      <c r="T30" s="86" t="b">
        <v>1</v>
      </c>
      <c r="U30" s="85" t="s">
        <v>895</v>
      </c>
      <c r="V30" t="s">
        <v>896</v>
      </c>
      <c r="W30" s="13" t="s">
        <v>1816</v>
      </c>
      <c r="X30" t="s">
        <v>4582</v>
      </c>
      <c r="Y30"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1" spans="1:26">
      <c r="A31" s="30"/>
      <c r="B31" s="30">
        <v>21</v>
      </c>
      <c r="C31" s="30" t="s">
        <v>429</v>
      </c>
      <c r="D31" s="82" t="s">
        <v>984</v>
      </c>
      <c r="E31" s="40" t="s">
        <v>480</v>
      </c>
      <c r="F31" s="30" t="s">
        <v>897</v>
      </c>
      <c r="G31" s="30" t="s">
        <v>767</v>
      </c>
      <c r="H31" s="30" t="s">
        <v>547</v>
      </c>
      <c r="I31" s="40" t="s">
        <v>1236</v>
      </c>
      <c r="J31" s="40" t="str">
        <f t="shared" si="0"/>
        <v>cam_location_characteristics</v>
      </c>
      <c r="K31" s="40" t="s">
        <v>738</v>
      </c>
      <c r="L31" s="34" t="str">
        <f>IF(VLOOKUP(J31,find_replace!H:H,1,"false")=J31,"TRUE","FALSE")</f>
        <v>TRUE</v>
      </c>
      <c r="M31" s="82" t="s">
        <v>824</v>
      </c>
      <c r="N31" s="82" t="s">
        <v>824</v>
      </c>
      <c r="O31" s="60" t="str">
        <f t="shared" si="1"/>
        <v xml:space="preserve">    term_cam_location_characteristics: "Camera Location Characteristic(s)"</v>
      </c>
      <c r="P31" s="39"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1" s="40" t="b">
        <v>1</v>
      </c>
      <c r="R31" s="83" t="b">
        <v>0</v>
      </c>
      <c r="S31" s="86" t="b">
        <v>1</v>
      </c>
      <c r="T31" s="86" t="b">
        <v>1</v>
      </c>
      <c r="U31" s="85" t="s">
        <v>895</v>
      </c>
      <c r="V31" t="s">
        <v>896</v>
      </c>
      <c r="W31" s="13" t="s">
        <v>1816</v>
      </c>
      <c r="X31" t="s">
        <v>4582</v>
      </c>
      <c r="Y31"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2" spans="1:26">
      <c r="A32" s="30"/>
      <c r="B32" s="30">
        <v>22</v>
      </c>
      <c r="C32" s="30" t="s">
        <v>429</v>
      </c>
      <c r="D32" s="82" t="s">
        <v>984</v>
      </c>
      <c r="E32" s="40" t="s">
        <v>481</v>
      </c>
      <c r="F32" s="30" t="s">
        <v>897</v>
      </c>
      <c r="G32" s="30" t="s">
        <v>767</v>
      </c>
      <c r="H32" s="30" t="s">
        <v>547</v>
      </c>
      <c r="I32" s="40" t="s">
        <v>1237</v>
      </c>
      <c r="J32" s="40" t="str">
        <f t="shared" si="0"/>
        <v>cam_location_comments</v>
      </c>
      <c r="K32" s="40" t="s">
        <v>739</v>
      </c>
      <c r="L32" s="34" t="str">
        <f>IF(VLOOKUP(J32,find_replace!H:H,1,"false")=J32,"TRUE","FALSE")</f>
        <v>TRUE</v>
      </c>
      <c r="M32" s="82" t="s">
        <v>335</v>
      </c>
      <c r="N32" s="82" t="s">
        <v>335</v>
      </c>
      <c r="O32" s="60" t="str">
        <f t="shared" si="1"/>
        <v xml:space="preserve">    term_cam_location_comments: "Camera Location Comments"</v>
      </c>
      <c r="P32" s="39" t="str">
        <f t="shared" si="2"/>
        <v xml:space="preserve">    def_cam_location_comments: "Comments describing additional details about a camera location."</v>
      </c>
      <c r="Q32" s="40"/>
      <c r="R32" s="83" t="b">
        <v>0</v>
      </c>
      <c r="S32" s="86" t="b">
        <v>1</v>
      </c>
      <c r="T32" s="86" t="b">
        <v>1</v>
      </c>
      <c r="U32" s="85" t="s">
        <v>895</v>
      </c>
      <c r="V32" t="s">
        <v>896</v>
      </c>
      <c r="W32" s="13" t="s">
        <v>1816</v>
      </c>
      <c r="X32" t="s">
        <v>4582</v>
      </c>
      <c r="Y32"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3" spans="1:25">
      <c r="A33" s="30"/>
      <c r="B33" s="30">
        <v>23</v>
      </c>
      <c r="C33" s="30" t="s">
        <v>429</v>
      </c>
      <c r="D33" s="82" t="s">
        <v>984</v>
      </c>
      <c r="E33" s="40" t="s">
        <v>4633</v>
      </c>
      <c r="F33" s="30" t="s">
        <v>897</v>
      </c>
      <c r="G33" s="30" t="s">
        <v>767</v>
      </c>
      <c r="H33" s="30" t="s">
        <v>547</v>
      </c>
      <c r="I33" s="40" t="s">
        <v>1238</v>
      </c>
      <c r="J33" s="40" t="str">
        <f t="shared" si="0"/>
        <v>cam_location_name</v>
      </c>
      <c r="K33" s="40" t="s">
        <v>683</v>
      </c>
      <c r="L33" s="34" t="str">
        <f>IF(VLOOKUP(J33,find_replace!H:H,1,"false")=J33,"TRUE","FALSE")</f>
        <v>TRUE</v>
      </c>
      <c r="M33" s="82" t="s">
        <v>361</v>
      </c>
      <c r="N33" s="82" t="s">
        <v>361</v>
      </c>
      <c r="O33" s="60" t="str">
        <f t="shared" si="1"/>
        <v xml:space="preserve">    term_cam_location_name: "Camera Location Name"</v>
      </c>
      <c r="P33" s="39" t="str">
        <f t="shared" si="2"/>
        <v xml:space="preserve">    def_cam_location_name: "A unique alphanumeric identifier for the location where a single camera was placed (e.g., 'bh1,' 'bh2')."</v>
      </c>
      <c r="Q33" s="40"/>
      <c r="R33" s="83" t="b">
        <v>1</v>
      </c>
      <c r="S33" s="86" t="b">
        <v>1</v>
      </c>
      <c r="T33" s="86" t="b">
        <v>1</v>
      </c>
      <c r="U33" s="85" t="s">
        <v>895</v>
      </c>
      <c r="V33" t="s">
        <v>896</v>
      </c>
      <c r="W33" s="13" t="s">
        <v>1816</v>
      </c>
      <c r="X33" t="s">
        <v>4582</v>
      </c>
      <c r="Y33"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4" spans="1:25">
      <c r="A34" s="30"/>
      <c r="B34" s="30">
        <v>24</v>
      </c>
      <c r="C34" s="30" t="s">
        <v>429</v>
      </c>
      <c r="D34" s="82" t="s">
        <v>984</v>
      </c>
      <c r="E34" s="40" t="s">
        <v>4649</v>
      </c>
      <c r="F34" s="30" t="s">
        <v>897</v>
      </c>
      <c r="G34" s="30" t="s">
        <v>767</v>
      </c>
      <c r="H34" s="30" t="s">
        <v>544</v>
      </c>
      <c r="I34" s="40" t="s">
        <v>1239</v>
      </c>
      <c r="J34" s="40" t="str">
        <f t="shared" si="0"/>
        <v>cam_make</v>
      </c>
      <c r="K34" s="40" t="s">
        <v>684</v>
      </c>
      <c r="L34" s="34" t="str">
        <f>IF(VLOOKUP(J34,find_replace!H:H,1,"false")=J34,"TRUE","FALSE")</f>
        <v>TRUE</v>
      </c>
      <c r="M34" s="82" t="s">
        <v>362</v>
      </c>
      <c r="N34" s="82" t="s">
        <v>362</v>
      </c>
      <c r="O34" s="60" t="str">
        <f t="shared" si="1"/>
        <v xml:space="preserve">    term_cam_make: "Camera Make"</v>
      </c>
      <c r="P34" s="39" t="str">
        <f t="shared" si="2"/>
        <v xml:space="preserve">    def_cam_make: "The make of a particular camera (i.e., the manufacturer, e.g., 'Reconyx' or 'Bushnell')."</v>
      </c>
      <c r="Q34" s="40"/>
      <c r="R34" s="83" t="b">
        <v>1</v>
      </c>
      <c r="S34" s="86" t="b">
        <v>1</v>
      </c>
      <c r="T34" s="86" t="b">
        <v>1</v>
      </c>
      <c r="U34" s="85" t="s">
        <v>895</v>
      </c>
      <c r="V34" t="s">
        <v>896</v>
      </c>
      <c r="W34" s="13" t="s">
        <v>1816</v>
      </c>
      <c r="X34" t="s">
        <v>4582</v>
      </c>
      <c r="Y34"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5" spans="1:25">
      <c r="A35" s="30"/>
      <c r="B35" s="30">
        <v>25</v>
      </c>
      <c r="C35" s="30" t="s">
        <v>429</v>
      </c>
      <c r="D35" s="82" t="s">
        <v>984</v>
      </c>
      <c r="E35" s="40" t="s">
        <v>4651</v>
      </c>
      <c r="F35" s="30" t="s">
        <v>897</v>
      </c>
      <c r="G35" s="30" t="s">
        <v>767</v>
      </c>
      <c r="H35" s="30" t="s">
        <v>544</v>
      </c>
      <c r="I35" s="40" t="s">
        <v>1241</v>
      </c>
      <c r="J35" s="40" t="str">
        <f t="shared" si="0"/>
        <v>cam_model</v>
      </c>
      <c r="K35" s="40" t="s">
        <v>686</v>
      </c>
      <c r="L35" s="34" t="str">
        <f>IF(VLOOKUP(J35,find_replace!H:H,1,"false")=J35,"TRUE","FALSE")</f>
        <v>TRUE</v>
      </c>
      <c r="M35" s="82" t="s">
        <v>363</v>
      </c>
      <c r="N35" s="82" t="s">
        <v>363</v>
      </c>
      <c r="O35" s="60" t="str">
        <f t="shared" si="1"/>
        <v xml:space="preserve">    term_cam_model: "Camera Model"</v>
      </c>
      <c r="P35" s="39" t="str">
        <f t="shared" si="2"/>
        <v xml:space="preserve">    def_cam_model: "The model number or name of a particular camera (e.g., 'PC900' or 'Trophy Cam HD')."</v>
      </c>
      <c r="Q35" s="40"/>
      <c r="R35" s="83" t="b">
        <v>1</v>
      </c>
      <c r="S35" s="86" t="b">
        <v>1</v>
      </c>
      <c r="T35" s="86" t="b">
        <v>1</v>
      </c>
      <c r="U35" s="85" t="s">
        <v>895</v>
      </c>
      <c r="V35" t="s">
        <v>896</v>
      </c>
      <c r="W35" s="13" t="s">
        <v>1816</v>
      </c>
      <c r="X35" t="s">
        <v>4582</v>
      </c>
      <c r="Y35"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6" spans="1:25">
      <c r="A36" s="30"/>
      <c r="B36" s="30">
        <v>26</v>
      </c>
      <c r="C36" s="30" t="s">
        <v>429</v>
      </c>
      <c r="D36" s="82" t="s">
        <v>984</v>
      </c>
      <c r="E36" s="40" t="s">
        <v>4656</v>
      </c>
      <c r="F36" s="30" t="s">
        <v>897</v>
      </c>
      <c r="G36" s="30" t="s">
        <v>767</v>
      </c>
      <c r="H36" s="30" t="s">
        <v>544</v>
      </c>
      <c r="I36" s="40" t="s">
        <v>1243</v>
      </c>
      <c r="J36" s="40" t="str">
        <f t="shared" si="0"/>
        <v>cam_serial_number</v>
      </c>
      <c r="K36" s="40" t="s">
        <v>688</v>
      </c>
      <c r="L36" s="34" t="str">
        <f>IF(VLOOKUP(J36,find_replace!H:H,1,"false")=J36,"TRUE","FALSE")</f>
        <v>TRUE</v>
      </c>
      <c r="M36" s="82" t="s">
        <v>364</v>
      </c>
      <c r="N36" s="82" t="s">
        <v>364</v>
      </c>
      <c r="O36" s="60" t="str">
        <f t="shared" si="1"/>
        <v xml:space="preserve">    term_cam_serial_number: "Camera Serial Number"</v>
      </c>
      <c r="P36" s="39" t="str">
        <f t="shared" si="2"/>
        <v xml:space="preserve">    def_cam_serial_number: "The serial number of a particular camera, which is usually found inside the camera cover (e.g., 'P900FF04152022')."</v>
      </c>
      <c r="Q36" s="40"/>
      <c r="R36" s="83" t="b">
        <v>1</v>
      </c>
      <c r="S36" s="86" t="b">
        <v>1</v>
      </c>
      <c r="T36" s="86" t="b">
        <v>1</v>
      </c>
      <c r="U36" s="85" t="s">
        <v>895</v>
      </c>
      <c r="V36" t="s">
        <v>896</v>
      </c>
      <c r="W36" s="13" t="s">
        <v>1816</v>
      </c>
      <c r="X36" t="s">
        <v>4582</v>
      </c>
      <c r="Y36"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37" spans="1:25">
      <c r="A37" s="30"/>
      <c r="B37" s="30">
        <v>27</v>
      </c>
      <c r="C37" s="30" t="s">
        <v>0</v>
      </c>
      <c r="D37" s="82" t="s">
        <v>984</v>
      </c>
      <c r="E37" s="34" t="s">
        <v>228</v>
      </c>
      <c r="F37" s="30"/>
      <c r="G37" s="30" t="s">
        <v>767</v>
      </c>
      <c r="H37" s="30" t="s">
        <v>540</v>
      </c>
      <c r="I37" s="40" t="s">
        <v>1245</v>
      </c>
      <c r="J37" s="40" t="str">
        <f t="shared" si="0"/>
        <v>cam_spacing</v>
      </c>
      <c r="K37" s="34" t="s">
        <v>228</v>
      </c>
      <c r="L37" s="34" t="str">
        <f>IF(VLOOKUP(J37,find_replace!H:H,1,"false")=J37,"TRUE","FALSE")</f>
        <v>TRUE</v>
      </c>
      <c r="M37" s="82" t="s">
        <v>832</v>
      </c>
      <c r="N37" s="82" t="s">
        <v>852</v>
      </c>
      <c r="O37" s="60" t="str">
        <f t="shared" si="1"/>
        <v xml:space="preserve">    term_cam_spacing: "Camera spacing"</v>
      </c>
      <c r="P37" s="39" t="str">
        <f t="shared" si="2"/>
        <v xml:space="preserve">    def_cam_spacing: "The distance between cameras (i.e., also referred to as 'inter-trap distance'). This will be influenced by the chosen sampling design, the [survey](#survey) Objectives, the Target Species and data analysis."</v>
      </c>
      <c r="Q37" s="40"/>
      <c r="R37" s="83" t="s">
        <v>51</v>
      </c>
      <c r="S37" s="84" t="b">
        <v>0</v>
      </c>
      <c r="T37" s="86" t="b">
        <v>1</v>
      </c>
      <c r="U37" s="85" t="s">
        <v>895</v>
      </c>
      <c r="V37" t="s">
        <v>896</v>
      </c>
      <c r="W37" s="13" t="s">
        <v>1816</v>
      </c>
      <c r="X37" t="s">
        <v>4582</v>
      </c>
      <c r="Y37"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38" spans="1:25">
      <c r="A38" s="30"/>
      <c r="B38" s="30">
        <v>28</v>
      </c>
      <c r="C38" s="30" t="s">
        <v>0</v>
      </c>
      <c r="D38" s="82" t="s">
        <v>984</v>
      </c>
      <c r="E38" s="40" t="s">
        <v>227</v>
      </c>
      <c r="F38" s="30" t="s">
        <v>897</v>
      </c>
      <c r="G38" s="30" t="s">
        <v>767</v>
      </c>
      <c r="H38" s="30" t="s">
        <v>4</v>
      </c>
      <c r="I38" s="40" t="s">
        <v>29</v>
      </c>
      <c r="J38" s="40" t="str">
        <f t="shared" si="0"/>
        <v>mod_cr_cmr</v>
      </c>
      <c r="K38" s="40" t="s">
        <v>978</v>
      </c>
      <c r="L38" s="34" t="str">
        <f>IF(VLOOKUP(J38,find_replace!H:H,1,"false")=J38,"TRUE","FALSE")</f>
        <v>TRUE</v>
      </c>
      <c r="M38" s="82" t="s">
        <v>770</v>
      </c>
      <c r="N38" s="82" t="s">
        <v>859</v>
      </c>
      <c r="O38" s="60" t="str">
        <f t="shared" si="1"/>
        <v xml:space="preserve">    term_mod_cr_cmr: "Capture-recapture (CR) / Capture-mark-recapture (CMR) (Karanth, 1995; Karanth &amp; Nichols, 1998)"</v>
      </c>
      <c r="P38" s="39" t="str">
        <f t="shared" si="2"/>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38" s="40"/>
      <c r="R38" s="83" t="s">
        <v>51</v>
      </c>
      <c r="S38" s="84" t="b">
        <v>0</v>
      </c>
      <c r="T38" s="86" t="b">
        <v>1</v>
      </c>
      <c r="U38" s="85" t="s">
        <v>895</v>
      </c>
      <c r="V38" t="s">
        <v>896</v>
      </c>
      <c r="W38" s="13" t="s">
        <v>1816</v>
      </c>
      <c r="X38" t="s">
        <v>4582</v>
      </c>
      <c r="Y38" t="str">
        <f t="shared" si="3"/>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row>
    <row r="39" spans="1:25">
      <c r="A39" s="30"/>
      <c r="B39" s="30">
        <v>29</v>
      </c>
      <c r="C39" s="30" t="s">
        <v>0</v>
      </c>
      <c r="D39" s="82" t="s">
        <v>984</v>
      </c>
      <c r="E39" s="34" t="s">
        <v>226</v>
      </c>
      <c r="F39" s="30" t="s">
        <v>897</v>
      </c>
      <c r="G39" s="30" t="s">
        <v>767</v>
      </c>
      <c r="H39" s="30" t="s">
        <v>4</v>
      </c>
      <c r="I39" s="40" t="s">
        <v>22</v>
      </c>
      <c r="J39" s="40" t="str">
        <f t="shared" si="0"/>
        <v>mod_catspim</v>
      </c>
      <c r="K39" s="34" t="s">
        <v>980</v>
      </c>
      <c r="L39" s="34" t="str">
        <f>IF(VLOOKUP(J39,find_replace!H:H,1,"false")=J39,"TRUE","FALSE")</f>
        <v>TRUE</v>
      </c>
      <c r="M39" s="82" t="s">
        <v>992</v>
      </c>
      <c r="N39" s="82" t="s">
        <v>869</v>
      </c>
      <c r="O39" s="60" t="str">
        <f t="shared" si="1"/>
        <v xml:space="preserve">    term_mod_catspim: "Categorical partial identity model (Categorical SPIM; catSPIM) (Augustine et al., 2019; Sun et al., 2022)"</v>
      </c>
      <c r="P39" s="39" t="str">
        <f t="shared" si="2"/>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39" s="40"/>
      <c r="R39" s="83" t="s">
        <v>51</v>
      </c>
      <c r="S39" s="84" t="b">
        <v>0</v>
      </c>
      <c r="T39" s="86" t="b">
        <v>1</v>
      </c>
      <c r="U39" s="85" t="s">
        <v>895</v>
      </c>
      <c r="V39" t="s">
        <v>896</v>
      </c>
      <c r="W39" s="13" t="s">
        <v>1816</v>
      </c>
      <c r="X39" t="s">
        <v>4582</v>
      </c>
      <c r="Y39" t="str">
        <f t="shared" si="3"/>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row>
    <row r="40" spans="1:25">
      <c r="A40" s="30"/>
      <c r="B40" s="30">
        <v>30</v>
      </c>
      <c r="C40" s="30" t="s">
        <v>0</v>
      </c>
      <c r="D40" s="82" t="s">
        <v>984</v>
      </c>
      <c r="E40" s="40" t="s">
        <v>225</v>
      </c>
      <c r="F40" s="30"/>
      <c r="G40" s="30" t="s">
        <v>767</v>
      </c>
      <c r="H40" s="30" t="s">
        <v>540</v>
      </c>
      <c r="I40" s="40" t="s">
        <v>224</v>
      </c>
      <c r="J40" s="40" t="str">
        <f t="shared" si="0"/>
        <v>sampledesign_clustered</v>
      </c>
      <c r="K40" s="40" t="s">
        <v>225</v>
      </c>
      <c r="L40" s="34" t="str">
        <f>IF(VLOOKUP(J40,find_replace!H:H,1,"false")=J40,"TRUE","FALSE")</f>
        <v>TRUE</v>
      </c>
      <c r="M40" s="82" t="s">
        <v>1004</v>
      </c>
      <c r="N40" s="82" t="s">
        <v>845</v>
      </c>
      <c r="O40" s="60" t="str">
        <f t="shared" si="1"/>
        <v xml:space="preserve">    term_sampledesign_clustered: "Clustered design"</v>
      </c>
      <c r="P40" s="39" t="str">
        <f t="shared" si="2"/>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40" s="40"/>
      <c r="R40" s="83" t="s">
        <v>51</v>
      </c>
      <c r="S40" s="86" t="b">
        <v>1</v>
      </c>
      <c r="T40" s="86" t="b">
        <v>1</v>
      </c>
      <c r="U40" s="85" t="s">
        <v>895</v>
      </c>
      <c r="V40" t="s">
        <v>896</v>
      </c>
      <c r="W40" s="13" t="s">
        <v>1816</v>
      </c>
      <c r="X40" t="s">
        <v>4582</v>
      </c>
      <c r="Y40" t="str">
        <f t="shared" si="3"/>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41" spans="1:25">
      <c r="A41" s="30"/>
      <c r="B41" s="30">
        <v>31</v>
      </c>
      <c r="C41" s="30" t="s">
        <v>0</v>
      </c>
      <c r="D41" s="82" t="s">
        <v>984</v>
      </c>
      <c r="E41" s="34" t="s">
        <v>223</v>
      </c>
      <c r="F41" s="30"/>
      <c r="G41" s="30" t="s">
        <v>767</v>
      </c>
      <c r="H41" s="30" t="s">
        <v>540</v>
      </c>
      <c r="I41" s="40" t="s">
        <v>222</v>
      </c>
      <c r="J41" s="40" t="str">
        <f t="shared" si="0"/>
        <v>sampledesign_convenience</v>
      </c>
      <c r="K41" s="34" t="s">
        <v>223</v>
      </c>
      <c r="L41" s="34" t="str">
        <f>IF(VLOOKUP(J41,find_replace!H:H,1,"false")=J41,"TRUE","FALSE")</f>
        <v>TRUE</v>
      </c>
      <c r="M41" s="82" t="s">
        <v>418</v>
      </c>
      <c r="N41" s="82" t="s">
        <v>418</v>
      </c>
      <c r="O41" s="60" t="str">
        <f t="shared" si="1"/>
        <v xml:space="preserve">    term_sampledesign_convenience: "Convenience design"</v>
      </c>
      <c r="P41" s="39" t="str">
        <f t="shared" si="2"/>
        <v xml:space="preserve">    def_sampledesign_convenience: "Camera locations or sample stations are chosen based on logistic considerations (e.g., remoteness, access constraints, and*/or costs)."</v>
      </c>
      <c r="Q41" s="40"/>
      <c r="R41" s="83" t="s">
        <v>51</v>
      </c>
      <c r="S41" s="86" t="b">
        <v>1</v>
      </c>
      <c r="T41" s="86" t="b">
        <v>1</v>
      </c>
      <c r="U41" s="85" t="s">
        <v>895</v>
      </c>
      <c r="V41" t="s">
        <v>896</v>
      </c>
      <c r="W41" s="13" t="s">
        <v>1816</v>
      </c>
      <c r="X41" t="s">
        <v>4582</v>
      </c>
      <c r="Y41" t="str">
        <f t="shared" si="3"/>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42" spans="1:25">
      <c r="A42" s="30"/>
      <c r="B42" s="30">
        <v>32</v>
      </c>
      <c r="C42" s="30" t="s">
        <v>0</v>
      </c>
      <c r="D42" s="82" t="s">
        <v>984</v>
      </c>
      <c r="E42" s="34" t="s">
        <v>221</v>
      </c>
      <c r="F42" s="30"/>
      <c r="G42" s="30" t="s">
        <v>767</v>
      </c>
      <c r="H42" s="30" t="s">
        <v>541</v>
      </c>
      <c r="I42" s="40" t="s">
        <v>220</v>
      </c>
      <c r="J42" s="40" t="str">
        <f t="shared" si="0"/>
        <v>crew</v>
      </c>
      <c r="K42" s="34" t="s">
        <v>221</v>
      </c>
      <c r="L42" s="34" t="str">
        <f>IF(VLOOKUP(J42,find_replace!H:H,1,"false")=J42,"TRUE","FALSE")</f>
        <v>TRUE</v>
      </c>
      <c r="M42" s="82" t="s">
        <v>365</v>
      </c>
      <c r="N42" s="82" t="s">
        <v>365</v>
      </c>
      <c r="O42" s="60" t="str">
        <f t="shared" si="1"/>
        <v xml:space="preserve">    term_crew: "Crew"</v>
      </c>
      <c r="P42" s="39" t="str">
        <f t="shared" si="2"/>
        <v xml:space="preserve">    def_crew: "The first and last names of all the individuals who collected data during the deployment visit ('Deployment Crew') and Service*/Retrieval visit ('Service*/Retrieval Crew')."</v>
      </c>
      <c r="Q42" s="40"/>
      <c r="R42" s="83" t="s">
        <v>51</v>
      </c>
      <c r="S42" s="86" t="b">
        <v>1</v>
      </c>
      <c r="T42" s="86" t="b">
        <v>1</v>
      </c>
      <c r="U42" s="85" t="s">
        <v>895</v>
      </c>
      <c r="V42" t="s">
        <v>896</v>
      </c>
      <c r="W42" s="13" t="s">
        <v>1816</v>
      </c>
      <c r="X42" t="s">
        <v>4582</v>
      </c>
      <c r="Y42"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3" spans="1:25">
      <c r="A43" s="30"/>
      <c r="B43" s="30">
        <v>33</v>
      </c>
      <c r="C43" s="30" t="s">
        <v>0</v>
      </c>
      <c r="D43" s="82" t="s">
        <v>984</v>
      </c>
      <c r="E43" s="34" t="s">
        <v>219</v>
      </c>
      <c r="F43" s="30"/>
      <c r="G43" s="30" t="s">
        <v>767</v>
      </c>
      <c r="H43" s="40" t="s">
        <v>542</v>
      </c>
      <c r="I43" s="40" t="s">
        <v>218</v>
      </c>
      <c r="J43" s="40" t="str">
        <f t="shared" si="0"/>
        <v>cumulative_det_probability</v>
      </c>
      <c r="K43" s="34" t="s">
        <v>219</v>
      </c>
      <c r="L43" s="34" t="str">
        <f>IF(VLOOKUP(J43,find_replace!H:H,1,"false")=J43,"TRUE","FALSE")</f>
        <v>TRUE</v>
      </c>
      <c r="M43" s="82" t="s">
        <v>825</v>
      </c>
      <c r="N43" s="82" t="s">
        <v>851</v>
      </c>
      <c r="O43" s="60" t="str">
        <f t="shared" si="1"/>
        <v xml:space="preserve">    term_cumulative_det_probability: "Cumulative detection probability"</v>
      </c>
      <c r="P43" s="39" t="str">
        <f t="shared" si="2"/>
        <v xml:space="preserve">    def_cumulative_det_probability: "The probability of detecting a species at least once during the entire {{ tl_survey }} (Steenweg et al., 2019)."</v>
      </c>
      <c r="Q43" s="40"/>
      <c r="R43" s="83" t="s">
        <v>51</v>
      </c>
      <c r="S43" s="84" t="b">
        <v>0</v>
      </c>
      <c r="T43" s="86" t="b">
        <v>1</v>
      </c>
      <c r="U43" s="85" t="s">
        <v>895</v>
      </c>
      <c r="V43" t="s">
        <v>896</v>
      </c>
      <c r="W43" s="13" t="s">
        <v>1816</v>
      </c>
      <c r="X43" t="s">
        <v>4582</v>
      </c>
      <c r="Y43"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4" spans="1:25">
      <c r="A44" s="30"/>
      <c r="B44" s="30"/>
      <c r="C44" s="30" t="s">
        <v>0</v>
      </c>
      <c r="D44" s="82" t="s">
        <v>984</v>
      </c>
      <c r="E44" s="30"/>
      <c r="F44" s="30"/>
      <c r="G44" s="30" t="s">
        <v>651</v>
      </c>
      <c r="H44" s="30"/>
      <c r="I44" s="30" t="s">
        <v>780</v>
      </c>
      <c r="J44" s="40" t="str">
        <f t="shared" si="0"/>
        <v>data</v>
      </c>
      <c r="K44" s="30" t="s">
        <v>630</v>
      </c>
      <c r="L44" s="34" t="str">
        <f>IF(VLOOKUP(J44,find_replace!H:H,1,"false")=J44,"TRUE","FALSE")</f>
        <v>TRUE</v>
      </c>
      <c r="M44" s="55" t="s">
        <v>1323</v>
      </c>
      <c r="N44" s="55" t="s">
        <v>1278</v>
      </c>
      <c r="O44" s="60" t="str">
        <f t="shared" si="1"/>
        <v xml:space="preserve">    term_data: "Data"</v>
      </c>
      <c r="P44" s="39" t="str">
        <f t="shared" si="2"/>
        <v xml:space="preserve">    def_data: "Information, commonly facts or numbers, that are collected and can be examined and/or measured to help guide decision-making.' ({{ rtxt_kemp_et_al_2022 }})."</v>
      </c>
      <c r="Q44" s="30"/>
      <c r="R44" s="30"/>
      <c r="S44" s="30"/>
      <c r="T44" s="30"/>
      <c r="U44" s="85" t="s">
        <v>895</v>
      </c>
      <c r="V44" t="s">
        <v>896</v>
      </c>
      <c r="W44" s="13" t="s">
        <v>1816</v>
      </c>
      <c r="X44" t="s">
        <v>4582</v>
      </c>
      <c r="Y44"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5" spans="1:25">
      <c r="A45" s="56"/>
      <c r="B45" s="56"/>
      <c r="C45" s="56" t="s">
        <v>0</v>
      </c>
      <c r="D45" s="82" t="s">
        <v>984</v>
      </c>
      <c r="E45" s="56" t="s">
        <v>527</v>
      </c>
      <c r="F45" s="56"/>
      <c r="G45" s="39" t="s">
        <v>767</v>
      </c>
      <c r="H45" s="56" t="s">
        <v>40</v>
      </c>
      <c r="I45" s="56" t="s">
        <v>537</v>
      </c>
      <c r="J45" s="40" t="str">
        <f t="shared" si="0"/>
        <v>obj_density</v>
      </c>
      <c r="K45" s="56" t="s">
        <v>527</v>
      </c>
      <c r="L45" s="42" t="str">
        <f>IF(VLOOKUP(J45,find_replace!H:H,1,"false")=J45,"TRUE","FALSE")</f>
        <v>TRUE</v>
      </c>
      <c r="M45" s="57" t="s">
        <v>1003</v>
      </c>
      <c r="N45" s="57" t="s">
        <v>846</v>
      </c>
      <c r="O45" s="60" t="str">
        <f t="shared" si="1"/>
        <v xml:space="preserve">    term_obj_density: "Density"</v>
      </c>
      <c r="P45" s="39" t="str">
        <f t="shared" si="2"/>
        <v xml:space="preserve">    def_obj_density: "The number of individuals per unit area ({{ rtxt_wearn_gloverkapfer_2017 }})"</v>
      </c>
      <c r="Q45" s="56"/>
      <c r="R45" s="56"/>
      <c r="S45" s="56"/>
      <c r="T45" s="56"/>
      <c r="U45" s="58" t="s">
        <v>895</v>
      </c>
      <c r="V45" t="s">
        <v>896</v>
      </c>
      <c r="W45" s="13" t="s">
        <v>1816</v>
      </c>
      <c r="X45" t="s">
        <v>4582</v>
      </c>
      <c r="Y45" t="str">
        <f t="shared" si="3"/>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46" spans="1:25">
      <c r="A46" s="30"/>
      <c r="B46" s="30">
        <v>35</v>
      </c>
      <c r="C46" s="30" t="s">
        <v>0</v>
      </c>
      <c r="D46" s="82" t="s">
        <v>984</v>
      </c>
      <c r="E46" s="34" t="s">
        <v>217</v>
      </c>
      <c r="F46" s="30"/>
      <c r="G46" s="30" t="s">
        <v>767</v>
      </c>
      <c r="H46" s="30" t="s">
        <v>545</v>
      </c>
      <c r="I46" s="40" t="s">
        <v>216</v>
      </c>
      <c r="J46" s="40" t="str">
        <f t="shared" si="0"/>
        <v>deployment</v>
      </c>
      <c r="K46" s="34" t="s">
        <v>217</v>
      </c>
      <c r="L46" s="34" t="str">
        <f>IF(VLOOKUP(J46,find_replace!H:H,1,"false")=J46,"TRUE","FALSE")</f>
        <v>TRUE</v>
      </c>
      <c r="M46" s="82" t="s">
        <v>408</v>
      </c>
      <c r="N46" s="82" t="s">
        <v>408</v>
      </c>
      <c r="O46" s="60" t="str">
        <f t="shared" si="1"/>
        <v xml:space="preserve">    term_deployment: "Deployment"</v>
      </c>
      <c r="P46" s="39"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40"/>
      <c r="R46" s="83" t="s">
        <v>51</v>
      </c>
      <c r="S46" s="86" t="b">
        <v>1</v>
      </c>
      <c r="T46" s="86" t="b">
        <v>1</v>
      </c>
      <c r="U46" s="85" t="s">
        <v>895</v>
      </c>
      <c r="V46" t="s">
        <v>896</v>
      </c>
      <c r="W46" s="13" t="s">
        <v>1816</v>
      </c>
      <c r="X46" t="s">
        <v>4582</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30"/>
      <c r="B47" s="30">
        <v>36</v>
      </c>
      <c r="C47" s="30" t="s">
        <v>429</v>
      </c>
      <c r="D47" s="82" t="s">
        <v>984</v>
      </c>
      <c r="E47" s="40" t="s">
        <v>482</v>
      </c>
      <c r="F47" s="30" t="s">
        <v>897</v>
      </c>
      <c r="G47" s="30" t="s">
        <v>767</v>
      </c>
      <c r="H47" s="30" t="s">
        <v>545</v>
      </c>
      <c r="I47" s="40" t="s">
        <v>334</v>
      </c>
      <c r="J47" s="40" t="str">
        <f t="shared" si="0"/>
        <v>deployment_area_photo_numbers</v>
      </c>
      <c r="K47" s="40" t="s">
        <v>740</v>
      </c>
      <c r="L47" s="34" t="str">
        <f>IF(VLOOKUP(J47,find_replace!H:H,1,"false")=J47,"TRUE","FALSE")</f>
        <v>TRUE</v>
      </c>
      <c r="M47" s="82" t="s">
        <v>366</v>
      </c>
      <c r="N47" s="82" t="s">
        <v>366</v>
      </c>
      <c r="O47" s="60" t="str">
        <f t="shared" si="1"/>
        <v xml:space="preserve">    term_deployment_area_photo_numbers: "Deployment Area Photo Numbers"</v>
      </c>
      <c r="P47" s="39"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40" t="b">
        <v>1</v>
      </c>
      <c r="R47" s="83" t="b">
        <v>0</v>
      </c>
      <c r="S47" s="86" t="b">
        <v>1</v>
      </c>
      <c r="T47" s="86" t="b">
        <v>1</v>
      </c>
      <c r="U47" s="85" t="s">
        <v>895</v>
      </c>
      <c r="V47" t="s">
        <v>896</v>
      </c>
      <c r="W47" s="13" t="s">
        <v>1816</v>
      </c>
      <c r="X47" t="s">
        <v>4582</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30"/>
      <c r="B48" s="30">
        <v>37</v>
      </c>
      <c r="C48" s="30" t="s">
        <v>0</v>
      </c>
      <c r="D48" s="82" t="s">
        <v>984</v>
      </c>
      <c r="E48" s="34" t="s">
        <v>215</v>
      </c>
      <c r="F48" s="30"/>
      <c r="G48" s="30" t="s">
        <v>767</v>
      </c>
      <c r="H48" s="30" t="s">
        <v>545</v>
      </c>
      <c r="I48" s="40" t="s">
        <v>214</v>
      </c>
      <c r="J48" s="40" t="str">
        <f t="shared" si="0"/>
        <v>deployment_area_photos</v>
      </c>
      <c r="K48" s="34" t="s">
        <v>215</v>
      </c>
      <c r="L48" s="34" t="str">
        <f>IF(VLOOKUP(J48,find_replace!H:H,1,"false")=J48,"TRUE","FALSE")</f>
        <v>TRUE</v>
      </c>
      <c r="M48" s="82" t="s">
        <v>409</v>
      </c>
      <c r="N48" s="82" t="s">
        <v>409</v>
      </c>
      <c r="O48" s="60" t="str">
        <f t="shared" si="1"/>
        <v xml:space="preserve">    term_deployment_area_photos: "Deployment area photos"</v>
      </c>
      <c r="P48" s="39"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40"/>
      <c r="R48" s="83" t="s">
        <v>51</v>
      </c>
      <c r="S48" s="86" t="b">
        <v>1</v>
      </c>
      <c r="T48" s="86" t="b">
        <v>1</v>
      </c>
      <c r="U48" s="85" t="s">
        <v>895</v>
      </c>
      <c r="V48" t="s">
        <v>896</v>
      </c>
      <c r="W48" s="13" t="s">
        <v>1816</v>
      </c>
      <c r="X48" t="s">
        <v>4582</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30"/>
      <c r="B49" s="30">
        <v>38</v>
      </c>
      <c r="C49" s="30" t="s">
        <v>429</v>
      </c>
      <c r="D49" s="82" t="s">
        <v>984</v>
      </c>
      <c r="E49" s="40" t="s">
        <v>483</v>
      </c>
      <c r="F49" s="30" t="s">
        <v>897</v>
      </c>
      <c r="G49" s="30" t="s">
        <v>767</v>
      </c>
      <c r="H49" s="30" t="s">
        <v>545</v>
      </c>
      <c r="I49" s="40" t="s">
        <v>333</v>
      </c>
      <c r="J49" s="40" t="str">
        <f t="shared" si="0"/>
        <v>deployment_area_photos_taken</v>
      </c>
      <c r="K49" s="40" t="s">
        <v>741</v>
      </c>
      <c r="L49" s="34" t="str">
        <f>IF(VLOOKUP(J49,find_replace!H:H,1,"false")=J49,"TRUE","FALSE")</f>
        <v>TRUE</v>
      </c>
      <c r="M49" s="82" t="s">
        <v>410</v>
      </c>
      <c r="N49" s="82" t="s">
        <v>410</v>
      </c>
      <c r="O49" s="60" t="str">
        <f t="shared" si="1"/>
        <v xml:space="preserve">    term_deployment_area_photos_taken: "Deployment Area Photos Taken"</v>
      </c>
      <c r="P49" s="39"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40"/>
      <c r="R49" s="83" t="b">
        <v>0</v>
      </c>
      <c r="S49" s="86" t="b">
        <v>1</v>
      </c>
      <c r="T49" s="86" t="b">
        <v>1</v>
      </c>
      <c r="U49" s="85" t="s">
        <v>895</v>
      </c>
      <c r="V49" t="s">
        <v>896</v>
      </c>
      <c r="W49" s="13" t="s">
        <v>1816</v>
      </c>
      <c r="X49" t="s">
        <v>4582</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30"/>
      <c r="B50" s="30">
        <v>39</v>
      </c>
      <c r="C50" s="30" t="s">
        <v>429</v>
      </c>
      <c r="D50" s="82" t="s">
        <v>984</v>
      </c>
      <c r="E50" s="40" t="s">
        <v>484</v>
      </c>
      <c r="F50" s="30" t="s">
        <v>897</v>
      </c>
      <c r="G50" s="30" t="s">
        <v>767</v>
      </c>
      <c r="H50" s="30" t="s">
        <v>545</v>
      </c>
      <c r="I50" s="40" t="s">
        <v>331</v>
      </c>
      <c r="J50" s="40" t="str">
        <f t="shared" si="0"/>
        <v>deployment_comments</v>
      </c>
      <c r="K50" s="40" t="s">
        <v>742</v>
      </c>
      <c r="L50" s="34" t="str">
        <f>IF(VLOOKUP(J50,find_replace!H:H,1,"false")=J50,"TRUE","FALSE")</f>
        <v>TRUE</v>
      </c>
      <c r="M50" s="82" t="s">
        <v>332</v>
      </c>
      <c r="N50" s="82" t="s">
        <v>332</v>
      </c>
      <c r="O50" s="60" t="str">
        <f t="shared" si="1"/>
        <v xml:space="preserve">    term_deployment_comments: "Deployment Comments"</v>
      </c>
      <c r="P50" s="39" t="str">
        <f t="shared" si="2"/>
        <v xml:space="preserve">    def_deployment_comments: "Comments describing additional details about the deployment."</v>
      </c>
      <c r="Q50" s="40"/>
      <c r="R50" s="83" t="b">
        <v>0</v>
      </c>
      <c r="S50" s="86" t="b">
        <v>1</v>
      </c>
      <c r="T50" s="86" t="b">
        <v>1</v>
      </c>
      <c r="U50" s="85" t="s">
        <v>895</v>
      </c>
      <c r="V50" t="s">
        <v>896</v>
      </c>
      <c r="W50" s="13" t="s">
        <v>1816</v>
      </c>
      <c r="X50" t="s">
        <v>4582</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30"/>
      <c r="B51" s="30">
        <v>40</v>
      </c>
      <c r="C51" s="30" t="s">
        <v>429</v>
      </c>
      <c r="D51" s="82" t="s">
        <v>984</v>
      </c>
      <c r="E51" s="40" t="s">
        <v>4645</v>
      </c>
      <c r="F51" s="30" t="s">
        <v>897</v>
      </c>
      <c r="G51" s="30" t="s">
        <v>767</v>
      </c>
      <c r="H51" s="30" t="s">
        <v>545</v>
      </c>
      <c r="I51" s="40" t="s">
        <v>295</v>
      </c>
      <c r="J51" s="40" t="str">
        <f t="shared" si="0"/>
        <v>deployment_crew</v>
      </c>
      <c r="K51" s="40" t="s">
        <v>690</v>
      </c>
      <c r="L51" s="34" t="str">
        <f>IF(VLOOKUP(J51,find_replace!H:H,1,"false")=J51,"TRUE","FALSE")</f>
        <v>TRUE</v>
      </c>
      <c r="M51" s="82" t="s">
        <v>296</v>
      </c>
      <c r="N51" s="82" t="s">
        <v>296</v>
      </c>
      <c r="O51" s="60" t="str">
        <f t="shared" si="1"/>
        <v xml:space="preserve">    term_deployment_crew: "Deployment Crew"</v>
      </c>
      <c r="P51" s="39" t="str">
        <f t="shared" si="2"/>
        <v xml:space="preserve">    def_deployment_crew: "The first and last names of the individuals who collected data during the deployment visit."</v>
      </c>
      <c r="Q51" s="40"/>
      <c r="R51" s="83" t="b">
        <v>1</v>
      </c>
      <c r="S51" s="86" t="b">
        <v>1</v>
      </c>
      <c r="T51" s="86" t="b">
        <v>1</v>
      </c>
      <c r="U51" s="85" t="s">
        <v>895</v>
      </c>
      <c r="V51" t="s">
        <v>896</v>
      </c>
      <c r="W51" s="13" t="s">
        <v>1816</v>
      </c>
      <c r="X51" t="s">
        <v>4582</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30"/>
      <c r="B52" s="30">
        <v>41</v>
      </c>
      <c r="C52" s="30" t="s">
        <v>429</v>
      </c>
      <c r="D52" s="82" t="s">
        <v>984</v>
      </c>
      <c r="E52" s="40" t="s">
        <v>4643</v>
      </c>
      <c r="F52" s="30" t="s">
        <v>897</v>
      </c>
      <c r="G52" s="30" t="s">
        <v>767</v>
      </c>
      <c r="H52" s="30" t="s">
        <v>545</v>
      </c>
      <c r="I52" s="40" t="s">
        <v>293</v>
      </c>
      <c r="J52" s="40" t="str">
        <f t="shared" si="0"/>
        <v>deployment_end_date_time</v>
      </c>
      <c r="K52" s="40" t="s">
        <v>691</v>
      </c>
      <c r="L52" s="34" t="str">
        <f>IF(VLOOKUP(J52,find_replace!H:H,1,"false")=J52,"TRUE","FALSE")</f>
        <v>TRUE</v>
      </c>
      <c r="M52" s="82" t="s">
        <v>294</v>
      </c>
      <c r="N52" s="82" t="s">
        <v>294</v>
      </c>
      <c r="O52" s="60" t="str">
        <f t="shared" si="1"/>
        <v xml:space="preserve">    term_deployment_end_date_time: "Deployment End Date Time (DD-MMM-YYYY HH:MM:SS)"</v>
      </c>
      <c r="P52" s="39"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40"/>
      <c r="R52" s="83" t="b">
        <v>1</v>
      </c>
      <c r="S52" s="86" t="b">
        <v>1</v>
      </c>
      <c r="T52" s="86" t="b">
        <v>1</v>
      </c>
      <c r="U52" s="85" t="s">
        <v>895</v>
      </c>
      <c r="V52" t="s">
        <v>896</v>
      </c>
      <c r="W52" s="13" t="s">
        <v>1816</v>
      </c>
      <c r="X52" t="s">
        <v>4582</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30"/>
      <c r="B53" s="30">
        <v>42</v>
      </c>
      <c r="C53" s="30" t="s">
        <v>429</v>
      </c>
      <c r="D53" s="82" t="s">
        <v>984</v>
      </c>
      <c r="E53" s="40" t="s">
        <v>485</v>
      </c>
      <c r="F53" s="30" t="s">
        <v>897</v>
      </c>
      <c r="G53" s="30" t="s">
        <v>767</v>
      </c>
      <c r="H53" s="30" t="s">
        <v>545</v>
      </c>
      <c r="I53" s="40" t="s">
        <v>1250</v>
      </c>
      <c r="J53" s="40" t="str">
        <f t="shared" si="0"/>
        <v>deployment_img_count</v>
      </c>
      <c r="K53" s="40" t="s">
        <v>743</v>
      </c>
      <c r="L53" s="34" t="str">
        <f>IF(VLOOKUP(J53,find_replace!H:H,1,"false")=J53,"TRUE","FALSE")</f>
        <v>TRUE</v>
      </c>
      <c r="M53" s="82" t="s">
        <v>330</v>
      </c>
      <c r="N53" s="82" t="s">
        <v>330</v>
      </c>
      <c r="O53" s="60" t="str">
        <f t="shared" si="1"/>
        <v xml:space="preserve">    term_deployment_img_count: "Deployment Image Count"</v>
      </c>
      <c r="P53" s="39" t="str">
        <f t="shared" si="2"/>
        <v xml:space="preserve">    def_deployment_img_count: "The total number of images collected during the deployment, including false triggers (i.e., empty images with no wildlife or human present species) and those triggered by a time-lapse setting (if applicable)."</v>
      </c>
      <c r="Q53" s="40"/>
      <c r="R53" s="83" t="b">
        <v>0</v>
      </c>
      <c r="S53" s="86" t="b">
        <v>1</v>
      </c>
      <c r="T53" s="84" t="b">
        <v>0</v>
      </c>
      <c r="U53" s="85" t="s">
        <v>895</v>
      </c>
      <c r="V53" t="s">
        <v>896</v>
      </c>
      <c r="W53" s="13" t="s">
        <v>1816</v>
      </c>
      <c r="X53" t="s">
        <v>4582</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30"/>
      <c r="B54" s="30">
        <v>43</v>
      </c>
      <c r="C54" s="30" t="s">
        <v>0</v>
      </c>
      <c r="D54" s="82" t="s">
        <v>984</v>
      </c>
      <c r="E54" s="34" t="s">
        <v>213</v>
      </c>
      <c r="F54" s="30"/>
      <c r="G54" s="30" t="s">
        <v>767</v>
      </c>
      <c r="H54" s="30" t="s">
        <v>545</v>
      </c>
      <c r="I54" s="40" t="s">
        <v>211</v>
      </c>
      <c r="J54" s="40" t="str">
        <f t="shared" si="0"/>
        <v>deployment_metadata</v>
      </c>
      <c r="K54" s="34" t="s">
        <v>213</v>
      </c>
      <c r="L54" s="34" t="str">
        <f>IF(VLOOKUP(J54,find_replace!H:H,1,"false")=J54,"TRUE","FALSE")</f>
        <v>TRUE</v>
      </c>
      <c r="M54" s="82" t="s">
        <v>212</v>
      </c>
      <c r="N54" s="82" t="s">
        <v>212</v>
      </c>
      <c r="O54" s="60" t="str">
        <f t="shared" si="1"/>
        <v xml:space="preserve">    term_deployment_metadata: "Deployment metadata"</v>
      </c>
      <c r="P54" s="39"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40"/>
      <c r="R54" s="83" t="s">
        <v>51</v>
      </c>
      <c r="S54" s="86" t="b">
        <v>1</v>
      </c>
      <c r="T54" s="86" t="b">
        <v>1</v>
      </c>
      <c r="U54" s="85" t="s">
        <v>895</v>
      </c>
      <c r="V54" t="s">
        <v>896</v>
      </c>
      <c r="W54" s="13" t="s">
        <v>1816</v>
      </c>
      <c r="X54" t="s">
        <v>4582</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30"/>
      <c r="B55" s="30">
        <v>44</v>
      </c>
      <c r="C55" s="30" t="s">
        <v>429</v>
      </c>
      <c r="D55" s="82" t="s">
        <v>984</v>
      </c>
      <c r="E55" s="40" t="s">
        <v>4629</v>
      </c>
      <c r="F55" s="30" t="s">
        <v>897</v>
      </c>
      <c r="G55" s="30" t="s">
        <v>767</v>
      </c>
      <c r="H55" s="30" t="s">
        <v>545</v>
      </c>
      <c r="I55" s="40" t="s">
        <v>292</v>
      </c>
      <c r="J55" s="40" t="str">
        <f t="shared" si="0"/>
        <v>deployment_name</v>
      </c>
      <c r="K55" s="40" t="s">
        <v>692</v>
      </c>
      <c r="L55" s="34" t="str">
        <f>IF(VLOOKUP(J55,find_replace!H:H,1,"false")=J55,"TRUE","FALSE")</f>
        <v>TRUE</v>
      </c>
      <c r="M55" s="82" t="s">
        <v>833</v>
      </c>
      <c r="N55" s="82" t="s">
        <v>853</v>
      </c>
      <c r="O55" s="60" t="str">
        <f t="shared" si="1"/>
        <v xml:space="preserve">    term_deployment_name: "Deployment Name"</v>
      </c>
      <c r="P55" s="39"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40"/>
      <c r="R55" s="83" t="b">
        <v>1</v>
      </c>
      <c r="S55" s="86" t="b">
        <v>1</v>
      </c>
      <c r="T55" s="86" t="b">
        <v>1</v>
      </c>
      <c r="U55" s="85" t="s">
        <v>895</v>
      </c>
      <c r="V55" t="s">
        <v>896</v>
      </c>
      <c r="W55" s="13" t="s">
        <v>1816</v>
      </c>
      <c r="X55" t="s">
        <v>4582</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30"/>
      <c r="B56" s="30">
        <v>45</v>
      </c>
      <c r="C56" s="30" t="s">
        <v>429</v>
      </c>
      <c r="D56" s="82" t="s">
        <v>984</v>
      </c>
      <c r="E56" s="40" t="s">
        <v>4642</v>
      </c>
      <c r="F56" s="30" t="s">
        <v>897</v>
      </c>
      <c r="G56" s="30" t="s">
        <v>767</v>
      </c>
      <c r="H56" s="30" t="s">
        <v>545</v>
      </c>
      <c r="I56" s="40" t="s">
        <v>290</v>
      </c>
      <c r="J56" s="40" t="str">
        <f t="shared" si="0"/>
        <v>deployment_start_date_time</v>
      </c>
      <c r="K56" s="40" t="s">
        <v>693</v>
      </c>
      <c r="L56" s="34" t="str">
        <f>IF(VLOOKUP(J56,find_replace!H:H,1,"false")=J56,"TRUE","FALSE")</f>
        <v>TRUE</v>
      </c>
      <c r="M56" s="82" t="s">
        <v>291</v>
      </c>
      <c r="N56" s="82" t="s">
        <v>291</v>
      </c>
      <c r="O56" s="60" t="str">
        <f t="shared" si="1"/>
        <v xml:space="preserve">    term_deployment_start_date_time: "Deployment Start Date Time (DD-MMM-YYYY HH:MM:SS)"</v>
      </c>
      <c r="P56" s="39"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40"/>
      <c r="R56" s="83" t="b">
        <v>1</v>
      </c>
      <c r="S56" s="86" t="b">
        <v>1</v>
      </c>
      <c r="T56" s="86" t="b">
        <v>1</v>
      </c>
      <c r="U56" s="85" t="s">
        <v>895</v>
      </c>
      <c r="V56" t="s">
        <v>896</v>
      </c>
      <c r="W56" s="13" t="s">
        <v>1816</v>
      </c>
      <c r="X56" t="s">
        <v>4582</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30"/>
      <c r="B57" s="30">
        <v>46</v>
      </c>
      <c r="C57" s="30" t="s">
        <v>0</v>
      </c>
      <c r="D57" s="82" t="s">
        <v>984</v>
      </c>
      <c r="E57" s="34" t="s">
        <v>210</v>
      </c>
      <c r="F57" s="30"/>
      <c r="G57" s="30" t="s">
        <v>767</v>
      </c>
      <c r="H57" s="30" t="s">
        <v>545</v>
      </c>
      <c r="I57" s="40" t="s">
        <v>208</v>
      </c>
      <c r="J57" s="40" t="str">
        <f t="shared" si="0"/>
        <v>deployment_visit</v>
      </c>
      <c r="K57" s="34" t="s">
        <v>210</v>
      </c>
      <c r="L57" s="34" t="str">
        <f>IF(VLOOKUP(J57,find_replace!H:H,1,"false")=J57,"TRUE","FALSE")</f>
        <v>TRUE</v>
      </c>
      <c r="M57" s="82" t="s">
        <v>209</v>
      </c>
      <c r="N57" s="82" t="s">
        <v>209</v>
      </c>
      <c r="O57" s="60" t="str">
        <f t="shared" si="1"/>
        <v xml:space="preserve">    term_deployment_visit: "Deployment visit"</v>
      </c>
      <c r="P57" s="39" t="str">
        <f t="shared" si="2"/>
        <v xml:space="preserve">    def_deployment_visit: "When a crew has gone to a location to deploy a remote camera."</v>
      </c>
      <c r="Q57" s="40"/>
      <c r="R57" s="83" t="s">
        <v>51</v>
      </c>
      <c r="S57" s="86" t="b">
        <v>1</v>
      </c>
      <c r="T57" s="86" t="b">
        <v>1</v>
      </c>
      <c r="U57" s="85" t="s">
        <v>895</v>
      </c>
      <c r="V57" t="s">
        <v>896</v>
      </c>
      <c r="W57" s="13" t="s">
        <v>1816</v>
      </c>
      <c r="X57" t="s">
        <v>4582</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30"/>
      <c r="B58" s="30">
        <v>48</v>
      </c>
      <c r="C58" s="30" t="s">
        <v>0</v>
      </c>
      <c r="D58" s="82" t="s">
        <v>984</v>
      </c>
      <c r="E58" s="34" t="s">
        <v>206</v>
      </c>
      <c r="F58" s="30"/>
      <c r="G58" s="30" t="s">
        <v>767</v>
      </c>
      <c r="H58" s="40" t="s">
        <v>542</v>
      </c>
      <c r="I58" s="40" t="s">
        <v>205</v>
      </c>
      <c r="J58" s="40" t="str">
        <f t="shared" si="0"/>
        <v>detection_distance</v>
      </c>
      <c r="K58" s="34" t="s">
        <v>206</v>
      </c>
      <c r="L58" s="34" t="str">
        <f>IF(VLOOKUP(J58,find_replace!H:H,1,"false")=J58,"TRUE","FALSE")</f>
        <v>TRUE</v>
      </c>
      <c r="M58" s="98" t="s">
        <v>626</v>
      </c>
      <c r="N58" s="98" t="s">
        <v>626</v>
      </c>
      <c r="O58" s="60" t="str">
        <f t="shared" si="1"/>
        <v xml:space="preserve">    term_detection_distance: "Detection distance"</v>
      </c>
      <c r="P58" s="39" t="str">
        <f t="shared" si="2"/>
        <v xml:space="preserve">    def_detection_distance: "The maximum distance that a sensor can detect a target' (Wearn and Glover-Kapfer, 2017)."</v>
      </c>
      <c r="Q58" s="40"/>
      <c r="R58" s="83" t="s">
        <v>51</v>
      </c>
      <c r="S58" s="84" t="b">
        <v>0</v>
      </c>
      <c r="T58" s="86" t="b">
        <v>1</v>
      </c>
      <c r="U58" s="85" t="s">
        <v>895</v>
      </c>
      <c r="V58" t="s">
        <v>896</v>
      </c>
      <c r="W58" s="13" t="s">
        <v>1816</v>
      </c>
      <c r="X58" t="s">
        <v>4582</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30"/>
      <c r="B59" s="30">
        <v>47</v>
      </c>
      <c r="C59" s="30" t="s">
        <v>0</v>
      </c>
      <c r="D59" s="82" t="s">
        <v>984</v>
      </c>
      <c r="E59" s="34" t="s">
        <v>455</v>
      </c>
      <c r="F59" s="30"/>
      <c r="G59" s="30" t="s">
        <v>767</v>
      </c>
      <c r="H59" s="40" t="s">
        <v>542</v>
      </c>
      <c r="I59" s="40" t="s">
        <v>207</v>
      </c>
      <c r="J59" s="40" t="str">
        <f t="shared" si="0"/>
        <v>detection_event</v>
      </c>
      <c r="K59" s="34" t="s">
        <v>455</v>
      </c>
      <c r="L59" s="34" t="str">
        <f>IF(VLOOKUP(J59,find_replace!H:H,1,"false")=J59,"TRUE","FALSE")</f>
        <v>TRUE</v>
      </c>
      <c r="M59" s="82" t="s">
        <v>367</v>
      </c>
      <c r="N59" s="82" t="s">
        <v>367</v>
      </c>
      <c r="O59" s="60" t="str">
        <f t="shared" si="1"/>
        <v xml:space="preserve">    term_detection_event: "Detection 'event'"</v>
      </c>
      <c r="P59" s="39"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40"/>
      <c r="R59" s="83" t="s">
        <v>51</v>
      </c>
      <c r="S59" s="86" t="b">
        <v>1</v>
      </c>
      <c r="T59" s="86" t="b">
        <v>1</v>
      </c>
      <c r="U59" s="85" t="s">
        <v>895</v>
      </c>
      <c r="V59" t="s">
        <v>896</v>
      </c>
      <c r="W59" s="13" t="s">
        <v>1816</v>
      </c>
      <c r="X59" t="s">
        <v>4582</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30"/>
      <c r="B60" s="30">
        <v>49</v>
      </c>
      <c r="C60" s="30" t="s">
        <v>0</v>
      </c>
      <c r="D60" s="82" t="s">
        <v>984</v>
      </c>
      <c r="E60" s="34" t="s">
        <v>204</v>
      </c>
      <c r="F60" s="30"/>
      <c r="G60" s="30" t="s">
        <v>767</v>
      </c>
      <c r="H60" s="40" t="s">
        <v>542</v>
      </c>
      <c r="I60" s="40" t="s">
        <v>203</v>
      </c>
      <c r="J60" s="40" t="str">
        <f t="shared" si="0"/>
        <v>detection_probability</v>
      </c>
      <c r="K60" s="34" t="s">
        <v>204</v>
      </c>
      <c r="L60" s="34" t="str">
        <f>IF(VLOOKUP(J60,find_replace!H:H,1,"false")=J60,"TRUE","FALSE")</f>
        <v>TRUE</v>
      </c>
      <c r="M60" s="82" t="s">
        <v>4655</v>
      </c>
      <c r="N60" s="82" t="s">
        <v>4655</v>
      </c>
      <c r="O60" s="60" t="str">
        <f t="shared" si="1"/>
        <v xml:space="preserve">    term_detection_probability: "Detection probability (aka detectability)"</v>
      </c>
      <c r="P60" s="39" t="str">
        <f t="shared" si="2"/>
        <v xml:space="preserve">    def_detection_probability: "The probability (likelihood) that an individual of the population of interest is included in the count at time or location *i*."</v>
      </c>
      <c r="Q60" s="40"/>
      <c r="R60" s="83" t="s">
        <v>51</v>
      </c>
      <c r="S60" s="84" t="b">
        <v>0</v>
      </c>
      <c r="T60" s="86" t="b">
        <v>1</v>
      </c>
      <c r="U60" s="85" t="s">
        <v>895</v>
      </c>
      <c r="V60" t="s">
        <v>896</v>
      </c>
      <c r="W60" s="13" t="s">
        <v>1816</v>
      </c>
      <c r="X60" t="s">
        <v>4582</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30"/>
      <c r="B61" s="30">
        <v>50</v>
      </c>
      <c r="C61" s="30" t="s">
        <v>0</v>
      </c>
      <c r="D61" s="82" t="s">
        <v>984</v>
      </c>
      <c r="E61" s="34" t="s">
        <v>202</v>
      </c>
      <c r="F61" s="30"/>
      <c r="G61" s="30" t="s">
        <v>767</v>
      </c>
      <c r="H61" s="40" t="s">
        <v>542</v>
      </c>
      <c r="I61" s="40" t="s">
        <v>200</v>
      </c>
      <c r="J61" s="40" t="str">
        <f t="shared" si="0"/>
        <v>detection_rate</v>
      </c>
      <c r="K61" s="34" t="s">
        <v>202</v>
      </c>
      <c r="L61" s="34" t="str">
        <f>IF(VLOOKUP(J61,find_replace!H:H,1,"false")=J61,"TRUE","FALSE")</f>
        <v>TRUE</v>
      </c>
      <c r="M61" s="82" t="s">
        <v>201</v>
      </c>
      <c r="N61" s="82" t="s">
        <v>201</v>
      </c>
      <c r="O61" s="60" t="str">
        <f t="shared" si="1"/>
        <v xml:space="preserve">    term_detection_rate: "Detection rate"</v>
      </c>
      <c r="P61" s="39" t="str">
        <f t="shared" si="2"/>
        <v xml:space="preserve">    def_detection_rate: "The frequency of independent detections within a specified time period."</v>
      </c>
      <c r="Q61" s="40"/>
      <c r="R61" s="83" t="s">
        <v>51</v>
      </c>
      <c r="S61" s="84" t="b">
        <v>0</v>
      </c>
      <c r="T61" s="86" t="b">
        <v>1</v>
      </c>
      <c r="U61" s="85" t="s">
        <v>895</v>
      </c>
      <c r="V61" t="s">
        <v>896</v>
      </c>
      <c r="W61" s="13" t="s">
        <v>1816</v>
      </c>
      <c r="X61" t="s">
        <v>4582</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30"/>
      <c r="B62" s="30">
        <v>51</v>
      </c>
      <c r="C62" s="30" t="s">
        <v>0</v>
      </c>
      <c r="D62" s="82" t="s">
        <v>984</v>
      </c>
      <c r="E62" s="34" t="s">
        <v>199</v>
      </c>
      <c r="F62" s="30"/>
      <c r="G62" s="30" t="s">
        <v>767</v>
      </c>
      <c r="H62" s="40" t="s">
        <v>542</v>
      </c>
      <c r="I62" s="40" t="s">
        <v>197</v>
      </c>
      <c r="J62" s="40" t="str">
        <f t="shared" si="0"/>
        <v>detection_zone</v>
      </c>
      <c r="K62" s="34" t="s">
        <v>199</v>
      </c>
      <c r="L62" s="34" t="str">
        <f>IF(VLOOKUP(J62,find_replace!H:H,1,"false")=J62,"TRUE","FALSE")</f>
        <v>TRUE</v>
      </c>
      <c r="M62" s="82" t="s">
        <v>198</v>
      </c>
      <c r="N62" s="82" t="s">
        <v>198</v>
      </c>
      <c r="O62" s="60" t="str">
        <f t="shared" si="1"/>
        <v xml:space="preserve">    term_detection_zone: "Detection zone"</v>
      </c>
      <c r="P62" s="39" t="str">
        <f t="shared" si="2"/>
        <v xml:space="preserve">    def_detection_zone: "The area (conical in shape) in which a remote camera can detect the heat signature and motion of an object (Rovero &amp; Zimmermann, 2016) (Figure 5)."</v>
      </c>
      <c r="Q62" s="40"/>
      <c r="R62" s="83" t="s">
        <v>51</v>
      </c>
      <c r="S62" s="86" t="b">
        <v>1</v>
      </c>
      <c r="T62" s="86" t="b">
        <v>1</v>
      </c>
      <c r="U62" s="85" t="s">
        <v>895</v>
      </c>
      <c r="V62" t="s">
        <v>896</v>
      </c>
      <c r="W62" s="13" t="s">
        <v>1816</v>
      </c>
      <c r="X62" t="s">
        <v>4582</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30"/>
      <c r="B63" s="30">
        <v>52</v>
      </c>
      <c r="C63" s="30" t="s">
        <v>0</v>
      </c>
      <c r="D63" s="82" t="s">
        <v>984</v>
      </c>
      <c r="E63" s="34" t="s">
        <v>196</v>
      </c>
      <c r="F63" s="30" t="s">
        <v>897</v>
      </c>
      <c r="G63" s="30" t="s">
        <v>767</v>
      </c>
      <c r="H63" s="30" t="s">
        <v>4</v>
      </c>
      <c r="I63" s="30" t="s">
        <v>10</v>
      </c>
      <c r="J63" s="40" t="str">
        <f t="shared" si="0"/>
        <v>mod_ds</v>
      </c>
      <c r="K63" s="34" t="s">
        <v>196</v>
      </c>
      <c r="L63" s="34" t="str">
        <f>IF(VLOOKUP(J63,find_replace!H:H,1,"false")=J63,"TRUE","FALSE")</f>
        <v>TRUE</v>
      </c>
      <c r="M63" s="82" t="s">
        <v>834</v>
      </c>
      <c r="N63" s="82" t="s">
        <v>854</v>
      </c>
      <c r="O63" s="60" t="str">
        <f t="shared" si="1"/>
        <v xml:space="preserve">    term_mod_ds: "Distance sampling (DS) model (Howe et al., 2017)"</v>
      </c>
      <c r="P63" s="39" t="str">
        <f t="shared" si="2"/>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63" s="40"/>
      <c r="R63" s="83" t="s">
        <v>51</v>
      </c>
      <c r="S63" s="84" t="b">
        <v>0</v>
      </c>
      <c r="T63" s="86" t="b">
        <v>1</v>
      </c>
      <c r="U63" s="85" t="s">
        <v>895</v>
      </c>
      <c r="V63" t="s">
        <v>896</v>
      </c>
      <c r="W63" s="13" t="s">
        <v>1816</v>
      </c>
      <c r="X63" t="s">
        <v>4582</v>
      </c>
      <c r="Y63" t="str">
        <f t="shared" si="3"/>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64" spans="1:25">
      <c r="A64" s="30"/>
      <c r="B64" s="30">
        <v>53</v>
      </c>
      <c r="C64" s="30" t="s">
        <v>429</v>
      </c>
      <c r="D64" s="82" t="s">
        <v>984</v>
      </c>
      <c r="E64" s="34" t="s">
        <v>289</v>
      </c>
      <c r="F64" s="30" t="s">
        <v>897</v>
      </c>
      <c r="G64" s="30" t="s">
        <v>767</v>
      </c>
      <c r="H64" s="30" t="s">
        <v>547</v>
      </c>
      <c r="I64" s="40" t="s">
        <v>1221</v>
      </c>
      <c r="J64" s="40" t="str">
        <f t="shared" si="0"/>
        <v>easting_cam_location</v>
      </c>
      <c r="K64" s="34" t="s">
        <v>694</v>
      </c>
      <c r="L64" s="34" t="str">
        <f>IF(VLOOKUP(J64,find_replace!H:H,1,"false")=J64,"TRUE","FALSE")</f>
        <v>TRUE</v>
      </c>
      <c r="M64" s="82" t="s">
        <v>368</v>
      </c>
      <c r="N64" s="82" t="s">
        <v>368</v>
      </c>
      <c r="O64" s="60" t="str">
        <f t="shared" si="1"/>
        <v xml:space="preserve">    term_easting_cam_location: "Easting Camera Location"</v>
      </c>
      <c r="P64" s="39" t="str">
        <f t="shared" si="2"/>
        <v xml:space="preserve">    def_easting_cam_location: "The easting UTM coordinate of the camera location (e.g., '337875'). Record using the NAD83 datum. Leave blank if recording the Longitude instead."</v>
      </c>
      <c r="Q64" s="40" t="b">
        <v>1</v>
      </c>
      <c r="R64" s="83" t="b">
        <v>1</v>
      </c>
      <c r="S64" s="86" t="b">
        <v>1</v>
      </c>
      <c r="T64" s="86" t="b">
        <v>1</v>
      </c>
      <c r="U64" s="85" t="s">
        <v>895</v>
      </c>
      <c r="V64" t="s">
        <v>896</v>
      </c>
      <c r="W64" s="13" t="s">
        <v>1816</v>
      </c>
      <c r="X64" t="s">
        <v>4582</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30"/>
      <c r="B65" s="30">
        <v>54</v>
      </c>
      <c r="C65" s="30" t="s">
        <v>0</v>
      </c>
      <c r="D65" s="82" t="s">
        <v>984</v>
      </c>
      <c r="E65" s="34" t="s">
        <v>195</v>
      </c>
      <c r="F65" s="30"/>
      <c r="G65" s="30" t="s">
        <v>767</v>
      </c>
      <c r="H65" s="40" t="s">
        <v>542</v>
      </c>
      <c r="I65" s="40" t="s">
        <v>193</v>
      </c>
      <c r="J65" s="40" t="str">
        <f t="shared" si="0"/>
        <v>effective_detection_distance</v>
      </c>
      <c r="K65" s="34" t="s">
        <v>195</v>
      </c>
      <c r="L65" s="34" t="str">
        <f>IF(VLOOKUP(J65,find_replace!H:H,1,"false")=J65,"TRUE","FALSE")</f>
        <v>TRUE</v>
      </c>
      <c r="M65" s="82" t="s">
        <v>194</v>
      </c>
      <c r="N65" s="82" t="s">
        <v>194</v>
      </c>
      <c r="O65" s="60" t="str">
        <f t="shared" si="1"/>
        <v xml:space="preserve">    term_effective_detection_distance: "Effective detection distance"</v>
      </c>
      <c r="P65" s="39"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40"/>
      <c r="R65" s="83" t="s">
        <v>51</v>
      </c>
      <c r="S65" s="84" t="b">
        <v>0</v>
      </c>
      <c r="T65" s="86" t="b">
        <v>1</v>
      </c>
      <c r="U65" s="85" t="s">
        <v>895</v>
      </c>
      <c r="V65" t="s">
        <v>896</v>
      </c>
      <c r="W65" s="13" t="s">
        <v>1816</v>
      </c>
      <c r="X65" t="s">
        <v>4582</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ht="15">
      <c r="A66" s="30"/>
      <c r="B66" s="30"/>
      <c r="C66" s="30" t="s">
        <v>0</v>
      </c>
      <c r="D66" s="82" t="s">
        <v>984</v>
      </c>
      <c r="E66" s="30"/>
      <c r="F66" s="30"/>
      <c r="G66" s="30" t="s">
        <v>768</v>
      </c>
      <c r="H66" s="47"/>
      <c r="I66" s="31" t="s">
        <v>1784</v>
      </c>
      <c r="J66" s="40" t="str">
        <f t="shared" ref="J66:J129" si="4">IF(D66&lt;&gt;"-",I66&amp;"_"&amp;D66,I66)</f>
        <v>mod_divers_rich_rich_est</v>
      </c>
      <c r="K66" s="30" t="s">
        <v>1217</v>
      </c>
      <c r="L66" s="34" t="str">
        <f>IF(VLOOKUP(J66,find_replace!H:H,1,"false")=J66,"TRUE","FALSE")</f>
        <v>TRUE</v>
      </c>
      <c r="M66" s="51" t="s">
        <v>4623</v>
      </c>
      <c r="N66" s="51" t="s">
        <v>1838</v>
      </c>
      <c r="O66" s="60" t="str">
        <f t="shared" ref="O66:O129" si="5">IF(M66=999,"",("    term_"&amp;J66&amp;": """&amp;K66&amp;""""))</f>
        <v xml:space="preserve">    term_mod_divers_rich_rich_est: "Estimated species richness"</v>
      </c>
      <c r="P66" s="39" t="str">
        <f t="shared" ref="P66:P129" si="6">IF(M66="-","-",("    def_"&amp;J66&amp;": """&amp;M66&amp;""""))</f>
        <v xml:space="preserve">    def_mod_divers_rich_rich_est: "When the 'sum of the number of species seen' is adjusted based on corrections for '{{ tl_imperfect_detection }}' (i.e. the fact that some species in a given sample may have been missed)' ({{ rtxt_wearn_gloverkapfer_2017 }})"</v>
      </c>
      <c r="Q66" s="30"/>
      <c r="R66" s="30"/>
      <c r="S66" s="30"/>
      <c r="T66" s="30"/>
      <c r="U66" s="85" t="s">
        <v>895</v>
      </c>
      <c r="V66" t="s">
        <v>896</v>
      </c>
      <c r="W66" s="13" t="s">
        <v>1816</v>
      </c>
      <c r="X66" t="s">
        <v>4582</v>
      </c>
      <c r="Y66" t="str">
        <f t="shared" ref="Y66:Y129" si="7">IF(M66&lt;&gt;"-",("    "&amp;J66&amp;"_ti"&amp;": "&amp;""""&amp;"&lt;a href=\"&amp;""""&amp;"09_glossary.html#"&amp;J66&amp;V66&amp;K66&amp;": "&amp;M66&amp;W66&amp;""&amp;X66&amp;""""),"-")</f>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67" spans="1:25">
      <c r="A67" s="30"/>
      <c r="B67" s="30">
        <v>55</v>
      </c>
      <c r="C67" s="30" t="s">
        <v>429</v>
      </c>
      <c r="D67" s="82" t="s">
        <v>984</v>
      </c>
      <c r="E67" s="34" t="s">
        <v>4661</v>
      </c>
      <c r="F67" s="30" t="s">
        <v>897</v>
      </c>
      <c r="G67" s="30" t="s">
        <v>767</v>
      </c>
      <c r="H67" s="40" t="s">
        <v>1249</v>
      </c>
      <c r="I67" s="40" t="s">
        <v>288</v>
      </c>
      <c r="J67" s="40" t="str">
        <f t="shared" si="4"/>
        <v>event_type</v>
      </c>
      <c r="K67" s="34" t="s">
        <v>695</v>
      </c>
      <c r="L67" s="34" t="str">
        <f>IF(VLOOKUP(J67,find_replace!H:H,1,"false")=J67,"TRUE","FALSE")</f>
        <v>TRUE</v>
      </c>
      <c r="M67" s="82" t="s">
        <v>369</v>
      </c>
      <c r="N67" s="82" t="s">
        <v>369</v>
      </c>
      <c r="O67" s="60" t="str">
        <f t="shared" si="5"/>
        <v xml:space="preserve">    term_event_type: "Event Type"</v>
      </c>
      <c r="P67" s="39" t="str">
        <f t="shared" si="6"/>
        <v xml:space="preserve">    def_event_type: "Whether detections were reported as an individual image captured by the camera ('Image'), a 'Sequence,' or 'Tag.'"</v>
      </c>
      <c r="Q67" s="40"/>
      <c r="R67" s="83" t="b">
        <v>1</v>
      </c>
      <c r="S67" s="86" t="b">
        <v>1</v>
      </c>
      <c r="T67" s="84" t="b">
        <v>0</v>
      </c>
      <c r="U67" s="85" t="s">
        <v>895</v>
      </c>
      <c r="V67" t="s">
        <v>896</v>
      </c>
      <c r="W67" s="13" t="s">
        <v>1816</v>
      </c>
      <c r="X67" t="s">
        <v>4582</v>
      </c>
      <c r="Y67" t="str">
        <f t="shared" si="7"/>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8" spans="1:25">
      <c r="A68" s="30"/>
      <c r="B68" s="30">
        <v>56</v>
      </c>
      <c r="C68" s="30" t="s">
        <v>0</v>
      </c>
      <c r="D68" s="82" t="s">
        <v>984</v>
      </c>
      <c r="E68" s="34" t="s">
        <v>192</v>
      </c>
      <c r="F68" s="30"/>
      <c r="G68" s="30" t="s">
        <v>767</v>
      </c>
      <c r="H68" s="40" t="s">
        <v>542</v>
      </c>
      <c r="I68" s="40" t="s">
        <v>190</v>
      </c>
      <c r="J68" s="40" t="str">
        <f t="shared" si="4"/>
        <v>false_trigger</v>
      </c>
      <c r="K68" s="34" t="s">
        <v>192</v>
      </c>
      <c r="L68" s="34" t="str">
        <f>IF(VLOOKUP(J68,find_replace!H:H,1,"false")=J68,"TRUE","FALSE")</f>
        <v>TRUE</v>
      </c>
      <c r="M68" s="82" t="s">
        <v>191</v>
      </c>
      <c r="N68" s="82" t="s">
        <v>191</v>
      </c>
      <c r="O68" s="60" t="str">
        <f t="shared" si="5"/>
        <v xml:space="preserve">    term_false_trigger: "False trigger"</v>
      </c>
      <c r="P68" s="39" t="str">
        <f t="shared" si="6"/>
        <v xml:space="preserve">    def_false_trigger: "Blank images (no wildlife or human present). These images commonly occur when a camera is triggered by vegetation blowing in the wind."</v>
      </c>
      <c r="Q68" s="40"/>
      <c r="R68" s="83" t="s">
        <v>51</v>
      </c>
      <c r="S68" s="86" t="b">
        <v>1</v>
      </c>
      <c r="T68" s="86" t="b">
        <v>1</v>
      </c>
      <c r="U68" s="85" t="s">
        <v>895</v>
      </c>
      <c r="V68" t="s">
        <v>896</v>
      </c>
      <c r="W68" s="13" t="s">
        <v>1816</v>
      </c>
      <c r="X68" t="s">
        <v>4582</v>
      </c>
      <c r="Y68"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9" spans="1:25">
      <c r="A69" s="30"/>
      <c r="B69" s="30">
        <v>57</v>
      </c>
      <c r="C69" s="30" t="s">
        <v>0</v>
      </c>
      <c r="D69" s="82" t="s">
        <v>984</v>
      </c>
      <c r="E69" s="34" t="s">
        <v>189</v>
      </c>
      <c r="F69" s="30" t="s">
        <v>897</v>
      </c>
      <c r="G69" s="30" t="s">
        <v>767</v>
      </c>
      <c r="H69" s="40" t="s">
        <v>542</v>
      </c>
      <c r="I69" s="40" t="s">
        <v>188</v>
      </c>
      <c r="J69" s="40" t="str">
        <f t="shared" si="4"/>
        <v>field_of_view</v>
      </c>
      <c r="K69" s="34" t="s">
        <v>189</v>
      </c>
      <c r="L69" s="34" t="str">
        <f>IF(VLOOKUP(J69,find_replace!H:H,1,"false")=J69,"TRUE","FALSE")</f>
        <v>TRUE</v>
      </c>
      <c r="M69" s="82" t="s">
        <v>991</v>
      </c>
      <c r="N69" s="82" t="s">
        <v>847</v>
      </c>
      <c r="O69" s="60" t="str">
        <f t="shared" si="5"/>
        <v xml:space="preserve">    term_field_of_view: "Field of View (FOV)"</v>
      </c>
      <c r="P69" s="39" t="str">
        <f t="shared" si="6"/>
        <v xml:space="preserve">    def_field_of_view: "The extent of a scene that is visible in an image; a large FOV is obtained by 'zooming out' from a scene, whilst 'zooming in' will result in a smaller FOV ({{ rtxt_wearn_gloverkapfer_2017 }})."</v>
      </c>
      <c r="Q69" s="40"/>
      <c r="R69" s="83" t="s">
        <v>51</v>
      </c>
      <c r="S69" s="86" t="b">
        <v>1</v>
      </c>
      <c r="T69" s="86" t="b">
        <v>1</v>
      </c>
      <c r="U69" s="85" t="s">
        <v>895</v>
      </c>
      <c r="V69" t="s">
        <v>896</v>
      </c>
      <c r="W69" s="13" t="s">
        <v>1816</v>
      </c>
      <c r="X69" t="s">
        <v>4582</v>
      </c>
      <c r="Y69"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70" spans="1:25">
      <c r="A70" s="30"/>
      <c r="B70" s="30">
        <v>58</v>
      </c>
      <c r="C70" s="30" t="s">
        <v>0</v>
      </c>
      <c r="D70" s="82" t="s">
        <v>984</v>
      </c>
      <c r="E70" s="34" t="s">
        <v>187</v>
      </c>
      <c r="F70" s="30"/>
      <c r="G70" s="30" t="s">
        <v>767</v>
      </c>
      <c r="H70" s="30" t="s">
        <v>546</v>
      </c>
      <c r="I70" s="40" t="s">
        <v>185</v>
      </c>
      <c r="J70" s="40" t="str">
        <f t="shared" si="4"/>
        <v>settings_flash_output</v>
      </c>
      <c r="K70" s="34" t="s">
        <v>187</v>
      </c>
      <c r="L70" s="34" t="str">
        <f>IF(VLOOKUP(J70,find_replace!H:H,1,"false")=J70,"TRUE","FALSE")</f>
        <v>TRUE</v>
      </c>
      <c r="M70" s="82" t="s">
        <v>186</v>
      </c>
      <c r="N70" s="82" t="s">
        <v>186</v>
      </c>
      <c r="O70" s="60" t="str">
        <f t="shared" si="5"/>
        <v xml:space="preserve">    term_settings_flash_output: "Flash output"</v>
      </c>
      <c r="P70" s="39" t="str">
        <f t="shared" si="6"/>
        <v xml:space="preserve">    def_settings_flash_output: "The camera setting that provides the level of intensity of the flash (if enabled)."</v>
      </c>
      <c r="Q70" s="40"/>
      <c r="R70" s="83" t="s">
        <v>51</v>
      </c>
      <c r="S70" s="86" t="b">
        <v>1</v>
      </c>
      <c r="T70" s="86" t="b">
        <v>1</v>
      </c>
      <c r="U70" s="85" t="s">
        <v>895</v>
      </c>
      <c r="V70" t="s">
        <v>896</v>
      </c>
      <c r="W70" s="13" t="s">
        <v>1816</v>
      </c>
      <c r="X70" t="s">
        <v>4582</v>
      </c>
      <c r="Y70" t="str">
        <f t="shared" si="7"/>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71" spans="1:25">
      <c r="A71" s="30"/>
      <c r="B71" s="30">
        <v>59</v>
      </c>
      <c r="C71" s="30" t="s">
        <v>429</v>
      </c>
      <c r="D71" s="82" t="s">
        <v>984</v>
      </c>
      <c r="E71" s="34" t="s">
        <v>287</v>
      </c>
      <c r="F71" s="30" t="s">
        <v>897</v>
      </c>
      <c r="G71" s="30" t="s">
        <v>767</v>
      </c>
      <c r="H71" s="30" t="s">
        <v>543</v>
      </c>
      <c r="I71" s="40" t="s">
        <v>286</v>
      </c>
      <c r="J71" s="40" t="str">
        <f t="shared" si="4"/>
        <v>fov_target</v>
      </c>
      <c r="K71" s="34" t="s">
        <v>696</v>
      </c>
      <c r="L71" s="34" t="str">
        <f>IF(VLOOKUP(J71,find_replace!H:H,1,"false")=J71,"TRUE","FALSE")</f>
        <v>TRUE</v>
      </c>
      <c r="M71" s="82" t="s">
        <v>370</v>
      </c>
      <c r="N71" s="82" t="s">
        <v>370</v>
      </c>
      <c r="O71" s="60" t="str">
        <f t="shared" si="5"/>
        <v xml:space="preserve">    term_fov_target: "FOV Target Feature"</v>
      </c>
      <c r="P71" s="39"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1" s="40" t="b">
        <v>1</v>
      </c>
      <c r="R71" s="83" t="b">
        <v>1</v>
      </c>
      <c r="S71" s="86" t="b">
        <v>1</v>
      </c>
      <c r="T71" s="86" t="b">
        <v>1</v>
      </c>
      <c r="U71" s="85" t="s">
        <v>895</v>
      </c>
      <c r="V71" t="s">
        <v>896</v>
      </c>
      <c r="W71" s="13" t="s">
        <v>1816</v>
      </c>
      <c r="X71" t="s">
        <v>4582</v>
      </c>
      <c r="Y71"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2" spans="1:25">
      <c r="A72" s="30"/>
      <c r="B72" s="30">
        <v>60</v>
      </c>
      <c r="C72" s="30" t="s">
        <v>429</v>
      </c>
      <c r="D72" s="82" t="s">
        <v>984</v>
      </c>
      <c r="E72" s="34" t="s">
        <v>486</v>
      </c>
      <c r="F72" s="30" t="s">
        <v>897</v>
      </c>
      <c r="G72" s="30" t="s">
        <v>767</v>
      </c>
      <c r="H72" s="30" t="s">
        <v>543</v>
      </c>
      <c r="I72" s="40" t="s">
        <v>328</v>
      </c>
      <c r="J72" s="40" t="str">
        <f t="shared" si="4"/>
        <v>fov_target_distance</v>
      </c>
      <c r="K72" s="34" t="s">
        <v>744</v>
      </c>
      <c r="L72" s="34" t="str">
        <f>IF(VLOOKUP(J72,find_replace!H:H,1,"false")=J72,"TRUE","FALSE")</f>
        <v>TRUE</v>
      </c>
      <c r="M72" s="82" t="s">
        <v>329</v>
      </c>
      <c r="N72" s="82" t="s">
        <v>329</v>
      </c>
      <c r="O72" s="60" t="str">
        <f t="shared" si="5"/>
        <v xml:space="preserve">    term_fov_target_distance: "FOV Target Feature Distance (m)"</v>
      </c>
      <c r="P72" s="39" t="str">
        <f t="shared" si="6"/>
        <v xml:space="preserve">    def_fov_target_distance: "The distance from the camera to the FOV Target Feature (in metres; to the nearest 0.5 m). Leave blank if not applicable."</v>
      </c>
      <c r="Q72" s="40" t="b">
        <v>1</v>
      </c>
      <c r="R72" s="83" t="b">
        <v>0</v>
      </c>
      <c r="S72" s="86" t="b">
        <v>1</v>
      </c>
      <c r="T72" s="86" t="b">
        <v>1</v>
      </c>
      <c r="U72" s="85" t="s">
        <v>895</v>
      </c>
      <c r="V72" t="s">
        <v>896</v>
      </c>
      <c r="W72" s="13" t="s">
        <v>1816</v>
      </c>
      <c r="X72" t="s">
        <v>4582</v>
      </c>
      <c r="Y72"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3" spans="1:25">
      <c r="A73" s="30" t="s">
        <v>530</v>
      </c>
      <c r="B73" s="30"/>
      <c r="C73" s="30" t="s">
        <v>0</v>
      </c>
      <c r="D73" s="82" t="s">
        <v>984</v>
      </c>
      <c r="E73" s="30" t="s">
        <v>619</v>
      </c>
      <c r="F73" s="30"/>
      <c r="G73" s="30" t="s">
        <v>767</v>
      </c>
      <c r="H73" s="30" t="s">
        <v>815</v>
      </c>
      <c r="I73" s="30" t="s">
        <v>435</v>
      </c>
      <c r="J73" s="40" t="str">
        <f t="shared" si="4"/>
        <v>mod_divers_rich_gamma</v>
      </c>
      <c r="K73" s="30" t="s">
        <v>619</v>
      </c>
      <c r="L73" s="34" t="str">
        <f>IF(VLOOKUP(J73,find_replace!H:H,1,"false")=J73,"TRUE","FALSE")</f>
        <v>TRUE</v>
      </c>
      <c r="M73" s="54" t="s">
        <v>1002</v>
      </c>
      <c r="N73" s="54" t="s">
        <v>848</v>
      </c>
      <c r="O73" s="60" t="str">
        <f t="shared" si="5"/>
        <v xml:space="preserve">    term_mod_divers_rich_gamma: "Gamma richness (γ)"</v>
      </c>
      <c r="P73" s="39" t="str">
        <f t="shared" si="6"/>
        <v xml:space="preserve">    def_mod_divers_rich_gamma: "The number of species across a whole study area ({{ rtxt_wearn_gloverkapfer_2017 }})."</v>
      </c>
      <c r="Q73" s="30"/>
      <c r="R73" s="30"/>
      <c r="S73" s="30"/>
      <c r="T73" s="30"/>
      <c r="U73" s="85" t="s">
        <v>895</v>
      </c>
      <c r="V73" t="s">
        <v>896</v>
      </c>
      <c r="W73" s="13" t="s">
        <v>1816</v>
      </c>
      <c r="X73" t="s">
        <v>4582</v>
      </c>
      <c r="Y73"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74" spans="1:25">
      <c r="A74" s="30"/>
      <c r="B74" s="30">
        <v>61</v>
      </c>
      <c r="C74" s="30" t="s">
        <v>429</v>
      </c>
      <c r="D74" s="82" t="s">
        <v>984</v>
      </c>
      <c r="E74" s="40" t="s">
        <v>4650</v>
      </c>
      <c r="F74" s="30" t="s">
        <v>897</v>
      </c>
      <c r="G74" s="30" t="s">
        <v>767</v>
      </c>
      <c r="H74" s="30" t="s">
        <v>541</v>
      </c>
      <c r="I74" s="40" t="s">
        <v>285</v>
      </c>
      <c r="J74" s="40" t="str">
        <f t="shared" si="4"/>
        <v>gps_unit_accuracy</v>
      </c>
      <c r="K74" s="40" t="s">
        <v>697</v>
      </c>
      <c r="L74" s="34" t="str">
        <f>IF(VLOOKUP(J74,find_replace!H:H,1,"false")=J74,"TRUE","FALSE")</f>
        <v>TRUE</v>
      </c>
      <c r="M74" s="82" t="s">
        <v>371</v>
      </c>
      <c r="N74" s="82" t="s">
        <v>371</v>
      </c>
      <c r="O74" s="60" t="str">
        <f t="shared" si="5"/>
        <v xml:space="preserve">    term_gps_unit_accuracy: "GPS Unit Accuracy (m) "</v>
      </c>
      <c r="P74" s="39"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40"/>
      <c r="R74" s="83" t="b">
        <v>1</v>
      </c>
      <c r="S74" s="86" t="b">
        <v>1</v>
      </c>
      <c r="T74" s="86" t="b">
        <v>1</v>
      </c>
      <c r="U74" s="85" t="s">
        <v>895</v>
      </c>
      <c r="V74" t="s">
        <v>896</v>
      </c>
      <c r="W74" s="13" t="s">
        <v>1816</v>
      </c>
      <c r="X74" t="s">
        <v>4582</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30"/>
      <c r="B75" s="30"/>
      <c r="C75" s="30" t="s">
        <v>0</v>
      </c>
      <c r="D75" s="82" t="s">
        <v>984</v>
      </c>
      <c r="E75" s="30"/>
      <c r="F75" s="30"/>
      <c r="G75" s="30" t="s">
        <v>668</v>
      </c>
      <c r="H75" s="30" t="s">
        <v>4613</v>
      </c>
      <c r="I75" s="30" t="s">
        <v>4614</v>
      </c>
      <c r="J75" s="40" t="str">
        <f t="shared" si="4"/>
        <v>hr</v>
      </c>
      <c r="K75" s="30" t="s">
        <v>669</v>
      </c>
      <c r="L75" s="34" t="str">
        <f>IF(VLOOKUP(J75,find_replace!H:H,1,"false")=J75,"TRUE","FALSE")</f>
        <v>TRUE</v>
      </c>
      <c r="M75" s="54" t="s">
        <v>4620</v>
      </c>
      <c r="N75" s="54" t="s">
        <v>1792</v>
      </c>
      <c r="O75" s="60" t="str">
        <f t="shared" si="5"/>
        <v xml:space="preserve">    term_hr: "Home range"</v>
      </c>
      <c r="P75" s="39" t="str">
        <f t="shared" si="6"/>
        <v xml:space="preserve">    def_hr: "The area within which an animal normally lives and finds what it needs to survive and reproduce."</v>
      </c>
      <c r="Q75" s="30"/>
      <c r="R75" s="30"/>
      <c r="S75" s="30"/>
      <c r="T75" s="30"/>
      <c r="U75" s="85" t="s">
        <v>895</v>
      </c>
      <c r="V75" t="s">
        <v>896</v>
      </c>
      <c r="W75" s="13" t="s">
        <v>1816</v>
      </c>
      <c r="X75" t="s">
        <v>4582</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30"/>
      <c r="B76" s="30"/>
      <c r="C76" s="30" t="s">
        <v>0</v>
      </c>
      <c r="D76" s="82" t="s">
        <v>984</v>
      </c>
      <c r="E76" s="30"/>
      <c r="F76" s="30"/>
      <c r="G76" s="30" t="s">
        <v>668</v>
      </c>
      <c r="H76" s="30"/>
      <c r="I76" s="30" t="s">
        <v>4615</v>
      </c>
      <c r="J76" s="40" t="str">
        <f t="shared" si="4"/>
        <v>hr_size</v>
      </c>
      <c r="K76" s="30" t="s">
        <v>4475</v>
      </c>
      <c r="L76" s="34" t="e">
        <f>IF(VLOOKUP(J76,find_replace!H:H,1,"false")=J76,"TRUE","FALSE")</f>
        <v>#N/A</v>
      </c>
      <c r="M76" s="54" t="s">
        <v>4616</v>
      </c>
      <c r="N76" s="54" t="s">
        <v>4479</v>
      </c>
      <c r="O76" s="60" t="str">
        <f t="shared" si="5"/>
        <v xml:space="preserve">    term_hr_size: "Home range size"</v>
      </c>
      <c r="P76" s="39" t="str">
        <f t="shared" si="6"/>
        <v xml:space="preserve">    def_hr_size: "The size of the area within which an animal normally lives and finds what it needs to survive and reproduce."</v>
      </c>
      <c r="Q76" s="30"/>
      <c r="R76" s="30"/>
      <c r="S76" s="30"/>
      <c r="T76" s="30"/>
      <c r="U76" s="85" t="s">
        <v>895</v>
      </c>
      <c r="V76" t="s">
        <v>896</v>
      </c>
      <c r="W76" s="13" t="s">
        <v>1816</v>
      </c>
      <c r="X76" t="s">
        <v>4582</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30"/>
      <c r="B77" s="30">
        <v>62</v>
      </c>
      <c r="C77" s="30" t="s">
        <v>429</v>
      </c>
      <c r="D77" s="82" t="s">
        <v>984</v>
      </c>
      <c r="E77" s="40" t="s">
        <v>487</v>
      </c>
      <c r="F77" s="30" t="s">
        <v>897</v>
      </c>
      <c r="G77" s="30" t="s">
        <v>767</v>
      </c>
      <c r="H77" s="40" t="s">
        <v>1249</v>
      </c>
      <c r="I77" s="40" t="s">
        <v>327</v>
      </c>
      <c r="J77" s="40" t="str">
        <f t="shared" si="4"/>
        <v>human_transport_mode_activity</v>
      </c>
      <c r="K77" s="40" t="s">
        <v>745</v>
      </c>
      <c r="L77" s="34" t="str">
        <f>IF(VLOOKUP(J77,find_replace!H:H,1,"false")=J77,"TRUE","FALSE")</f>
        <v>TRUE</v>
      </c>
      <c r="M77" s="82" t="s">
        <v>372</v>
      </c>
      <c r="N77" s="82" t="s">
        <v>372</v>
      </c>
      <c r="O77" s="60" t="str">
        <f t="shared" si="5"/>
        <v xml:space="preserve">    term_human_transport_mode_activity: "Human Transport Mode/Activity"</v>
      </c>
      <c r="P77" s="39"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40" t="b">
        <v>1</v>
      </c>
      <c r="R77" s="83" t="b">
        <v>0</v>
      </c>
      <c r="S77" s="86" t="b">
        <v>1</v>
      </c>
      <c r="T77" s="84" t="b">
        <v>0</v>
      </c>
      <c r="U77" s="85" t="s">
        <v>895</v>
      </c>
      <c r="V77" t="s">
        <v>896</v>
      </c>
      <c r="W77" s="13" t="s">
        <v>1816</v>
      </c>
      <c r="X77" t="s">
        <v>4582</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30"/>
      <c r="B78" s="30">
        <v>63</v>
      </c>
      <c r="C78" s="30" t="s">
        <v>0</v>
      </c>
      <c r="D78" s="82" t="s">
        <v>984</v>
      </c>
      <c r="E78" s="34" t="s">
        <v>4625</v>
      </c>
      <c r="F78" s="30" t="s">
        <v>897</v>
      </c>
      <c r="G78" s="30" t="s">
        <v>767</v>
      </c>
      <c r="H78" s="30" t="s">
        <v>4</v>
      </c>
      <c r="I78" s="40" t="s">
        <v>446</v>
      </c>
      <c r="J78" s="40" t="str">
        <f t="shared" si="4"/>
        <v>mod_rai_hurdle</v>
      </c>
      <c r="K78" s="34" t="s">
        <v>4625</v>
      </c>
      <c r="L78" s="34" t="str">
        <f>IF(VLOOKUP(J78,find_replace!H:H,1,"false")=J78,"TRUE","FALSE")</f>
        <v>TRUE</v>
      </c>
      <c r="M78" s="82" t="s">
        <v>385</v>
      </c>
      <c r="N78" s="82" t="s">
        <v>385</v>
      </c>
      <c r="O78" s="60" t="str">
        <f t="shared" si="5"/>
        <v xml:space="preserve">    term_mod_rai_hurdle: "Hurdle model (Mullahy, 1986; Heilbron 1994)"</v>
      </c>
      <c r="P78" s="39"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78" s="40"/>
      <c r="R78" s="83" t="s">
        <v>51</v>
      </c>
      <c r="S78" s="84" t="b">
        <v>0</v>
      </c>
      <c r="T78" s="86" t="b">
        <v>1</v>
      </c>
      <c r="U78" s="85" t="s">
        <v>895</v>
      </c>
      <c r="V78" t="s">
        <v>896</v>
      </c>
      <c r="W78" s="13" t="s">
        <v>1816</v>
      </c>
      <c r="X78" t="s">
        <v>4582</v>
      </c>
      <c r="Y78"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79" spans="1:25">
      <c r="A79" s="30"/>
      <c r="B79" s="30">
        <v>64</v>
      </c>
      <c r="C79" s="30" t="s">
        <v>0</v>
      </c>
      <c r="D79" s="82" t="s">
        <v>984</v>
      </c>
      <c r="E79" s="34" t="s">
        <v>184</v>
      </c>
      <c r="F79" s="30"/>
      <c r="G79" s="30" t="s">
        <v>767</v>
      </c>
      <c r="H79" s="30" t="s">
        <v>183</v>
      </c>
      <c r="I79" s="40" t="s">
        <v>183</v>
      </c>
      <c r="J79" s="40" t="str">
        <f t="shared" si="4"/>
        <v>image</v>
      </c>
      <c r="K79" s="34" t="s">
        <v>184</v>
      </c>
      <c r="L79" s="34" t="str">
        <f>IF(VLOOKUP(J79,find_replace!H:H,1,"false")=J79,"TRUE","FALSE")</f>
        <v>TRUE</v>
      </c>
      <c r="M79" s="82" t="s">
        <v>373</v>
      </c>
      <c r="N79" s="82" t="s">
        <v>373</v>
      </c>
      <c r="O79" s="60" t="str">
        <f t="shared" si="5"/>
        <v xml:space="preserve">    term_image: "Image"</v>
      </c>
      <c r="P79" s="39" t="str">
        <f t="shared" si="6"/>
        <v xml:space="preserve">    def_image: "An individual image captured by a camera, which may be part of a multi-image sequence (recorded as 'Image Name')."</v>
      </c>
      <c r="Q79" s="40"/>
      <c r="R79" s="83" t="s">
        <v>51</v>
      </c>
      <c r="S79" s="86" t="b">
        <v>1</v>
      </c>
      <c r="T79" s="86" t="b">
        <v>1</v>
      </c>
      <c r="U79" s="85" t="s">
        <v>895</v>
      </c>
      <c r="V79" t="s">
        <v>896</v>
      </c>
      <c r="W79" s="13" t="s">
        <v>1816</v>
      </c>
      <c r="X79" t="s">
        <v>4582</v>
      </c>
      <c r="Y79"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80" spans="1:25">
      <c r="A80" s="30"/>
      <c r="B80" s="30">
        <v>65</v>
      </c>
      <c r="C80" s="30" t="s">
        <v>0</v>
      </c>
      <c r="D80" s="82" t="s">
        <v>984</v>
      </c>
      <c r="E80" s="34" t="s">
        <v>182</v>
      </c>
      <c r="F80" s="30"/>
      <c r="G80" s="30" t="s">
        <v>767</v>
      </c>
      <c r="H80" s="40" t="s">
        <v>1249</v>
      </c>
      <c r="I80" s="40" t="s">
        <v>1251</v>
      </c>
      <c r="J80" s="40" t="str">
        <f t="shared" si="4"/>
        <v>img_classification</v>
      </c>
      <c r="K80" s="34" t="s">
        <v>182</v>
      </c>
      <c r="L80" s="34" t="str">
        <f>IF(VLOOKUP(J80,find_replace!H:H,1,"false")=J80,"TRUE","FALSE")</f>
        <v>TRUE</v>
      </c>
      <c r="M80" s="82" t="s">
        <v>374</v>
      </c>
      <c r="N80" s="82" t="s">
        <v>374</v>
      </c>
      <c r="O80" s="60" t="str">
        <f t="shared" si="5"/>
        <v xml:space="preserve">    term_img_classification: "Image classification"</v>
      </c>
      <c r="P80" s="39"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80" s="40"/>
      <c r="R80" s="83" t="s">
        <v>51</v>
      </c>
      <c r="S80" s="84" t="b">
        <v>0</v>
      </c>
      <c r="T80" s="86" t="b">
        <v>1</v>
      </c>
      <c r="U80" s="85" t="s">
        <v>895</v>
      </c>
      <c r="V80" t="s">
        <v>896</v>
      </c>
      <c r="W80" s="13" t="s">
        <v>1816</v>
      </c>
      <c r="X80" t="s">
        <v>4582</v>
      </c>
      <c r="Y80"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1" spans="1:26">
      <c r="A81" s="30"/>
      <c r="B81" s="30">
        <v>66</v>
      </c>
      <c r="C81" s="30" t="s">
        <v>0</v>
      </c>
      <c r="D81" s="82" t="s">
        <v>984</v>
      </c>
      <c r="E81" s="34" t="s">
        <v>181</v>
      </c>
      <c r="F81" s="30"/>
      <c r="G81" s="30" t="s">
        <v>767</v>
      </c>
      <c r="H81" s="40" t="s">
        <v>1249</v>
      </c>
      <c r="I81" s="40" t="s">
        <v>1252</v>
      </c>
      <c r="J81" s="40" t="str">
        <f t="shared" si="4"/>
        <v>img_classification_confidence</v>
      </c>
      <c r="K81" s="34" t="s">
        <v>181</v>
      </c>
      <c r="L81" s="34" t="str">
        <f>IF(VLOOKUP(J81,find_replace!H:H,1,"false")=J81,"TRUE","FALSE")</f>
        <v>TRUE</v>
      </c>
      <c r="M81" s="82" t="s">
        <v>180</v>
      </c>
      <c r="N81" s="82" t="s">
        <v>180</v>
      </c>
      <c r="O81" s="60" t="str">
        <f t="shared" si="5"/>
        <v xml:space="preserve">    term_img_classification_confidence: "Image classification confidence "</v>
      </c>
      <c r="P81" s="39" t="str">
        <f t="shared" si="6"/>
        <v xml:space="preserve">    def_img_classification_confidence: "The likelihood of an image containing an object of a certain class (Fennell et al., 2022)."</v>
      </c>
      <c r="Q81" s="40"/>
      <c r="R81" s="83" t="s">
        <v>51</v>
      </c>
      <c r="S81" s="84" t="b">
        <v>0</v>
      </c>
      <c r="T81" s="86" t="b">
        <v>1</v>
      </c>
      <c r="U81" s="85" t="s">
        <v>895</v>
      </c>
      <c r="V81" t="s">
        <v>896</v>
      </c>
      <c r="W81" s="13" t="s">
        <v>1816</v>
      </c>
      <c r="X81" t="s">
        <v>4582</v>
      </c>
      <c r="Y81"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2" spans="1:26">
      <c r="A82" s="30"/>
      <c r="B82" s="30">
        <v>67</v>
      </c>
      <c r="C82" s="30" t="s">
        <v>429</v>
      </c>
      <c r="D82" s="82" t="s">
        <v>984</v>
      </c>
      <c r="E82" s="40" t="s">
        <v>488</v>
      </c>
      <c r="F82" s="30" t="s">
        <v>897</v>
      </c>
      <c r="G82" s="30" t="s">
        <v>767</v>
      </c>
      <c r="H82" s="30" t="s">
        <v>1253</v>
      </c>
      <c r="I82" s="40" t="s">
        <v>1254</v>
      </c>
      <c r="J82" s="40" t="str">
        <f t="shared" si="4"/>
        <v>img_flash_output</v>
      </c>
      <c r="K82" s="40" t="s">
        <v>746</v>
      </c>
      <c r="L82" s="34" t="str">
        <f>IF(VLOOKUP(J82,find_replace!H:H,1,"false")=J82,"TRUE","FALSE")</f>
        <v>TRUE</v>
      </c>
      <c r="M82" s="82" t="s">
        <v>411</v>
      </c>
      <c r="N82" s="82" t="s">
        <v>411</v>
      </c>
      <c r="O82" s="60" t="str">
        <f t="shared" si="5"/>
        <v xml:space="preserve">    term_img_flash_output: "Image Flash Output"</v>
      </c>
      <c r="P82" s="39"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2" s="40" t="b">
        <v>1</v>
      </c>
      <c r="R82" s="83" t="b">
        <v>0</v>
      </c>
      <c r="S82" s="86" t="b">
        <v>1</v>
      </c>
      <c r="T82" s="84" t="b">
        <v>0</v>
      </c>
      <c r="U82" s="85" t="s">
        <v>895</v>
      </c>
      <c r="V82" t="s">
        <v>896</v>
      </c>
      <c r="W82" s="13" t="s">
        <v>1816</v>
      </c>
      <c r="X82" t="s">
        <v>4582</v>
      </c>
      <c r="Y82"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3" spans="1:26">
      <c r="A83" s="30"/>
      <c r="B83" s="30">
        <v>68</v>
      </c>
      <c r="C83" s="30" t="s">
        <v>429</v>
      </c>
      <c r="D83" s="82" t="s">
        <v>984</v>
      </c>
      <c r="E83" s="40" t="s">
        <v>489</v>
      </c>
      <c r="F83" s="30" t="s">
        <v>897</v>
      </c>
      <c r="G83" s="30" t="s">
        <v>767</v>
      </c>
      <c r="H83" s="30" t="s">
        <v>1253</v>
      </c>
      <c r="I83" s="40" t="s">
        <v>1255</v>
      </c>
      <c r="J83" s="40" t="str">
        <f t="shared" si="4"/>
        <v>img_infrared_illuminator</v>
      </c>
      <c r="K83" s="40" t="s">
        <v>747</v>
      </c>
      <c r="L83" s="34" t="str">
        <f>IF(VLOOKUP(J83,find_replace!H:H,1,"false")=J83,"TRUE","FALSE")</f>
        <v>TRUE</v>
      </c>
      <c r="M83" s="82" t="s">
        <v>375</v>
      </c>
      <c r="N83" s="82" t="s">
        <v>375</v>
      </c>
      <c r="O83" s="60" t="str">
        <f t="shared" si="5"/>
        <v xml:space="preserve">    term_img_infrared_illuminator: "Image Infrared Illuminator"</v>
      </c>
      <c r="P83" s="39"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3" s="40" t="b">
        <v>1</v>
      </c>
      <c r="R83" s="83" t="b">
        <v>0</v>
      </c>
      <c r="S83" s="86" t="b">
        <v>1</v>
      </c>
      <c r="T83" s="84" t="b">
        <v>0</v>
      </c>
      <c r="U83" s="85" t="s">
        <v>895</v>
      </c>
      <c r="V83" t="s">
        <v>896</v>
      </c>
      <c r="W83" s="13" t="s">
        <v>1816</v>
      </c>
      <c r="X83" t="s">
        <v>4582</v>
      </c>
      <c r="Y83"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4" spans="1:26">
      <c r="A84" s="30"/>
      <c r="B84" s="30">
        <v>69</v>
      </c>
      <c r="C84" s="30" t="s">
        <v>429</v>
      </c>
      <c r="D84" s="82" t="s">
        <v>984</v>
      </c>
      <c r="E84" s="40" t="s">
        <v>4632</v>
      </c>
      <c r="F84" s="30" t="s">
        <v>897</v>
      </c>
      <c r="G84" s="30" t="s">
        <v>767</v>
      </c>
      <c r="H84" s="30" t="s">
        <v>544</v>
      </c>
      <c r="I84" s="40" t="s">
        <v>1256</v>
      </c>
      <c r="J84" s="40" t="str">
        <f t="shared" si="4"/>
        <v>img_name</v>
      </c>
      <c r="K84" s="40" t="s">
        <v>698</v>
      </c>
      <c r="L84" s="34" t="str">
        <f>IF(VLOOKUP(J84,find_replace!H:H,1,"false")=J84,"TRUE","FALSE")</f>
        <v>TRUE</v>
      </c>
      <c r="M84" s="82" t="s">
        <v>376</v>
      </c>
      <c r="N84" s="82" t="s">
        <v>376</v>
      </c>
      <c r="O84" s="60" t="str">
        <f t="shared" si="5"/>
        <v xml:space="preserve">    term_img_name: "Image Name"</v>
      </c>
      <c r="P84" s="39"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4" s="40"/>
      <c r="R84" s="83" t="b">
        <v>1</v>
      </c>
      <c r="S84" s="86" t="b">
        <v>1</v>
      </c>
      <c r="T84" s="86" t="b">
        <v>1</v>
      </c>
      <c r="U84" s="85" t="s">
        <v>895</v>
      </c>
      <c r="V84" t="s">
        <v>896</v>
      </c>
      <c r="W84" s="13" t="s">
        <v>1816</v>
      </c>
      <c r="X84" t="s">
        <v>4582</v>
      </c>
      <c r="Y84"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5" spans="1:26">
      <c r="A85" s="30"/>
      <c r="B85" s="30">
        <v>70</v>
      </c>
      <c r="C85" s="30" t="s">
        <v>0</v>
      </c>
      <c r="D85" s="82" t="s">
        <v>984</v>
      </c>
      <c r="E85" s="40" t="s">
        <v>179</v>
      </c>
      <c r="F85" s="30"/>
      <c r="G85" s="30" t="s">
        <v>767</v>
      </c>
      <c r="H85" s="40" t="s">
        <v>1249</v>
      </c>
      <c r="I85" s="40" t="s">
        <v>1249</v>
      </c>
      <c r="J85" s="40" t="str">
        <f t="shared" si="4"/>
        <v>img_processing</v>
      </c>
      <c r="K85" s="40" t="s">
        <v>179</v>
      </c>
      <c r="L85" s="34" t="str">
        <f>IF(VLOOKUP(J85,find_replace!H:H,1,"false")=J85,"TRUE","FALSE")</f>
        <v>TRUE</v>
      </c>
      <c r="M85" s="82" t="s">
        <v>178</v>
      </c>
      <c r="N85" s="82" t="s">
        <v>178</v>
      </c>
      <c r="O85" s="60" t="str">
        <f t="shared" si="5"/>
        <v xml:space="preserve">    term_img_processing: "Image processing"</v>
      </c>
      <c r="P85" s="39"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5" s="40"/>
      <c r="R85" s="83" t="s">
        <v>51</v>
      </c>
      <c r="S85" s="86" t="b">
        <v>1</v>
      </c>
      <c r="T85" s="86" t="b">
        <v>1</v>
      </c>
      <c r="U85" s="85" t="s">
        <v>895</v>
      </c>
      <c r="V85" t="s">
        <v>896</v>
      </c>
      <c r="W85" s="13" t="s">
        <v>1816</v>
      </c>
      <c r="X85" t="s">
        <v>4582</v>
      </c>
      <c r="Y85"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6" spans="1:26">
      <c r="A86" s="30"/>
      <c r="B86" s="30">
        <v>71</v>
      </c>
      <c r="C86" s="30" t="s">
        <v>0</v>
      </c>
      <c r="D86" s="82" t="s">
        <v>984</v>
      </c>
      <c r="E86" s="40" t="s">
        <v>177</v>
      </c>
      <c r="F86" s="30" t="s">
        <v>897</v>
      </c>
      <c r="G86" s="30" t="s">
        <v>767</v>
      </c>
      <c r="H86" s="40" t="s">
        <v>1249</v>
      </c>
      <c r="I86" s="40" t="s">
        <v>1257</v>
      </c>
      <c r="J86" s="40" t="str">
        <f t="shared" si="4"/>
        <v>img_sequence</v>
      </c>
      <c r="K86" s="40" t="s">
        <v>177</v>
      </c>
      <c r="L86" s="34" t="str">
        <f>IF(VLOOKUP(J86,find_replace!H:H,1,"false")=J86,"TRUE","FALSE")</f>
        <v>TRUE</v>
      </c>
      <c r="M86" s="82" t="s">
        <v>377</v>
      </c>
      <c r="N86" s="82" t="s">
        <v>377</v>
      </c>
      <c r="O86" s="60" t="str">
        <f t="shared" si="5"/>
        <v xml:space="preserve">    term_img_sequence: "Image Sequence"</v>
      </c>
      <c r="P86" s="39" t="str">
        <f t="shared" si="6"/>
        <v xml:space="preserve">    def_img_sequence: "The order of the image in a rapid-fire sequence as reported in the image Exif data (text; e.g., '1 of 1' or '1 of 3'). Leave blank if not applicable."</v>
      </c>
      <c r="Q86" s="40" t="b">
        <v>1</v>
      </c>
      <c r="R86" s="83" t="s">
        <v>51</v>
      </c>
      <c r="S86" s="86" t="b">
        <v>1</v>
      </c>
      <c r="T86" s="86" t="b">
        <v>0</v>
      </c>
      <c r="U86" s="85" t="s">
        <v>895</v>
      </c>
      <c r="V86" t="s">
        <v>896</v>
      </c>
      <c r="W86" s="13" t="s">
        <v>1816</v>
      </c>
      <c r="X86" t="s">
        <v>4582</v>
      </c>
      <c r="Y86"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7" spans="1:26">
      <c r="A87" s="30"/>
      <c r="B87" s="30">
        <v>72</v>
      </c>
      <c r="C87" s="30" t="s">
        <v>429</v>
      </c>
      <c r="D87" s="82" t="s">
        <v>984</v>
      </c>
      <c r="E87" s="40" t="s">
        <v>4641</v>
      </c>
      <c r="F87" s="30" t="s">
        <v>897</v>
      </c>
      <c r="G87" s="30" t="s">
        <v>767</v>
      </c>
      <c r="H87" s="30" t="s">
        <v>1260</v>
      </c>
      <c r="I87" s="40" t="s">
        <v>1261</v>
      </c>
      <c r="J87" s="40" t="str">
        <f t="shared" si="4"/>
        <v>img_set_end_date_time</v>
      </c>
      <c r="K87" s="40" t="s">
        <v>700</v>
      </c>
      <c r="L87" s="34" t="str">
        <f>IF(VLOOKUP(J87,find_replace!H:H,1,"false")=J87,"TRUE","FALSE")</f>
        <v>TRUE</v>
      </c>
      <c r="M87" s="82" t="s">
        <v>378</v>
      </c>
      <c r="N87" s="82" t="s">
        <v>378</v>
      </c>
      <c r="O87" s="60" t="str">
        <f t="shared" si="5"/>
        <v xml:space="preserve">    term_img_set_end_date_time: "Image Set End Date Time (DD-MMM-YYYY HH:MM:SS)"</v>
      </c>
      <c r="P87" s="39"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7" s="40"/>
      <c r="R87" s="83" t="b">
        <v>1</v>
      </c>
      <c r="S87" s="86" t="b">
        <v>1</v>
      </c>
      <c r="T87" s="86" t="b">
        <v>1</v>
      </c>
      <c r="U87" s="85" t="s">
        <v>895</v>
      </c>
      <c r="V87" t="s">
        <v>896</v>
      </c>
      <c r="W87" s="13" t="s">
        <v>1816</v>
      </c>
      <c r="X87" t="s">
        <v>4582</v>
      </c>
      <c r="Y87"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8" spans="1:26">
      <c r="A88" s="30"/>
      <c r="B88" s="30">
        <v>73</v>
      </c>
      <c r="C88" s="30" t="s">
        <v>429</v>
      </c>
      <c r="D88" s="82" t="s">
        <v>984</v>
      </c>
      <c r="E88" s="40" t="s">
        <v>4640</v>
      </c>
      <c r="F88" s="30" t="s">
        <v>897</v>
      </c>
      <c r="G88" s="30" t="s">
        <v>767</v>
      </c>
      <c r="H88" s="30" t="s">
        <v>1260</v>
      </c>
      <c r="I88" s="40" t="s">
        <v>1262</v>
      </c>
      <c r="J88" s="40" t="str">
        <f t="shared" si="4"/>
        <v>img_set_start_date_time</v>
      </c>
      <c r="K88" s="40" t="s">
        <v>701</v>
      </c>
      <c r="L88" s="34" t="str">
        <f>IF(VLOOKUP(J88,find_replace!H:H,1,"false")=J88,"TRUE","FALSE")</f>
        <v>TRUE</v>
      </c>
      <c r="M88" s="82" t="s">
        <v>379</v>
      </c>
      <c r="N88" s="82" t="s">
        <v>379</v>
      </c>
      <c r="O88" s="60" t="str">
        <f t="shared" si="5"/>
        <v xml:space="preserve">    term_img_set_start_date_time: "Image Set Start Date Time (DD-MMM-YYYY HH:MM:SS)"</v>
      </c>
      <c r="P88" s="39"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8" s="40"/>
      <c r="R88" s="83" t="b">
        <v>1</v>
      </c>
      <c r="S88" s="86" t="b">
        <v>1</v>
      </c>
      <c r="T88" s="86" t="b">
        <v>1</v>
      </c>
      <c r="U88" s="85" t="s">
        <v>895</v>
      </c>
      <c r="V88" t="s">
        <v>896</v>
      </c>
      <c r="W88" s="13" t="s">
        <v>1816</v>
      </c>
      <c r="X88" t="s">
        <v>4582</v>
      </c>
      <c r="Y88"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89" spans="1:26">
      <c r="A89" s="30"/>
      <c r="B89" s="30">
        <v>74</v>
      </c>
      <c r="C89" s="30" t="s">
        <v>0</v>
      </c>
      <c r="D89" s="82" t="s">
        <v>984</v>
      </c>
      <c r="E89" s="34" t="s">
        <v>176</v>
      </c>
      <c r="F89" s="30"/>
      <c r="G89" s="30" t="s">
        <v>767</v>
      </c>
      <c r="H89" s="40" t="s">
        <v>1249</v>
      </c>
      <c r="I89" s="40" t="s">
        <v>1263</v>
      </c>
      <c r="J89" s="40" t="str">
        <f t="shared" si="4"/>
        <v>img_tagging</v>
      </c>
      <c r="K89" s="34" t="s">
        <v>176</v>
      </c>
      <c r="L89" s="34" t="str">
        <f>IF(VLOOKUP(J89,find_replace!H:H,1,"false")=J89,"TRUE","FALSE")</f>
        <v>TRUE</v>
      </c>
      <c r="M89" s="82" t="s">
        <v>175</v>
      </c>
      <c r="N89" s="82" t="s">
        <v>175</v>
      </c>
      <c r="O89" s="60" t="str">
        <f t="shared" si="5"/>
        <v xml:space="preserve">    term_img_tagging: "Image tagging"</v>
      </c>
      <c r="P89" s="39"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89" s="40"/>
      <c r="R89" s="83" t="s">
        <v>51</v>
      </c>
      <c r="S89" s="84" t="b">
        <v>0</v>
      </c>
      <c r="T89" s="86" t="b">
        <v>1</v>
      </c>
      <c r="U89" s="85" t="s">
        <v>895</v>
      </c>
      <c r="V89" t="s">
        <v>896</v>
      </c>
      <c r="W89" s="13" t="s">
        <v>1816</v>
      </c>
      <c r="X89" t="s">
        <v>4582</v>
      </c>
      <c r="Y89"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0" spans="1:26">
      <c r="A90" s="30"/>
      <c r="B90" s="30">
        <v>75</v>
      </c>
      <c r="C90" s="30" t="s">
        <v>429</v>
      </c>
      <c r="D90" s="82" t="s">
        <v>984</v>
      </c>
      <c r="E90" s="40" t="s">
        <v>490</v>
      </c>
      <c r="F90" s="30" t="s">
        <v>897</v>
      </c>
      <c r="G90" s="30" t="s">
        <v>767</v>
      </c>
      <c r="H90" s="30" t="s">
        <v>1253</v>
      </c>
      <c r="I90" s="40" t="s">
        <v>1264</v>
      </c>
      <c r="J90" s="40" t="str">
        <f t="shared" si="4"/>
        <v>img_trigger_mode</v>
      </c>
      <c r="K90" s="40" t="s">
        <v>749</v>
      </c>
      <c r="L90" s="34" t="str">
        <f>IF(VLOOKUP(J90,find_replace!H:H,1,"false")=J90,"TRUE","FALSE")</f>
        <v>TRUE</v>
      </c>
      <c r="M90" s="82" t="s">
        <v>380</v>
      </c>
      <c r="N90" s="82" t="s">
        <v>380</v>
      </c>
      <c r="O90" s="60" t="str">
        <f t="shared" si="5"/>
        <v xml:space="preserve">    term_img_trigger_mode: "Image Trigger Mode"</v>
      </c>
      <c r="P90" s="39" t="str">
        <f t="shared" si="6"/>
        <v xml:space="preserve">    def_img_trigger_mode: "The type of trigger mode used to capture the image as reported in the image Exif data (e.g., 'Time Lapse,' 'Motion Detection,' 'CodeLoc Not Entered,' 'External Sensor'). Record 'Unknown' if not known."</v>
      </c>
      <c r="Q90" s="40" t="b">
        <v>1</v>
      </c>
      <c r="R90" s="83" t="b">
        <v>0</v>
      </c>
      <c r="S90" s="86" t="b">
        <v>1</v>
      </c>
      <c r="T90" s="84" t="b">
        <v>0</v>
      </c>
      <c r="U90" s="85" t="s">
        <v>895</v>
      </c>
      <c r="V90" t="s">
        <v>896</v>
      </c>
      <c r="W90" s="13" t="s">
        <v>1816</v>
      </c>
      <c r="X90" t="s">
        <v>4582</v>
      </c>
      <c r="Y90"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1" spans="1:26">
      <c r="A91" s="30"/>
      <c r="B91" s="30">
        <v>76</v>
      </c>
      <c r="C91" s="30" t="s">
        <v>429</v>
      </c>
      <c r="D91" s="82" t="s">
        <v>984</v>
      </c>
      <c r="E91" s="40" t="s">
        <v>491</v>
      </c>
      <c r="F91" s="30" t="s">
        <v>897</v>
      </c>
      <c r="G91" s="30" t="s">
        <v>767</v>
      </c>
      <c r="H91" s="30" t="s">
        <v>183</v>
      </c>
      <c r="I91" s="40" t="s">
        <v>1258</v>
      </c>
      <c r="J91" s="40" t="str">
        <f t="shared" si="4"/>
        <v>img_sequence_comments</v>
      </c>
      <c r="K91" s="40" t="s">
        <v>748</v>
      </c>
      <c r="L91" s="34" t="str">
        <f>IF(VLOOKUP(J91,find_replace!H:H,1,"false")=J91,"TRUE","FALSE")</f>
        <v>TRUE</v>
      </c>
      <c r="M91" s="82" t="s">
        <v>412</v>
      </c>
      <c r="N91" s="82" t="s">
        <v>412</v>
      </c>
      <c r="O91" s="60" t="str">
        <f t="shared" si="5"/>
        <v xml:space="preserve">    term_img_sequence_comments: "Image/Sequence Comments"</v>
      </c>
      <c r="P91" s="39" t="str">
        <f t="shared" si="6"/>
        <v xml:space="preserve">    def_img_sequence_comments: "Comments describing additional details about the image*/sequence."</v>
      </c>
      <c r="Q91" s="40"/>
      <c r="R91" s="83" t="b">
        <v>0</v>
      </c>
      <c r="S91" s="86" t="b">
        <v>1</v>
      </c>
      <c r="T91" s="84" t="b">
        <v>0</v>
      </c>
      <c r="U91" s="85" t="s">
        <v>895</v>
      </c>
      <c r="V91" t="s">
        <v>896</v>
      </c>
      <c r="W91" s="13" t="s">
        <v>1816</v>
      </c>
      <c r="X91" t="s">
        <v>4582</v>
      </c>
      <c r="Y91"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92" spans="1:26" s="17" customFormat="1">
      <c r="A92" s="30"/>
      <c r="B92" s="30">
        <v>77</v>
      </c>
      <c r="C92" s="30" t="s">
        <v>429</v>
      </c>
      <c r="D92" s="82" t="s">
        <v>984</v>
      </c>
      <c r="E92" s="40" t="s">
        <v>284</v>
      </c>
      <c r="F92" s="30" t="s">
        <v>897</v>
      </c>
      <c r="G92" s="30" t="s">
        <v>767</v>
      </c>
      <c r="H92" s="40" t="s">
        <v>1249</v>
      </c>
      <c r="I92" s="40" t="s">
        <v>1259</v>
      </c>
      <c r="J92" s="40" t="str">
        <f t="shared" si="4"/>
        <v>img_sequence_date_time</v>
      </c>
      <c r="K92" s="40" t="s">
        <v>699</v>
      </c>
      <c r="L92" s="34" t="str">
        <f>IF(VLOOKUP(J92,find_replace!H:H,1,"false")=J92,"TRUE","FALSE")</f>
        <v>TRUE</v>
      </c>
      <c r="M92" s="95" t="s">
        <v>413</v>
      </c>
      <c r="N92" s="95" t="s">
        <v>413</v>
      </c>
      <c r="O92" s="60" t="str">
        <f t="shared" si="5"/>
        <v xml:space="preserve">    term_img_sequence_date_time: "Image/Sequence Date Time (DD-MMM-YYYY HH:MM:SS)"</v>
      </c>
      <c r="P92" s="39"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92" s="40"/>
      <c r="R92" s="83" t="b">
        <v>1</v>
      </c>
      <c r="S92" s="86" t="b">
        <v>1</v>
      </c>
      <c r="T92" s="84" t="b">
        <v>0</v>
      </c>
      <c r="U92" s="85" t="s">
        <v>895</v>
      </c>
      <c r="V92" t="s">
        <v>896</v>
      </c>
      <c r="W92" s="13" t="s">
        <v>1816</v>
      </c>
      <c r="X92" t="s">
        <v>4582</v>
      </c>
      <c r="Y92"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c r="Z92"/>
    </row>
    <row r="93" spans="1:26" s="17" customFormat="1">
      <c r="A93" s="30"/>
      <c r="B93" s="30">
        <v>78</v>
      </c>
      <c r="C93" s="30" t="s">
        <v>0</v>
      </c>
      <c r="D93" s="82" t="s">
        <v>984</v>
      </c>
      <c r="E93" s="34" t="s">
        <v>174</v>
      </c>
      <c r="F93" s="30"/>
      <c r="G93" s="30" t="s">
        <v>767</v>
      </c>
      <c r="H93" s="30"/>
      <c r="I93" s="40" t="s">
        <v>173</v>
      </c>
      <c r="J93" s="40" t="str">
        <f t="shared" si="4"/>
        <v>imperfect_detection</v>
      </c>
      <c r="K93" s="34" t="s">
        <v>174</v>
      </c>
      <c r="L93" s="34" t="str">
        <f>IF(VLOOKUP(J93,find_replace!H:H,1,"false")=J93,"TRUE","FALSE")</f>
        <v>TRUE</v>
      </c>
      <c r="M93" s="82" t="s">
        <v>381</v>
      </c>
      <c r="N93" s="82" t="s">
        <v>381</v>
      </c>
      <c r="O93" s="60" t="str">
        <f t="shared" si="5"/>
        <v xml:space="preserve">    term_imperfect_detection: "Imperfect detection"</v>
      </c>
      <c r="P93" s="39" t="str">
        <f t="shared" si="6"/>
        <v xml:space="preserve">    def_imperfect_detection: "Species are often detected 'imperfectly,' meaning that they are not always detected when they are present (e.g., due to cover of vegetation, cryptic nature or small size) (MacKenzie et al., 2004)."</v>
      </c>
      <c r="Q93" s="40"/>
      <c r="R93" s="83" t="s">
        <v>51</v>
      </c>
      <c r="S93" s="84" t="b">
        <v>0</v>
      </c>
      <c r="T93" s="86" t="b">
        <v>1</v>
      </c>
      <c r="U93" s="85" t="s">
        <v>895</v>
      </c>
      <c r="V93" t="s">
        <v>896</v>
      </c>
      <c r="W93" s="13" t="s">
        <v>1816</v>
      </c>
      <c r="X93" t="s">
        <v>4582</v>
      </c>
      <c r="Y93"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4" spans="1:26">
      <c r="A94" s="30"/>
      <c r="B94" s="30">
        <v>79</v>
      </c>
      <c r="C94" s="30" t="s">
        <v>0</v>
      </c>
      <c r="D94" s="82" t="s">
        <v>984</v>
      </c>
      <c r="E94" s="34" t="s">
        <v>172</v>
      </c>
      <c r="F94" s="30"/>
      <c r="G94" s="30" t="s">
        <v>767</v>
      </c>
      <c r="H94" s="30"/>
      <c r="I94" s="40" t="s">
        <v>170</v>
      </c>
      <c r="J94" s="40" t="str">
        <f t="shared" si="4"/>
        <v>independent_detections</v>
      </c>
      <c r="K94" s="34" t="s">
        <v>172</v>
      </c>
      <c r="L94" s="34" t="str">
        <f>IF(VLOOKUP(J94,find_replace!H:H,1,"false")=J94,"TRUE","FALSE")</f>
        <v>TRUE</v>
      </c>
      <c r="M94" s="82" t="s">
        <v>171</v>
      </c>
      <c r="N94" s="82" t="s">
        <v>171</v>
      </c>
      <c r="O94" s="60" t="str">
        <f t="shared" si="5"/>
        <v xml:space="preserve">    term_independent_detections: "Independent detections"</v>
      </c>
      <c r="P94" s="39" t="str">
        <f t="shared" si="6"/>
        <v xml:space="preserve">    def_independent_detections: "Detections that are deemed to be independent based on a user-defined threshold (e.g., 30 minutes)."</v>
      </c>
      <c r="Q94" s="40"/>
      <c r="R94" s="83" t="s">
        <v>51</v>
      </c>
      <c r="S94" s="84" t="b">
        <v>0</v>
      </c>
      <c r="T94" s="86" t="b">
        <v>1</v>
      </c>
      <c r="U94" s="85" t="s">
        <v>895</v>
      </c>
      <c r="V94" t="s">
        <v>896</v>
      </c>
      <c r="W94" s="13" t="s">
        <v>1816</v>
      </c>
      <c r="X94" t="s">
        <v>4582</v>
      </c>
      <c r="Y94"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c r="Z94" s="17"/>
    </row>
    <row r="95" spans="1:26">
      <c r="A95" s="30"/>
      <c r="B95" s="30">
        <v>80</v>
      </c>
      <c r="C95" s="30" t="s">
        <v>429</v>
      </c>
      <c r="D95" s="82" t="s">
        <v>984</v>
      </c>
      <c r="E95" s="40" t="s">
        <v>4654</v>
      </c>
      <c r="F95" s="30" t="s">
        <v>897</v>
      </c>
      <c r="G95" s="30" t="s">
        <v>767</v>
      </c>
      <c r="H95" s="40" t="s">
        <v>1249</v>
      </c>
      <c r="I95" s="40" t="s">
        <v>283</v>
      </c>
      <c r="J95" s="40" t="str">
        <f t="shared" si="4"/>
        <v>individual_count</v>
      </c>
      <c r="K95" s="40" t="s">
        <v>702</v>
      </c>
      <c r="L95" s="34" t="str">
        <f>IF(VLOOKUP(J95,find_replace!H:H,1,"false")=J95,"TRUE","FALSE")</f>
        <v>TRUE</v>
      </c>
      <c r="M95" s="82" t="s">
        <v>414</v>
      </c>
      <c r="N95" s="82" t="s">
        <v>414</v>
      </c>
      <c r="O95" s="60" t="str">
        <f t="shared" si="5"/>
        <v xml:space="preserve">    term_individual_count: "Individual Count"</v>
      </c>
      <c r="P95" s="39" t="str">
        <f t="shared" si="6"/>
        <v xml:space="preserve">    def_individual_count: "The number of unique individuals being categorized. Depending on the Event Type, this may be recorded as the total number of individuals, or according to Age Class and*/or Sex Class."</v>
      </c>
      <c r="Q95" s="40"/>
      <c r="R95" s="83" t="b">
        <v>1</v>
      </c>
      <c r="S95" s="86" t="b">
        <v>1</v>
      </c>
      <c r="T95" s="86" t="b">
        <v>1</v>
      </c>
      <c r="U95" s="85" t="s">
        <v>895</v>
      </c>
      <c r="V95" t="s">
        <v>896</v>
      </c>
      <c r="W95" s="13" t="s">
        <v>1816</v>
      </c>
      <c r="X95" t="s">
        <v>4582</v>
      </c>
      <c r="Y95"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6" spans="1:26">
      <c r="A96" s="30"/>
      <c r="B96" s="30">
        <v>81</v>
      </c>
      <c r="C96" s="30" t="s">
        <v>0</v>
      </c>
      <c r="D96" s="82" t="s">
        <v>984</v>
      </c>
      <c r="E96" s="34" t="s">
        <v>169</v>
      </c>
      <c r="F96" s="30"/>
      <c r="G96" s="30" t="s">
        <v>767</v>
      </c>
      <c r="H96" s="30" t="s">
        <v>546</v>
      </c>
      <c r="I96" s="40" t="s">
        <v>168</v>
      </c>
      <c r="J96" s="40" t="str">
        <f t="shared" si="4"/>
        <v>settings_infrared_illum</v>
      </c>
      <c r="K96" s="34" t="s">
        <v>169</v>
      </c>
      <c r="L96" s="34" t="str">
        <f>IF(VLOOKUP(J96,find_replace!H:H,1,"false")=J96,"TRUE","FALSE")</f>
        <v>TRUE</v>
      </c>
      <c r="M96" s="82" t="s">
        <v>398</v>
      </c>
      <c r="N96" s="82" t="s">
        <v>398</v>
      </c>
      <c r="O96" s="60" t="str">
        <f t="shared" si="5"/>
        <v xml:space="preserve">    term_settings_infrared_illum: "Infrared illuminator"</v>
      </c>
      <c r="P96" s="39" t="str">
        <f t="shared" si="6"/>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96" s="40" t="b">
        <v>1</v>
      </c>
      <c r="R96" s="83" t="s">
        <v>51</v>
      </c>
      <c r="S96" s="86" t="b">
        <v>1</v>
      </c>
      <c r="T96" s="86" t="b">
        <v>1</v>
      </c>
      <c r="U96" s="85" t="s">
        <v>895</v>
      </c>
      <c r="V96" t="s">
        <v>896</v>
      </c>
      <c r="W96" s="13" t="s">
        <v>1816</v>
      </c>
      <c r="X96" t="s">
        <v>4582</v>
      </c>
      <c r="Y96" t="str">
        <f t="shared" si="7"/>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97" spans="1:26">
      <c r="A97" s="30"/>
      <c r="B97" s="30">
        <v>82</v>
      </c>
      <c r="C97" s="30" t="s">
        <v>0</v>
      </c>
      <c r="D97" s="82" t="s">
        <v>984</v>
      </c>
      <c r="E97" s="34" t="s">
        <v>167</v>
      </c>
      <c r="F97" s="30" t="s">
        <v>897</v>
      </c>
      <c r="G97" s="30" t="s">
        <v>767</v>
      </c>
      <c r="H97" s="30" t="s">
        <v>4</v>
      </c>
      <c r="I97" s="40" t="s">
        <v>3</v>
      </c>
      <c r="J97" s="40" t="str">
        <f t="shared" si="4"/>
        <v>mod_is</v>
      </c>
      <c r="K97" s="34" t="s">
        <v>899</v>
      </c>
      <c r="L97" s="34" t="str">
        <f>IF(VLOOKUP(J97,find_replace!H:H,1,"false")=J97,"TRUE","FALSE")</f>
        <v>TRUE</v>
      </c>
      <c r="M97" s="82" t="s">
        <v>990</v>
      </c>
      <c r="N97" s="82" t="s">
        <v>873</v>
      </c>
      <c r="O97" s="60" t="str">
        <f t="shared" si="5"/>
        <v xml:space="preserve">    term_mod_is: "Instantaneous sampling (IS) model (Moeller et al., 2018)"</v>
      </c>
      <c r="P97" s="39" t="str">
        <f t="shared" si="6"/>
        <v xml:space="preserve">    def_mod_is: "A method used to estimate abundance or [density](#density) from time-lapse images from randomly deployed cameras; the number of unique individuals (the count) is needed ({{ rtxt_moeller_et_al_2018 }})."</v>
      </c>
      <c r="Q97" s="40"/>
      <c r="R97" s="83" t="s">
        <v>51</v>
      </c>
      <c r="S97" s="84" t="b">
        <v>0</v>
      </c>
      <c r="T97" s="86" t="b">
        <v>1</v>
      </c>
      <c r="U97" s="85" t="s">
        <v>895</v>
      </c>
      <c r="V97" t="s">
        <v>896</v>
      </c>
      <c r="W97" s="13" t="s">
        <v>1816</v>
      </c>
      <c r="X97" t="s">
        <v>4582</v>
      </c>
      <c r="Y97"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98" spans="1:26" s="2" customFormat="1">
      <c r="A98" s="35"/>
      <c r="B98" s="35"/>
      <c r="C98" s="35" t="s">
        <v>0</v>
      </c>
      <c r="D98" s="82" t="s">
        <v>984</v>
      </c>
      <c r="E98" s="34" t="s">
        <v>561</v>
      </c>
      <c r="F98" s="30"/>
      <c r="G98" s="35" t="s">
        <v>767</v>
      </c>
      <c r="H98" s="30" t="s">
        <v>815</v>
      </c>
      <c r="I98" s="89" t="s">
        <v>562</v>
      </c>
      <c r="J98" s="40" t="str">
        <f t="shared" si="4"/>
        <v>use_intensity</v>
      </c>
      <c r="K98" s="89" t="s">
        <v>561</v>
      </c>
      <c r="L98" s="34" t="str">
        <f>IF(VLOOKUP(J98,find_replace!H:H,1,"false")=J98,"TRUE","FALSE")</f>
        <v>TRUE</v>
      </c>
      <c r="M98" s="96" t="s">
        <v>4617</v>
      </c>
      <c r="N98" s="96" t="s">
        <v>841</v>
      </c>
      <c r="O98" s="60" t="str">
        <f t="shared" si="5"/>
        <v xml:space="preserve">    term_use_intensity: "Intensity of use"</v>
      </c>
      <c r="P98" s="39" t="str">
        <f t="shared" si="6"/>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98" s="35"/>
      <c r="R98" s="35"/>
      <c r="S98" s="35"/>
      <c r="T98" s="35"/>
      <c r="U98" s="85" t="s">
        <v>895</v>
      </c>
      <c r="V98" t="s">
        <v>896</v>
      </c>
      <c r="W98" s="13" t="s">
        <v>1816</v>
      </c>
      <c r="X98" t="s">
        <v>4582</v>
      </c>
      <c r="Y98" t="str">
        <f t="shared" si="7"/>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c r="Z98"/>
    </row>
    <row r="99" spans="1:26" s="2" customFormat="1">
      <c r="A99" s="35"/>
      <c r="B99" s="35">
        <v>83</v>
      </c>
      <c r="C99" s="35" t="s">
        <v>0</v>
      </c>
      <c r="D99" s="82" t="s">
        <v>984</v>
      </c>
      <c r="E99" s="34" t="s">
        <v>166</v>
      </c>
      <c r="F99" s="30"/>
      <c r="G99" s="35" t="s">
        <v>767</v>
      </c>
      <c r="H99" s="30"/>
      <c r="I99" s="89" t="s">
        <v>562</v>
      </c>
      <c r="J99" s="40" t="str">
        <f t="shared" si="4"/>
        <v>use_intensity</v>
      </c>
      <c r="K99" s="89" t="s">
        <v>166</v>
      </c>
      <c r="L99" s="34" t="str">
        <f>IF(VLOOKUP(J99,find_replace!H:H,1,"false")=J99,"TRUE","FALSE")</f>
        <v>TRUE</v>
      </c>
      <c r="M99" s="96" t="s">
        <v>382</v>
      </c>
      <c r="N99" s="96" t="s">
        <v>382</v>
      </c>
      <c r="O99" s="60" t="str">
        <f t="shared" si="5"/>
        <v xml:space="preserve">    term_use_intensity: "Intensity of use (Keim et al., 2019)"</v>
      </c>
      <c r="P99" s="39" t="str">
        <f t="shared" si="6"/>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99" s="89"/>
      <c r="R99" s="97" t="s">
        <v>51</v>
      </c>
      <c r="S99" s="97" t="b">
        <v>0</v>
      </c>
      <c r="T99" s="97" t="b">
        <v>1</v>
      </c>
      <c r="U99" s="85" t="s">
        <v>895</v>
      </c>
      <c r="V99" t="s">
        <v>896</v>
      </c>
      <c r="W99" s="13" t="s">
        <v>1816</v>
      </c>
      <c r="X99" t="s">
        <v>4582</v>
      </c>
      <c r="Y99" t="str">
        <f t="shared" si="7"/>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row>
    <row r="100" spans="1:26" s="2" customFormat="1">
      <c r="A100" s="30"/>
      <c r="B100" s="30">
        <v>84</v>
      </c>
      <c r="C100" s="30" t="s">
        <v>0</v>
      </c>
      <c r="D100" s="82" t="s">
        <v>984</v>
      </c>
      <c r="E100" s="34" t="s">
        <v>165</v>
      </c>
      <c r="F100" s="30"/>
      <c r="G100" s="30" t="s">
        <v>767</v>
      </c>
      <c r="H100" s="30"/>
      <c r="I100" s="40" t="s">
        <v>164</v>
      </c>
      <c r="J100" s="40" t="str">
        <f t="shared" si="4"/>
        <v>inter_detection_interval</v>
      </c>
      <c r="K100" s="34" t="s">
        <v>165</v>
      </c>
      <c r="L100" s="34" t="str">
        <f>IF(VLOOKUP(J100,find_replace!H:H,1,"false")=J100,"TRUE","FALSE")</f>
        <v>TRUE</v>
      </c>
      <c r="M100" s="82" t="s">
        <v>829</v>
      </c>
      <c r="N100" s="82" t="s">
        <v>872</v>
      </c>
      <c r="O100" s="60" t="str">
        <f t="shared" si="5"/>
        <v xml:space="preserve">    term_inter_detection_interval: "Inter-detection interval"</v>
      </c>
      <c r="P100" s="39"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100" s="40"/>
      <c r="R100" s="83" t="s">
        <v>51</v>
      </c>
      <c r="S100" s="86" t="b">
        <v>1</v>
      </c>
      <c r="T100" s="86" t="b">
        <v>1</v>
      </c>
      <c r="U100" s="85" t="s">
        <v>895</v>
      </c>
      <c r="V100" t="s">
        <v>896</v>
      </c>
      <c r="W100" s="13" t="s">
        <v>1816</v>
      </c>
      <c r="X100" t="s">
        <v>4582</v>
      </c>
      <c r="Y100"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01" spans="1:26" s="2" customFormat="1">
      <c r="A101" s="30"/>
      <c r="B101" s="30">
        <v>85</v>
      </c>
      <c r="C101" s="30" t="s">
        <v>0</v>
      </c>
      <c r="D101" s="82" t="s">
        <v>984</v>
      </c>
      <c r="E101" s="34" t="s">
        <v>163</v>
      </c>
      <c r="F101" s="30"/>
      <c r="G101" s="30" t="s">
        <v>767</v>
      </c>
      <c r="H101" s="30" t="s">
        <v>4</v>
      </c>
      <c r="I101" s="40" t="s">
        <v>38</v>
      </c>
      <c r="J101" s="40" t="str">
        <f t="shared" si="4"/>
        <v>mod_inventory</v>
      </c>
      <c r="K101" s="34" t="s">
        <v>163</v>
      </c>
      <c r="L101" s="34" t="str">
        <f>IF(VLOOKUP(J101,find_replace!H:H,1,"false")=J101,"TRUE","FALSE")</f>
        <v>TRUE</v>
      </c>
      <c r="M101" s="82" t="s">
        <v>1012</v>
      </c>
      <c r="N101" s="82" t="s">
        <v>871</v>
      </c>
      <c r="O101" s="60" t="str">
        <f t="shared" si="5"/>
        <v xml:space="preserve">    term_mod_inventory: "Inventory"</v>
      </c>
      <c r="P101" s="39"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01" s="40"/>
      <c r="R101" s="83" t="s">
        <v>51</v>
      </c>
      <c r="S101" s="84" t="b">
        <v>0</v>
      </c>
      <c r="T101" s="86" t="b">
        <v>1</v>
      </c>
      <c r="U101" s="85" t="s">
        <v>895</v>
      </c>
      <c r="V101" t="s">
        <v>896</v>
      </c>
      <c r="W101" s="13" t="s">
        <v>1816</v>
      </c>
      <c r="X101" t="s">
        <v>4582</v>
      </c>
      <c r="Y101"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02" spans="1:26" s="2" customFormat="1">
      <c r="A102" s="30"/>
      <c r="B102" s="30">
        <v>86</v>
      </c>
      <c r="C102" s="30" t="s">
        <v>430</v>
      </c>
      <c r="D102" s="82" t="s">
        <v>984</v>
      </c>
      <c r="E102" s="40" t="s">
        <v>282</v>
      </c>
      <c r="F102" s="30" t="s">
        <v>897</v>
      </c>
      <c r="G102" s="30" t="s">
        <v>767</v>
      </c>
      <c r="H102" s="40" t="s">
        <v>1249</v>
      </c>
      <c r="I102" s="40" t="s">
        <v>280</v>
      </c>
      <c r="J102" s="40" t="str">
        <f t="shared" si="4"/>
        <v>age_class_juvenile</v>
      </c>
      <c r="K102" s="40" t="s">
        <v>673</v>
      </c>
      <c r="L102" s="34" t="str">
        <f>IF(VLOOKUP(J102,find_replace!H:H,1,"false")=J102,"TRUE","FALSE")</f>
        <v>TRUE</v>
      </c>
      <c r="M102" s="82" t="s">
        <v>281</v>
      </c>
      <c r="N102" s="82" t="s">
        <v>281</v>
      </c>
      <c r="O102" s="60" t="str">
        <f t="shared" si="5"/>
        <v xml:space="preserve">    term_age_class_juvenile: "Juvenile"</v>
      </c>
      <c r="P102" s="39" t="str">
        <f t="shared" si="6"/>
        <v xml:space="preserve">    def_age_class_juvenile: "Animals in their first summer, with clearly juvenile features (e.g., spots); mammals older than neonates but that still require parental care."</v>
      </c>
      <c r="Q102" s="40"/>
      <c r="R102" s="83" t="s">
        <v>51</v>
      </c>
      <c r="S102" s="86" t="b">
        <v>1</v>
      </c>
      <c r="T102" s="84" t="b">
        <v>0</v>
      </c>
      <c r="U102" s="85" t="s">
        <v>895</v>
      </c>
      <c r="V102" t="s">
        <v>896</v>
      </c>
      <c r="W102" s="13" t="s">
        <v>1816</v>
      </c>
      <c r="X102" t="s">
        <v>4582</v>
      </c>
      <c r="Y102" t="str">
        <f t="shared" si="7"/>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row>
    <row r="103" spans="1:26" s="2" customFormat="1">
      <c r="A103" s="30"/>
      <c r="B103" s="30">
        <v>87</v>
      </c>
      <c r="C103" s="30" t="s">
        <v>0</v>
      </c>
      <c r="D103" s="82" t="s">
        <v>984</v>
      </c>
      <c r="E103" s="34" t="s">
        <v>520</v>
      </c>
      <c r="F103" s="30"/>
      <c r="G103" s="30" t="s">
        <v>767</v>
      </c>
      <c r="H103" s="30"/>
      <c r="I103" s="40" t="s">
        <v>519</v>
      </c>
      <c r="J103" s="40" t="str">
        <f t="shared" si="4"/>
        <v>kernel_density_estimator</v>
      </c>
      <c r="K103" s="34" t="s">
        <v>520</v>
      </c>
      <c r="L103" s="34" t="str">
        <f>IF(VLOOKUP(J103,find_replace!H:H,1,"false")=J103,"TRUE","FALSE")</f>
        <v>TRUE</v>
      </c>
      <c r="M103" s="82" t="s">
        <v>1001</v>
      </c>
      <c r="N103" s="82" t="s">
        <v>870</v>
      </c>
      <c r="O103" s="60" t="str">
        <f t="shared" si="5"/>
        <v xml:space="preserve">    term_kernel_density_estimator: "Kernel density estimator"</v>
      </c>
      <c r="P103" s="39" t="str">
        <f t="shared" si="6"/>
        <v xml:space="preserve">    def_kernel_density_estimator: "The probability of 'utilization' ({{ rtxt_jennrich_turner_1969 }}); describes the relative probability of use (Powell &amp; Mitchell, 2012)."</v>
      </c>
      <c r="Q103" s="40"/>
      <c r="R103" s="83" t="s">
        <v>51</v>
      </c>
      <c r="S103" s="84" t="b">
        <v>0</v>
      </c>
      <c r="T103" s="86" t="b">
        <v>1</v>
      </c>
      <c r="U103" s="85" t="s">
        <v>895</v>
      </c>
      <c r="V103" t="s">
        <v>896</v>
      </c>
      <c r="W103" s="13" t="s">
        <v>1816</v>
      </c>
      <c r="X103" t="s">
        <v>4582</v>
      </c>
      <c r="Y103"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row>
    <row r="104" spans="1:26" s="2" customFormat="1">
      <c r="A104" s="30"/>
      <c r="B104" s="30">
        <v>88</v>
      </c>
      <c r="C104" s="30" t="s">
        <v>429</v>
      </c>
      <c r="D104" s="82" t="s">
        <v>984</v>
      </c>
      <c r="E104" s="40" t="s">
        <v>492</v>
      </c>
      <c r="F104" s="30" t="s">
        <v>897</v>
      </c>
      <c r="G104" s="30" t="s">
        <v>767</v>
      </c>
      <c r="H104" s="30" t="s">
        <v>544</v>
      </c>
      <c r="I104" s="40" t="s">
        <v>326</v>
      </c>
      <c r="J104" s="40" t="str">
        <f t="shared" si="4"/>
        <v>key_id</v>
      </c>
      <c r="K104" s="40" t="s">
        <v>750</v>
      </c>
      <c r="L104" s="34" t="str">
        <f>IF(VLOOKUP(J104,find_replace!H:H,1,"false")=J104,"TRUE","FALSE")</f>
        <v>TRUE</v>
      </c>
      <c r="M104" s="82" t="s">
        <v>415</v>
      </c>
      <c r="N104" s="82" t="s">
        <v>415</v>
      </c>
      <c r="O104" s="60" t="str">
        <f t="shared" si="5"/>
        <v xml:space="preserve">    term_key_id: "Key ID"</v>
      </c>
      <c r="P104" s="39" t="str">
        <f t="shared" si="6"/>
        <v xml:space="preserve">    def_key_id: "The unique ID for the specific key or set of keys used to lock*/secure the camera to the post, tree, etc."</v>
      </c>
      <c r="Q104" s="40"/>
      <c r="R104" s="83" t="b">
        <v>0</v>
      </c>
      <c r="S104" s="86" t="b">
        <v>1</v>
      </c>
      <c r="T104" s="86" t="b">
        <v>1</v>
      </c>
      <c r="U104" s="85" t="s">
        <v>895</v>
      </c>
      <c r="V104" t="s">
        <v>896</v>
      </c>
      <c r="W104" s="13" t="s">
        <v>1816</v>
      </c>
      <c r="X104" t="s">
        <v>4582</v>
      </c>
      <c r="Y104"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row>
    <row r="105" spans="1:26" s="2" customFormat="1">
      <c r="A105" s="30"/>
      <c r="B105" s="30">
        <v>89</v>
      </c>
      <c r="C105" s="30" t="s">
        <v>429</v>
      </c>
      <c r="D105" s="82" t="s">
        <v>984</v>
      </c>
      <c r="E105" s="40" t="s">
        <v>4647</v>
      </c>
      <c r="F105" s="30" t="s">
        <v>897</v>
      </c>
      <c r="G105" s="30" t="s">
        <v>767</v>
      </c>
      <c r="H105" s="30" t="s">
        <v>547</v>
      </c>
      <c r="I105" s="40" t="s">
        <v>1222</v>
      </c>
      <c r="J105" s="40" t="str">
        <f t="shared" si="4"/>
        <v>latitude_cam_location</v>
      </c>
      <c r="K105" s="40" t="s">
        <v>703</v>
      </c>
      <c r="L105" s="34" t="str">
        <f>IF(VLOOKUP(J105,find_replace!H:H,1,"false")=J105,"TRUE","FALSE")</f>
        <v>TRUE</v>
      </c>
      <c r="M105" s="82" t="s">
        <v>383</v>
      </c>
      <c r="N105" s="82" t="s">
        <v>383</v>
      </c>
      <c r="O105" s="60" t="str">
        <f t="shared" si="5"/>
        <v xml:space="preserve">    term_latitude_cam_location: "Latitude Camera Location"</v>
      </c>
      <c r="P105" s="39" t="str">
        <f t="shared" si="6"/>
        <v xml:space="preserve">    def_latitude_cam_location: "The latitude of the camera location in decimal degrees to five decimal places (e.g., '53.78136'). Leave blank if recording Northing instead."</v>
      </c>
      <c r="Q105" s="40" t="b">
        <v>1</v>
      </c>
      <c r="R105" s="83" t="b">
        <v>1</v>
      </c>
      <c r="S105" s="86" t="b">
        <v>1</v>
      </c>
      <c r="T105" s="86" t="b">
        <v>1</v>
      </c>
      <c r="U105" s="85" t="s">
        <v>895</v>
      </c>
      <c r="V105" t="s">
        <v>896</v>
      </c>
      <c r="W105" s="13" t="s">
        <v>1816</v>
      </c>
      <c r="X105" t="s">
        <v>4582</v>
      </c>
      <c r="Y105"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106" spans="1:26" s="2" customFormat="1">
      <c r="A106" s="30"/>
      <c r="B106" s="30">
        <v>90</v>
      </c>
      <c r="C106" s="30" t="s">
        <v>429</v>
      </c>
      <c r="D106" s="82" t="s">
        <v>984</v>
      </c>
      <c r="E106" s="40" t="s">
        <v>4648</v>
      </c>
      <c r="F106" s="30" t="s">
        <v>897</v>
      </c>
      <c r="G106" s="30" t="s">
        <v>767</v>
      </c>
      <c r="H106" s="30" t="s">
        <v>547</v>
      </c>
      <c r="I106" s="40" t="s">
        <v>1223</v>
      </c>
      <c r="J106" s="40" t="str">
        <f t="shared" si="4"/>
        <v>longitude_cam_location</v>
      </c>
      <c r="K106" s="40" t="s">
        <v>704</v>
      </c>
      <c r="L106" s="34" t="str">
        <f>IF(VLOOKUP(J106,find_replace!H:H,1,"false")=J106,"TRUE","FALSE")</f>
        <v>TRUE</v>
      </c>
      <c r="M106" s="82" t="s">
        <v>384</v>
      </c>
      <c r="N106" s="82" t="s">
        <v>384</v>
      </c>
      <c r="O106" s="60" t="str">
        <f t="shared" si="5"/>
        <v xml:space="preserve">    term_longitude_cam_location: "Longitude Camera Location"</v>
      </c>
      <c r="P106" s="39" t="str">
        <f t="shared" si="6"/>
        <v xml:space="preserve">    def_longitude_cam_location: "The longitude of the camera location in decimal degrees to five decimal places (e.g., '-113.46067'). Leave blank if recording Easting instead."</v>
      </c>
      <c r="Q106" s="40" t="b">
        <v>1</v>
      </c>
      <c r="R106" s="83" t="b">
        <v>1</v>
      </c>
      <c r="S106" s="86" t="b">
        <v>1</v>
      </c>
      <c r="T106" s="86" t="b">
        <v>1</v>
      </c>
      <c r="U106" s="85" t="s">
        <v>895</v>
      </c>
      <c r="V106" t="s">
        <v>896</v>
      </c>
      <c r="W106" s="13" t="s">
        <v>1816</v>
      </c>
      <c r="X106" t="s">
        <v>4582</v>
      </c>
      <c r="Y106"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7" spans="1:26" s="2" customFormat="1">
      <c r="A107" s="30"/>
      <c r="B107" s="30">
        <v>91</v>
      </c>
      <c r="C107" s="30" t="s">
        <v>0</v>
      </c>
      <c r="D107" s="82" t="s">
        <v>984</v>
      </c>
      <c r="E107" s="34" t="s">
        <v>162</v>
      </c>
      <c r="F107" s="30"/>
      <c r="G107" s="30" t="s">
        <v>767</v>
      </c>
      <c r="H107" s="30" t="s">
        <v>539</v>
      </c>
      <c r="I107" s="40" t="s">
        <v>161</v>
      </c>
      <c r="J107" s="40" t="str">
        <f t="shared" si="4"/>
        <v>baitlure_lure</v>
      </c>
      <c r="K107" s="34" t="s">
        <v>162</v>
      </c>
      <c r="L107" s="34" t="str">
        <f>IF(VLOOKUP(J107,find_replace!H:H,1,"false")=J107,"TRUE","FALSE")</f>
        <v>TRUE</v>
      </c>
      <c r="M107" s="82" t="s">
        <v>1011</v>
      </c>
      <c r="N107" s="82" t="s">
        <v>874</v>
      </c>
      <c r="O107" s="60" t="str">
        <f t="shared" si="5"/>
        <v xml:space="preserve">    term_baitlure_lure: "Lure"</v>
      </c>
      <c r="P107" s="39" t="str">
        <f t="shared" si="6"/>
        <v xml:space="preserve">    def_baitlure_lure: "Any substance that draws animals closer; lures include scent (olfactory) lure, visual lure and audible lure ({{ rtxt_schlexer_2008 }})."</v>
      </c>
      <c r="Q107" s="40"/>
      <c r="R107" s="83" t="s">
        <v>51</v>
      </c>
      <c r="S107" s="86" t="b">
        <v>1</v>
      </c>
      <c r="T107" s="86" t="b">
        <v>1</v>
      </c>
      <c r="U107" s="85" t="s">
        <v>895</v>
      </c>
      <c r="V107" t="s">
        <v>896</v>
      </c>
      <c r="W107" s="13" t="s">
        <v>1816</v>
      </c>
      <c r="X107" t="s">
        <v>4582</v>
      </c>
      <c r="Y107" t="str">
        <f t="shared" si="7"/>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row>
    <row r="108" spans="1:26">
      <c r="A108" s="30"/>
      <c r="B108" s="30">
        <v>92</v>
      </c>
      <c r="C108" s="30" t="s">
        <v>0</v>
      </c>
      <c r="D108" s="82" t="s">
        <v>984</v>
      </c>
      <c r="E108" s="34" t="s">
        <v>730</v>
      </c>
      <c r="F108" s="30"/>
      <c r="G108" s="30" t="s">
        <v>767</v>
      </c>
      <c r="H108" s="40" t="s">
        <v>817</v>
      </c>
      <c r="I108" s="40" t="s">
        <v>159</v>
      </c>
      <c r="J108" s="40" t="str">
        <f t="shared" si="4"/>
        <v>typeid_marked</v>
      </c>
      <c r="K108" s="34" t="s">
        <v>1436</v>
      </c>
      <c r="L108" s="34" t="str">
        <f>IF(VLOOKUP(J108,find_replace!H:H,1,"false")=J108,"TRUE","FALSE")</f>
        <v>TRUE</v>
      </c>
      <c r="M108" s="82" t="s">
        <v>160</v>
      </c>
      <c r="N108" s="82" t="s">
        <v>160</v>
      </c>
      <c r="O108" s="60" t="str">
        <f t="shared" si="5"/>
        <v xml:space="preserve">    term_typeid_marked: "Marked individuals / populations / species"</v>
      </c>
      <c r="P108" s="39" t="str">
        <f t="shared" si="6"/>
        <v xml:space="preserve">    def_typeid_marked: "Individuals, populations, or species (varies with modelling approach and context) that can be identified using natural or artificial markings (e.g., coat patterns, scars, tags, collars)."</v>
      </c>
      <c r="Q108" s="40"/>
      <c r="R108" s="83" t="s">
        <v>51</v>
      </c>
      <c r="S108" s="84" t="b">
        <v>0</v>
      </c>
      <c r="T108" s="86" t="b">
        <v>1</v>
      </c>
      <c r="U108" s="85" t="s">
        <v>895</v>
      </c>
      <c r="V108" t="s">
        <v>896</v>
      </c>
      <c r="W108" s="13" t="s">
        <v>1816</v>
      </c>
      <c r="X108" t="s">
        <v>4582</v>
      </c>
      <c r="Y108" t="str">
        <f t="shared" si="7"/>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108" s="2"/>
    </row>
    <row r="109" spans="1:26">
      <c r="A109" s="30"/>
      <c r="B109" s="30">
        <v>93</v>
      </c>
      <c r="C109" s="30" t="s">
        <v>0</v>
      </c>
      <c r="D109" s="82" t="s">
        <v>984</v>
      </c>
      <c r="E109" s="34" t="s">
        <v>158</v>
      </c>
      <c r="F109" s="30" t="s">
        <v>897</v>
      </c>
      <c r="G109" s="30" t="s">
        <v>767</v>
      </c>
      <c r="H109" s="30" t="s">
        <v>4</v>
      </c>
      <c r="I109" s="40" t="s">
        <v>27</v>
      </c>
      <c r="J109" s="40" t="str">
        <f t="shared" si="4"/>
        <v>mod_mr</v>
      </c>
      <c r="K109" s="34" t="s">
        <v>158</v>
      </c>
      <c r="L109" s="34" t="str">
        <f>IF(VLOOKUP(J109,find_replace!H:H,1,"false")=J109,"TRUE","FALSE")</f>
        <v>TRUE</v>
      </c>
      <c r="M109" s="82" t="s">
        <v>989</v>
      </c>
      <c r="N109" s="82" t="s">
        <v>849</v>
      </c>
      <c r="O109" s="60" t="str">
        <f t="shared" si="5"/>
        <v xml:space="preserve">    term_mod_mr: "Mark-resight (MR) model (Arnason et al., 1991; McClintock et al., 2009)"</v>
      </c>
      <c r="P109" s="39"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09" s="40"/>
      <c r="R109" s="83" t="s">
        <v>51</v>
      </c>
      <c r="S109" s="84" t="b">
        <v>0</v>
      </c>
      <c r="T109" s="86" t="b">
        <v>1</v>
      </c>
      <c r="U109" s="85" t="s">
        <v>895</v>
      </c>
      <c r="V109" t="s">
        <v>896</v>
      </c>
      <c r="W109" s="13" t="s">
        <v>1816</v>
      </c>
      <c r="X109" t="s">
        <v>4582</v>
      </c>
      <c r="Y10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10" spans="1:26">
      <c r="A110" s="30"/>
      <c r="B110" s="30">
        <v>94</v>
      </c>
      <c r="C110" s="30" t="s">
        <v>0</v>
      </c>
      <c r="D110" s="82" t="s">
        <v>984</v>
      </c>
      <c r="E110" s="34" t="s">
        <v>157</v>
      </c>
      <c r="F110" s="35"/>
      <c r="G110" s="30" t="s">
        <v>767</v>
      </c>
      <c r="H110" s="30"/>
      <c r="I110" s="40" t="s">
        <v>155</v>
      </c>
      <c r="J110" s="40" t="str">
        <f t="shared" si="4"/>
        <v>metadata</v>
      </c>
      <c r="K110" s="34" t="s">
        <v>157</v>
      </c>
      <c r="L110" s="34" t="str">
        <f>IF(VLOOKUP(J110,find_replace!H:H,1,"false")=J110,"TRUE","FALSE")</f>
        <v>TRUE</v>
      </c>
      <c r="M110" s="82" t="s">
        <v>156</v>
      </c>
      <c r="N110" s="82" t="s">
        <v>156</v>
      </c>
      <c r="O110" s="60" t="str">
        <f t="shared" si="5"/>
        <v xml:space="preserve">    term_metadata: "Metadata"</v>
      </c>
      <c r="P110" s="39" t="str">
        <f t="shared" si="6"/>
        <v xml:space="preserve">    def_metadata: "Data that provides information about other data (e.g., the number of images on an SD card)."</v>
      </c>
      <c r="Q110" s="40"/>
      <c r="R110" s="83" t="s">
        <v>51</v>
      </c>
      <c r="S110" s="86" t="b">
        <v>1</v>
      </c>
      <c r="T110" s="86" t="b">
        <v>1</v>
      </c>
      <c r="U110" s="85" t="s">
        <v>895</v>
      </c>
      <c r="V110" t="s">
        <v>896</v>
      </c>
      <c r="W110" s="13" t="s">
        <v>1816</v>
      </c>
      <c r="X110" t="s">
        <v>4582</v>
      </c>
      <c r="Y11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row>
    <row r="111" spans="1:26">
      <c r="A111" s="30"/>
      <c r="B111" s="30">
        <v>95</v>
      </c>
      <c r="C111" s="30" t="s">
        <v>0</v>
      </c>
      <c r="D111" s="82" t="s">
        <v>984</v>
      </c>
      <c r="E111" s="34" t="s">
        <v>154</v>
      </c>
      <c r="F111" s="30"/>
      <c r="G111" s="30" t="s">
        <v>767</v>
      </c>
      <c r="H111" s="30" t="s">
        <v>4</v>
      </c>
      <c r="I111" s="40" t="s">
        <v>1372</v>
      </c>
      <c r="J111" s="40" t="str">
        <f t="shared" si="4"/>
        <v>mod_assumption</v>
      </c>
      <c r="K111" s="34" t="s">
        <v>154</v>
      </c>
      <c r="L111" s="34" t="str">
        <f>IF(VLOOKUP(J111,find_replace!H:H,1,"false")=J111,"TRUE","FALSE")</f>
        <v>TRUE</v>
      </c>
      <c r="M111" s="82" t="s">
        <v>416</v>
      </c>
      <c r="N111" s="82" t="s">
        <v>416</v>
      </c>
      <c r="O111" s="60" t="str">
        <f t="shared" si="5"/>
        <v xml:space="preserve">    term_mod_assumption: "Model assumption"</v>
      </c>
      <c r="P111" s="39"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11" s="40"/>
      <c r="R111" s="83" t="s">
        <v>51</v>
      </c>
      <c r="S111" s="84" t="b">
        <v>0</v>
      </c>
      <c r="T111" s="86" t="b">
        <v>1</v>
      </c>
      <c r="U111" s="85" t="s">
        <v>895</v>
      </c>
      <c r="V111" t="s">
        <v>896</v>
      </c>
      <c r="W111" s="13" t="s">
        <v>1816</v>
      </c>
      <c r="X111" t="s">
        <v>4582</v>
      </c>
      <c r="Y111"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row>
    <row r="112" spans="1:26">
      <c r="A112" s="30"/>
      <c r="B112" s="30">
        <v>96</v>
      </c>
      <c r="C112" s="30" t="s">
        <v>0</v>
      </c>
      <c r="D112" s="82" t="s">
        <v>984</v>
      </c>
      <c r="E112" s="34" t="s">
        <v>153</v>
      </c>
      <c r="F112" s="30"/>
      <c r="G112" s="30" t="s">
        <v>767</v>
      </c>
      <c r="H112" s="30" t="s">
        <v>4</v>
      </c>
      <c r="I112" s="40" t="s">
        <v>1371</v>
      </c>
      <c r="J112" s="40" t="str">
        <f t="shared" si="4"/>
        <v>mod_approach</v>
      </c>
      <c r="K112" s="34" t="s">
        <v>153</v>
      </c>
      <c r="L112" s="34" t="str">
        <f>IF(VLOOKUP(J112,find_replace!H:H,1,"false")=J112,"TRUE","FALSE")</f>
        <v>TRUE</v>
      </c>
      <c r="M112" s="82" t="s">
        <v>819</v>
      </c>
      <c r="N112" s="82" t="s">
        <v>860</v>
      </c>
      <c r="O112" s="60" t="str">
        <f t="shared" si="5"/>
        <v xml:space="preserve">    term_mod_approach: "Modelling approach"</v>
      </c>
      <c r="P112" s="39"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12" s="40"/>
      <c r="R112" s="83" t="s">
        <v>51</v>
      </c>
      <c r="S112" s="86" t="b">
        <v>1</v>
      </c>
      <c r="T112" s="86" t="b">
        <v>1</v>
      </c>
      <c r="U112" s="85" t="s">
        <v>895</v>
      </c>
      <c r="V112" t="s">
        <v>896</v>
      </c>
      <c r="W112" s="13" t="s">
        <v>1816</v>
      </c>
      <c r="X112" t="s">
        <v>4582</v>
      </c>
      <c r="Y11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row>
    <row r="113" spans="1:25">
      <c r="A113" s="30"/>
      <c r="B113" s="30">
        <v>97</v>
      </c>
      <c r="C113" s="30" t="s">
        <v>429</v>
      </c>
      <c r="D113" s="82" t="s">
        <v>984</v>
      </c>
      <c r="E113" s="40" t="s">
        <v>4658</v>
      </c>
      <c r="F113" s="30" t="s">
        <v>897</v>
      </c>
      <c r="G113" s="30" t="s">
        <v>767</v>
      </c>
      <c r="H113" s="30" t="s">
        <v>546</v>
      </c>
      <c r="I113" s="40" t="s">
        <v>1265</v>
      </c>
      <c r="J113" s="40" t="str">
        <f t="shared" si="4"/>
        <v>settings_motion_img_interval</v>
      </c>
      <c r="K113" s="40" t="s">
        <v>718</v>
      </c>
      <c r="L113" s="34" t="str">
        <f>IF(VLOOKUP(J113,find_replace!H:H,1,"false")=J113,"TRUE","FALSE")</f>
        <v>TRUE</v>
      </c>
      <c r="M113" s="82" t="s">
        <v>399</v>
      </c>
      <c r="N113" s="82" t="s">
        <v>399</v>
      </c>
      <c r="O113" s="60" t="str">
        <f t="shared" si="5"/>
        <v xml:space="preserve">    term_settings_motion_img_interval: "Motion Image Interval (seconds)"</v>
      </c>
      <c r="P113" s="39" t="str">
        <f t="shared" si="6"/>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13" s="40" t="b">
        <v>1</v>
      </c>
      <c r="R113" s="83" t="b">
        <v>1</v>
      </c>
      <c r="S113" s="86" t="b">
        <v>1</v>
      </c>
      <c r="T113" s="86" t="b">
        <v>1</v>
      </c>
      <c r="U113" s="85" t="s">
        <v>895</v>
      </c>
      <c r="V113" t="s">
        <v>896</v>
      </c>
      <c r="W113" s="13" t="s">
        <v>1816</v>
      </c>
      <c r="X113" t="s">
        <v>4582</v>
      </c>
      <c r="Y113" t="str">
        <f t="shared" si="7"/>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14" spans="1:25">
      <c r="A114" s="30"/>
      <c r="B114" s="30">
        <v>98</v>
      </c>
      <c r="C114" s="30" t="s">
        <v>0</v>
      </c>
      <c r="D114" s="82" t="s">
        <v>984</v>
      </c>
      <c r="E114" s="34" t="s">
        <v>152</v>
      </c>
      <c r="F114" s="30" t="s">
        <v>897</v>
      </c>
      <c r="G114" s="30" t="s">
        <v>767</v>
      </c>
      <c r="H114" s="30" t="s">
        <v>4</v>
      </c>
      <c r="I114" s="40" t="s">
        <v>449</v>
      </c>
      <c r="J114" s="40" t="str">
        <f t="shared" si="4"/>
        <v>mod_rai_nb</v>
      </c>
      <c r="K114" s="34" t="s">
        <v>152</v>
      </c>
      <c r="L114" s="34" t="str">
        <f>IF(VLOOKUP(J114,find_replace!H:H,1,"false")=J114,"TRUE","FALSE")</f>
        <v>TRUE</v>
      </c>
      <c r="M114" s="82" t="s">
        <v>151</v>
      </c>
      <c r="N114" s="82" t="s">
        <v>151</v>
      </c>
      <c r="O114" s="60" t="str">
        <f t="shared" si="5"/>
        <v xml:space="preserve">    term_mod_rai_nb: "Negative binomial (NB) regression (Mullahy, 1986)"</v>
      </c>
      <c r="P114" s="39" t="str">
        <f t="shared" si="6"/>
        <v xml:space="preserve">    def_mod_rai_nb: "A regression model used for count data with overdispersion but without zero-inflation. [relative abundance indices]"</v>
      </c>
      <c r="Q114" s="40"/>
      <c r="R114" s="83" t="s">
        <v>51</v>
      </c>
      <c r="S114" s="84" t="b">
        <v>0</v>
      </c>
      <c r="T114" s="86" t="b">
        <v>1</v>
      </c>
      <c r="U114" s="85" t="s">
        <v>895</v>
      </c>
      <c r="V114" t="s">
        <v>896</v>
      </c>
      <c r="W114" s="13" t="s">
        <v>1816</v>
      </c>
      <c r="X114" t="s">
        <v>4582</v>
      </c>
      <c r="Y114"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15" spans="1:25">
      <c r="A115" s="30"/>
      <c r="B115" s="30">
        <v>99</v>
      </c>
      <c r="C115" s="30" t="s">
        <v>429</v>
      </c>
      <c r="D115" s="82" t="s">
        <v>984</v>
      </c>
      <c r="E115" s="40" t="s">
        <v>279</v>
      </c>
      <c r="F115" s="30" t="s">
        <v>897</v>
      </c>
      <c r="G115" s="30" t="s">
        <v>767</v>
      </c>
      <c r="H115" s="30" t="s">
        <v>544</v>
      </c>
      <c r="I115" s="40" t="s">
        <v>351</v>
      </c>
      <c r="J115" s="40" t="str">
        <f t="shared" si="4"/>
        <v>cam_id_new</v>
      </c>
      <c r="K115" s="40" t="s">
        <v>681</v>
      </c>
      <c r="L115" s="34" t="str">
        <f>IF(VLOOKUP(J115,find_replace!H:H,1,"false")=J115,"TRUE","FALSE")</f>
        <v>TRUE</v>
      </c>
      <c r="M115" s="82" t="s">
        <v>984</v>
      </c>
      <c r="N115" s="82" t="s">
        <v>984</v>
      </c>
      <c r="O115" s="60" t="str">
        <f t="shared" si="5"/>
        <v xml:space="preserve">    term_cam_id_new: "New Camera ID"</v>
      </c>
      <c r="P115" s="39" t="str">
        <f t="shared" si="6"/>
        <v>-</v>
      </c>
      <c r="Q115" s="40"/>
      <c r="R115" s="83" t="b">
        <v>1</v>
      </c>
      <c r="S115" s="84" t="b">
        <v>0</v>
      </c>
      <c r="T115" s="84" t="b">
        <v>0</v>
      </c>
      <c r="U115" s="85" t="s">
        <v>895</v>
      </c>
      <c r="V115" t="s">
        <v>896</v>
      </c>
      <c r="W115" s="13" t="s">
        <v>1816</v>
      </c>
      <c r="X115" t="s">
        <v>4582</v>
      </c>
      <c r="Y115" t="str">
        <f t="shared" si="7"/>
        <v>-</v>
      </c>
    </row>
    <row r="116" spans="1:25">
      <c r="A116" s="30"/>
      <c r="B116" s="30">
        <v>100</v>
      </c>
      <c r="C116" s="30" t="s">
        <v>429</v>
      </c>
      <c r="D116" s="82" t="s">
        <v>984</v>
      </c>
      <c r="E116" s="40" t="s">
        <v>278</v>
      </c>
      <c r="F116" s="30" t="s">
        <v>897</v>
      </c>
      <c r="G116" s="30" t="s">
        <v>767</v>
      </c>
      <c r="H116" s="30" t="s">
        <v>544</v>
      </c>
      <c r="I116" s="40" t="s">
        <v>1240</v>
      </c>
      <c r="J116" s="40" t="str">
        <f t="shared" si="4"/>
        <v>cam_make_new</v>
      </c>
      <c r="K116" s="40" t="s">
        <v>685</v>
      </c>
      <c r="L116" s="34" t="str">
        <f>IF(VLOOKUP(J116,find_replace!H:H,1,"false")=J116,"TRUE","FALSE")</f>
        <v>TRUE</v>
      </c>
      <c r="M116" s="82" t="s">
        <v>984</v>
      </c>
      <c r="N116" s="82" t="s">
        <v>984</v>
      </c>
      <c r="O116" s="60" t="str">
        <f t="shared" si="5"/>
        <v xml:space="preserve">    term_cam_make_new: "New Camera Make"</v>
      </c>
      <c r="P116" s="39" t="str">
        <f t="shared" si="6"/>
        <v>-</v>
      </c>
      <c r="Q116" s="40"/>
      <c r="R116" s="83" t="b">
        <v>1</v>
      </c>
      <c r="S116" s="84" t="b">
        <v>0</v>
      </c>
      <c r="T116" s="84" t="b">
        <v>0</v>
      </c>
      <c r="U116" s="85" t="s">
        <v>895</v>
      </c>
      <c r="V116" t="s">
        <v>896</v>
      </c>
      <c r="W116" s="13" t="s">
        <v>1816</v>
      </c>
      <c r="X116" t="s">
        <v>4582</v>
      </c>
      <c r="Y116" t="str">
        <f t="shared" si="7"/>
        <v>-</v>
      </c>
    </row>
    <row r="117" spans="1:25">
      <c r="A117" s="30"/>
      <c r="B117" s="30">
        <v>101</v>
      </c>
      <c r="C117" s="30" t="s">
        <v>429</v>
      </c>
      <c r="D117" s="82" t="s">
        <v>984</v>
      </c>
      <c r="E117" s="40" t="s">
        <v>277</v>
      </c>
      <c r="F117" s="30" t="s">
        <v>897</v>
      </c>
      <c r="G117" s="30" t="s">
        <v>767</v>
      </c>
      <c r="H117" s="30" t="s">
        <v>544</v>
      </c>
      <c r="I117" s="40" t="s">
        <v>1242</v>
      </c>
      <c r="J117" s="40" t="str">
        <f t="shared" si="4"/>
        <v>cam_model_new</v>
      </c>
      <c r="K117" s="40" t="s">
        <v>687</v>
      </c>
      <c r="L117" s="34" t="str">
        <f>IF(VLOOKUP(J117,find_replace!H:H,1,"false")=J117,"TRUE","FALSE")</f>
        <v>TRUE</v>
      </c>
      <c r="M117" s="82" t="s">
        <v>984</v>
      </c>
      <c r="N117" s="82" t="s">
        <v>984</v>
      </c>
      <c r="O117" s="60" t="str">
        <f t="shared" si="5"/>
        <v xml:space="preserve">    term_cam_model_new: "New Camera Model"</v>
      </c>
      <c r="P117" s="39" t="str">
        <f t="shared" si="6"/>
        <v>-</v>
      </c>
      <c r="Q117" s="40"/>
      <c r="R117" s="83" t="b">
        <v>1</v>
      </c>
      <c r="S117" s="84" t="b">
        <v>0</v>
      </c>
      <c r="T117" s="84" t="b">
        <v>0</v>
      </c>
      <c r="U117" s="85" t="s">
        <v>895</v>
      </c>
      <c r="V117" t="s">
        <v>896</v>
      </c>
      <c r="W117" s="13" t="s">
        <v>1816</v>
      </c>
      <c r="X117" t="s">
        <v>4582</v>
      </c>
      <c r="Y117" t="str">
        <f t="shared" si="7"/>
        <v>-</v>
      </c>
    </row>
    <row r="118" spans="1:25">
      <c r="A118" s="30"/>
      <c r="B118" s="30">
        <v>102</v>
      </c>
      <c r="C118" s="30" t="s">
        <v>429</v>
      </c>
      <c r="D118" s="82" t="s">
        <v>984</v>
      </c>
      <c r="E118" s="40" t="s">
        <v>276</v>
      </c>
      <c r="F118" s="30" t="s">
        <v>897</v>
      </c>
      <c r="G118" s="30" t="s">
        <v>767</v>
      </c>
      <c r="H118" s="30" t="s">
        <v>544</v>
      </c>
      <c r="I118" s="40" t="s">
        <v>1244</v>
      </c>
      <c r="J118" s="40" t="str">
        <f t="shared" si="4"/>
        <v>cam_serial_number_new</v>
      </c>
      <c r="K118" s="40" t="s">
        <v>689</v>
      </c>
      <c r="L118" s="34" t="str">
        <f>IF(VLOOKUP(J118,find_replace!H:H,1,"false")=J118,"TRUE","FALSE")</f>
        <v>TRUE</v>
      </c>
      <c r="M118" s="82" t="s">
        <v>984</v>
      </c>
      <c r="N118" s="82" t="s">
        <v>984</v>
      </c>
      <c r="O118" s="60" t="str">
        <f t="shared" si="5"/>
        <v xml:space="preserve">    term_cam_serial_number_new: "New Camera Serial Number"</v>
      </c>
      <c r="P118" s="39" t="str">
        <f t="shared" si="6"/>
        <v>-</v>
      </c>
      <c r="Q118" s="40"/>
      <c r="R118" s="83" t="b">
        <v>1</v>
      </c>
      <c r="S118" s="84" t="b">
        <v>0</v>
      </c>
      <c r="T118" s="84" t="b">
        <v>0</v>
      </c>
      <c r="U118" s="85" t="s">
        <v>895</v>
      </c>
      <c r="V118" t="s">
        <v>896</v>
      </c>
      <c r="W118" s="13" t="s">
        <v>1816</v>
      </c>
      <c r="X118" t="s">
        <v>4582</v>
      </c>
      <c r="Y118" t="str">
        <f t="shared" si="7"/>
        <v>-</v>
      </c>
    </row>
    <row r="119" spans="1:25">
      <c r="A119" s="30"/>
      <c r="B119" s="30">
        <v>103</v>
      </c>
      <c r="C119" s="30" t="s">
        <v>429</v>
      </c>
      <c r="D119" s="82" t="s">
        <v>984</v>
      </c>
      <c r="E119" s="40" t="s">
        <v>556</v>
      </c>
      <c r="F119" s="30" t="s">
        <v>897</v>
      </c>
      <c r="G119" s="30" t="s">
        <v>767</v>
      </c>
      <c r="H119" s="30" t="s">
        <v>544</v>
      </c>
      <c r="I119" s="40" t="s">
        <v>352</v>
      </c>
      <c r="J119" s="40" t="str">
        <f t="shared" si="4"/>
        <v>sd_id_new</v>
      </c>
      <c r="K119" s="40" t="s">
        <v>712</v>
      </c>
      <c r="L119" s="34" t="str">
        <f>IF(VLOOKUP(J119,find_replace!H:H,1,"false")=J119,"TRUE","FALSE")</f>
        <v>TRUE</v>
      </c>
      <c r="M119" s="82" t="s">
        <v>984</v>
      </c>
      <c r="N119" s="82" t="s">
        <v>984</v>
      </c>
      <c r="O119" s="60" t="str">
        <f t="shared" si="5"/>
        <v xml:space="preserve">    term_sd_id_new: "New SD Card ID"</v>
      </c>
      <c r="P119" s="39" t="str">
        <f t="shared" si="6"/>
        <v>-</v>
      </c>
      <c r="Q119" s="40"/>
      <c r="R119" s="83" t="b">
        <v>0</v>
      </c>
      <c r="S119" s="86" t="b">
        <v>1</v>
      </c>
      <c r="T119" s="86" t="b">
        <v>1</v>
      </c>
      <c r="U119" s="85" t="s">
        <v>895</v>
      </c>
      <c r="V119" t="s">
        <v>896</v>
      </c>
      <c r="W119" s="13" t="s">
        <v>1816</v>
      </c>
      <c r="X119" t="s">
        <v>4582</v>
      </c>
      <c r="Y119" t="str">
        <f t="shared" si="7"/>
        <v>-</v>
      </c>
    </row>
    <row r="120" spans="1:25">
      <c r="A120" s="30"/>
      <c r="B120" s="30">
        <v>104</v>
      </c>
      <c r="C120" s="30" t="s">
        <v>0</v>
      </c>
      <c r="D120" s="82" t="s">
        <v>984</v>
      </c>
      <c r="E120" s="40" t="s">
        <v>150</v>
      </c>
      <c r="F120" s="30"/>
      <c r="G120" s="30" t="s">
        <v>767</v>
      </c>
      <c r="H120" s="30" t="s">
        <v>4</v>
      </c>
      <c r="I120" s="40" t="s">
        <v>459</v>
      </c>
      <c r="J120" s="40" t="str">
        <f t="shared" si="4"/>
        <v>mod_n_mixture</v>
      </c>
      <c r="K120" s="40" t="s">
        <v>150</v>
      </c>
      <c r="L120" s="34" t="str">
        <f>IF(VLOOKUP(J120,find_replace!H:H,1,"false")=J120,"TRUE","FALSE")</f>
        <v>TRUE</v>
      </c>
      <c r="M120" s="82" t="s">
        <v>386</v>
      </c>
      <c r="N120" s="82" t="s">
        <v>386</v>
      </c>
      <c r="O120" s="60" t="str">
        <f t="shared" si="5"/>
        <v xml:space="preserve">    term_mod_n_mixture: "N-mixture models"</v>
      </c>
      <c r="P120" s="39"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40"/>
      <c r="R120" s="83" t="s">
        <v>51</v>
      </c>
      <c r="S120" s="84" t="b">
        <v>0</v>
      </c>
      <c r="T120" s="86" t="b">
        <v>1</v>
      </c>
      <c r="U120" s="85" t="s">
        <v>895</v>
      </c>
      <c r="V120" t="s">
        <v>896</v>
      </c>
      <c r="W120" s="13" t="s">
        <v>1816</v>
      </c>
      <c r="X120" t="s">
        <v>4582</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5">
      <c r="A121" s="30"/>
      <c r="B121" s="30">
        <v>105</v>
      </c>
      <c r="C121" s="30" t="s">
        <v>429</v>
      </c>
      <c r="D121" s="82" t="s">
        <v>984</v>
      </c>
      <c r="E121" s="40" t="s">
        <v>4652</v>
      </c>
      <c r="F121" s="30" t="s">
        <v>897</v>
      </c>
      <c r="G121" s="30" t="s">
        <v>767</v>
      </c>
      <c r="H121" s="30" t="s">
        <v>547</v>
      </c>
      <c r="I121" s="40" t="s">
        <v>1224</v>
      </c>
      <c r="J121" s="40" t="str">
        <f t="shared" si="4"/>
        <v>northing_cam_location</v>
      </c>
      <c r="K121" s="40" t="s">
        <v>705</v>
      </c>
      <c r="L121" s="34" t="str">
        <f>IF(VLOOKUP(J121,find_replace!H:H,1,"false")=J121,"TRUE","FALSE")</f>
        <v>TRUE</v>
      </c>
      <c r="M121" s="82" t="s">
        <v>389</v>
      </c>
      <c r="N121" s="82" t="s">
        <v>389</v>
      </c>
      <c r="O121" s="60" t="str">
        <f t="shared" si="5"/>
        <v xml:space="preserve">    term_northing_cam_location: "Northing Camera Location"</v>
      </c>
      <c r="P121" s="39" t="str">
        <f t="shared" si="6"/>
        <v xml:space="preserve">    def_northing_cam_location: "The northing UTM coordinate of the camera location (e.g., '5962006'). Record using the NAD83 datum. Leave blank if recording the Latitude instead."</v>
      </c>
      <c r="Q121" s="40" t="b">
        <v>1</v>
      </c>
      <c r="R121" s="83" t="b">
        <v>1</v>
      </c>
      <c r="S121" s="86" t="b">
        <v>1</v>
      </c>
      <c r="T121" s="86" t="b">
        <v>1</v>
      </c>
      <c r="U121" s="85" t="s">
        <v>895</v>
      </c>
      <c r="V121" t="s">
        <v>896</v>
      </c>
      <c r="W121" s="13" t="s">
        <v>1816</v>
      </c>
      <c r="X121" t="s">
        <v>4582</v>
      </c>
      <c r="Y121" t="str">
        <f t="shared" si="7"/>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22" spans="1:25">
      <c r="A122" s="30"/>
      <c r="B122" s="30"/>
      <c r="C122" s="30" t="s">
        <v>0</v>
      </c>
      <c r="D122" s="82" t="s">
        <v>984</v>
      </c>
      <c r="E122" s="30"/>
      <c r="F122" s="30"/>
      <c r="G122" s="30" t="s">
        <v>768</v>
      </c>
      <c r="H122" s="30"/>
      <c r="I122" s="30" t="s">
        <v>1783</v>
      </c>
      <c r="J122" s="40" t="str">
        <f t="shared" si="4"/>
        <v>mod_divers_rich_rich_obs</v>
      </c>
      <c r="K122" s="30" t="s">
        <v>1216</v>
      </c>
      <c r="L122" s="34" t="str">
        <f>IF(VLOOKUP(J122,find_replace!H:H,1,"false")=J122,"TRUE","FALSE")</f>
        <v>TRUE</v>
      </c>
      <c r="M122" s="54" t="s">
        <v>4622</v>
      </c>
      <c r="N122" s="55" t="s">
        <v>1804</v>
      </c>
      <c r="O122" s="60" t="str">
        <f t="shared" si="5"/>
        <v xml:space="preserve">    term_mod_divers_rich_rich_obs: "Observed species richness"</v>
      </c>
      <c r="P122" s="39" t="str">
        <f t="shared" si="6"/>
        <v xml:space="preserve">    def_mod_divers_rich_rich_obs: "The sum of the number of species seen' (e.g. {{ rtxt_kitamura_et_al_2010 }}; {{ rtxt_pettorelli_et_al_2010 }}; {{ rtxt_ahumada_et_al_2011 }}; {{ rtxt_samejima_et_al_2012 }})"</v>
      </c>
      <c r="Q122" s="30"/>
      <c r="R122" s="30"/>
      <c r="S122" s="30"/>
      <c r="T122" s="30"/>
      <c r="U122" s="85" t="s">
        <v>895</v>
      </c>
      <c r="V122" t="s">
        <v>896</v>
      </c>
      <c r="W122" s="13" t="s">
        <v>1816</v>
      </c>
      <c r="X122" t="s">
        <v>4582</v>
      </c>
      <c r="Y122"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23" spans="1:25">
      <c r="A123" s="30"/>
      <c r="B123" s="30">
        <v>107</v>
      </c>
      <c r="C123" s="30" t="s">
        <v>0</v>
      </c>
      <c r="D123" s="82" t="s">
        <v>984</v>
      </c>
      <c r="E123" s="34" t="s">
        <v>46</v>
      </c>
      <c r="F123" s="30"/>
      <c r="G123" s="30" t="s">
        <v>767</v>
      </c>
      <c r="H123" s="30" t="s">
        <v>40</v>
      </c>
      <c r="I123" s="40" t="s">
        <v>47</v>
      </c>
      <c r="J123" s="40" t="str">
        <f t="shared" si="4"/>
        <v>obj_occupancy</v>
      </c>
      <c r="K123" s="34" t="s">
        <v>46</v>
      </c>
      <c r="L123" s="34" t="str">
        <f>IF(VLOOKUP(J123,find_replace!H:H,1,"false")=J123,"TRUE","FALSE")</f>
        <v>TRUE</v>
      </c>
      <c r="M123" s="82" t="s">
        <v>1010</v>
      </c>
      <c r="N123" s="82" t="s">
        <v>876</v>
      </c>
      <c r="O123" s="60" t="str">
        <f t="shared" si="5"/>
        <v xml:space="preserve">    term_obj_occupancy: "Occupancy"</v>
      </c>
      <c r="P123" s="39" t="str">
        <f t="shared" si="6"/>
        <v xml:space="preserve">    def_obj_occupancy: "The probability a site is occupied by the species ({{ rtxt_mackenzie_et_al_2002 }})."</v>
      </c>
      <c r="Q123" s="40"/>
      <c r="R123" s="83" t="s">
        <v>51</v>
      </c>
      <c r="S123" s="86" t="b">
        <v>1</v>
      </c>
      <c r="T123" s="86" t="b">
        <v>1</v>
      </c>
      <c r="U123" s="85" t="s">
        <v>895</v>
      </c>
      <c r="V123" t="s">
        <v>896</v>
      </c>
      <c r="W123" s="13" t="s">
        <v>1816</v>
      </c>
      <c r="X123" t="s">
        <v>4582</v>
      </c>
      <c r="Y123" t="str">
        <f t="shared" si="7"/>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24" spans="1:25">
      <c r="A124" s="31"/>
      <c r="B124" s="31"/>
      <c r="C124" s="31" t="s">
        <v>0</v>
      </c>
      <c r="D124" s="82" t="s">
        <v>1755</v>
      </c>
      <c r="E124" s="31" t="s">
        <v>46</v>
      </c>
      <c r="F124" s="30"/>
      <c r="G124" s="30" t="s">
        <v>767</v>
      </c>
      <c r="H124" s="31" t="s">
        <v>40</v>
      </c>
      <c r="I124" s="31" t="s">
        <v>47</v>
      </c>
      <c r="J124" s="40" t="str">
        <f t="shared" si="4"/>
        <v>obj_occupancy_mod</v>
      </c>
      <c r="K124" s="31" t="s">
        <v>46</v>
      </c>
      <c r="L124" s="34" t="e">
        <f>IF(VLOOKUP(J124,find_replace!H:H,1,"false")=J124,"TRUE","FALSE")</f>
        <v>#N/A</v>
      </c>
      <c r="M124" s="93" t="s">
        <v>1000</v>
      </c>
      <c r="N124" s="93" t="s">
        <v>875</v>
      </c>
      <c r="O124" s="60" t="str">
        <f t="shared" si="5"/>
        <v xml:space="preserve">    term_obj_occupancy_mod: "Occupancy"</v>
      </c>
      <c r="P124" s="39" t="str">
        <f t="shared" si="6"/>
        <v xml:space="preserve">    def_obj_occupancy_mod: "The probability a site is occupied by the species ({{ rtxt_mackenzie_et_al_2002 }}). Occupancy is also highly suitable for evaluating broad-scale patterns of species distribution ({{ rtxt_wearn_gloverkapfer_2017 }})."</v>
      </c>
      <c r="Q124" s="31"/>
      <c r="R124" s="31"/>
      <c r="S124" s="31"/>
      <c r="T124" s="31"/>
      <c r="U124" s="85" t="s">
        <v>895</v>
      </c>
      <c r="V124" t="s">
        <v>896</v>
      </c>
      <c r="W124" s="13" t="s">
        <v>1816</v>
      </c>
      <c r="X124" t="s">
        <v>4582</v>
      </c>
      <c r="Y124" t="str">
        <f t="shared" si="7"/>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25" spans="1:25">
      <c r="A125" s="30"/>
      <c r="B125" s="30">
        <v>108</v>
      </c>
      <c r="C125" s="30" t="s">
        <v>0</v>
      </c>
      <c r="D125" s="82" t="s">
        <v>984</v>
      </c>
      <c r="E125" s="34" t="s">
        <v>148</v>
      </c>
      <c r="F125" s="30" t="s">
        <v>897</v>
      </c>
      <c r="G125" s="30" t="s">
        <v>767</v>
      </c>
      <c r="H125" s="30" t="s">
        <v>4</v>
      </c>
      <c r="I125" s="40" t="s">
        <v>34</v>
      </c>
      <c r="J125" s="40" t="str">
        <f t="shared" si="4"/>
        <v>mod_occupancy</v>
      </c>
      <c r="K125" s="34" t="s">
        <v>148</v>
      </c>
      <c r="L125" s="34" t="str">
        <f>IF(VLOOKUP(J125,find_replace!H:H,1,"false")=J125,"TRUE","FALSE")</f>
        <v>TRUE</v>
      </c>
      <c r="M125" s="82" t="s">
        <v>147</v>
      </c>
      <c r="N125" s="82" t="s">
        <v>147</v>
      </c>
      <c r="O125" s="60" t="str">
        <f t="shared" si="5"/>
        <v xml:space="preserve">    term_mod_occupancy: "Occupancy model (MacKenzie et al., 2002)"</v>
      </c>
      <c r="P125" s="39"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5" s="40"/>
      <c r="R125" s="83" t="s">
        <v>51</v>
      </c>
      <c r="S125" s="84" t="b">
        <v>0</v>
      </c>
      <c r="T125" s="86" t="b">
        <v>1</v>
      </c>
      <c r="U125" s="85" t="s">
        <v>895</v>
      </c>
      <c r="V125" t="s">
        <v>896</v>
      </c>
      <c r="W125" s="13" t="s">
        <v>1816</v>
      </c>
      <c r="X125" t="s">
        <v>4582</v>
      </c>
      <c r="Y125"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6" spans="1:25">
      <c r="A126" s="30"/>
      <c r="B126" s="30">
        <v>109</v>
      </c>
      <c r="C126" s="30" t="s">
        <v>0</v>
      </c>
      <c r="D126" s="82" t="s">
        <v>984</v>
      </c>
      <c r="E126" s="40" t="s">
        <v>146</v>
      </c>
      <c r="F126" s="30"/>
      <c r="G126" s="30" t="s">
        <v>767</v>
      </c>
      <c r="H126" s="30" t="s">
        <v>4</v>
      </c>
      <c r="I126" s="40" t="s">
        <v>460</v>
      </c>
      <c r="J126" s="40" t="str">
        <f t="shared" si="4"/>
        <v>mod_overdispersion</v>
      </c>
      <c r="K126" s="40" t="s">
        <v>146</v>
      </c>
      <c r="L126" s="34" t="str">
        <f>IF(VLOOKUP(J126,find_replace!H:H,1,"false")=J126,"TRUE","FALSE")</f>
        <v>TRUE</v>
      </c>
      <c r="M126" s="82" t="s">
        <v>1009</v>
      </c>
      <c r="N126" s="82" t="s">
        <v>877</v>
      </c>
      <c r="O126" s="60" t="str">
        <f t="shared" si="5"/>
        <v xml:space="preserve">    term_mod_overdispersion: "Overdispersion"</v>
      </c>
      <c r="P126" s="39"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6" s="40"/>
      <c r="R126" s="83" t="s">
        <v>51</v>
      </c>
      <c r="S126" s="84" t="b">
        <v>0</v>
      </c>
      <c r="T126" s="86" t="b">
        <v>1</v>
      </c>
      <c r="U126" s="85" t="s">
        <v>895</v>
      </c>
      <c r="V126" t="s">
        <v>896</v>
      </c>
      <c r="W126" s="13" t="s">
        <v>1816</v>
      </c>
      <c r="X126" t="s">
        <v>4582</v>
      </c>
      <c r="Y126"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7" spans="1:25">
      <c r="A127" s="30"/>
      <c r="B127" s="30">
        <v>110</v>
      </c>
      <c r="C127" s="30" t="s">
        <v>0</v>
      </c>
      <c r="D127" s="82" t="s">
        <v>984</v>
      </c>
      <c r="E127" s="34" t="s">
        <v>145</v>
      </c>
      <c r="F127" s="30"/>
      <c r="G127" s="30" t="s">
        <v>767</v>
      </c>
      <c r="H127" s="30" t="s">
        <v>540</v>
      </c>
      <c r="I127" s="40" t="s">
        <v>144</v>
      </c>
      <c r="J127" s="40" t="str">
        <f t="shared" si="4"/>
        <v>sampledesign_paired</v>
      </c>
      <c r="K127" s="34" t="s">
        <v>145</v>
      </c>
      <c r="L127" s="34" t="str">
        <f>IF(VLOOKUP(J127,find_replace!H:H,1,"false")=J127,"TRUE","FALSE")</f>
        <v>TRUE</v>
      </c>
      <c r="M127" s="82" t="s">
        <v>394</v>
      </c>
      <c r="N127" s="82" t="s">
        <v>394</v>
      </c>
      <c r="O127" s="60" t="str">
        <f t="shared" si="5"/>
        <v xml:space="preserve">    term_sampledesign_paired: "Paired design"</v>
      </c>
      <c r="P127" s="39" t="str">
        <f t="shared" si="6"/>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27" s="40"/>
      <c r="R127" s="83" t="s">
        <v>51</v>
      </c>
      <c r="S127" s="86" t="b">
        <v>1</v>
      </c>
      <c r="T127" s="86" t="b">
        <v>1</v>
      </c>
      <c r="U127" s="85" t="s">
        <v>895</v>
      </c>
      <c r="V127" t="s">
        <v>896</v>
      </c>
      <c r="W127" s="13" t="s">
        <v>1816</v>
      </c>
      <c r="X127" t="s">
        <v>4582</v>
      </c>
      <c r="Y127" t="str">
        <f t="shared" si="7"/>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28" spans="1:25">
      <c r="A128" s="30"/>
      <c r="B128" s="30">
        <v>111</v>
      </c>
      <c r="C128" s="30" t="s">
        <v>0</v>
      </c>
      <c r="D128" s="82" t="s">
        <v>984</v>
      </c>
      <c r="E128" s="34" t="s">
        <v>731</v>
      </c>
      <c r="F128" s="30"/>
      <c r="G128" s="30" t="s">
        <v>767</v>
      </c>
      <c r="H128" s="40" t="s">
        <v>817</v>
      </c>
      <c r="I128" s="40" t="s">
        <v>143</v>
      </c>
      <c r="J128" s="40" t="str">
        <f t="shared" si="4"/>
        <v>typeid_partially_marked</v>
      </c>
      <c r="K128" s="34" t="s">
        <v>1428</v>
      </c>
      <c r="L128" s="34" t="str">
        <f>IF(VLOOKUP(J128,find_replace!H:H,1,"false")=J128,"TRUE","FALSE")</f>
        <v>TRUE</v>
      </c>
      <c r="M128" s="82" t="s">
        <v>423</v>
      </c>
      <c r="N128" s="82" t="s">
        <v>423</v>
      </c>
      <c r="O128" s="60" t="str">
        <f t="shared" si="5"/>
        <v xml:space="preserve">    term_typeid_partially_marked: "Partially marked individuals / populations / species"</v>
      </c>
      <c r="P128" s="39" t="str">
        <f t="shared" si="6"/>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128" s="40"/>
      <c r="R128" s="83" t="s">
        <v>51</v>
      </c>
      <c r="S128" s="84" t="b">
        <v>0</v>
      </c>
      <c r="T128" s="86" t="b">
        <v>1</v>
      </c>
      <c r="U128" s="85" t="s">
        <v>895</v>
      </c>
      <c r="V128" t="s">
        <v>896</v>
      </c>
      <c r="W128" s="13" t="s">
        <v>1816</v>
      </c>
      <c r="X128" t="s">
        <v>4582</v>
      </c>
      <c r="Y128" t="str">
        <f t="shared" si="7"/>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129" spans="1:26">
      <c r="A129" s="30"/>
      <c r="B129" s="30">
        <v>112</v>
      </c>
      <c r="C129" s="30" t="s">
        <v>429</v>
      </c>
      <c r="D129" s="82" t="s">
        <v>984</v>
      </c>
      <c r="E129" s="40" t="s">
        <v>4637</v>
      </c>
      <c r="F129" s="30" t="s">
        <v>897</v>
      </c>
      <c r="G129" s="30" t="s">
        <v>767</v>
      </c>
      <c r="H129" s="30" t="s">
        <v>546</v>
      </c>
      <c r="I129" s="40" t="s">
        <v>274</v>
      </c>
      <c r="J129" s="40" t="str">
        <f t="shared" si="4"/>
        <v>settings_photos_per_trigger</v>
      </c>
      <c r="K129" s="40" t="s">
        <v>719</v>
      </c>
      <c r="L129" s="34" t="str">
        <f>IF(VLOOKUP(J129,find_replace!H:H,1,"false")=J129,"TRUE","FALSE")</f>
        <v>TRUE</v>
      </c>
      <c r="M129" s="82" t="s">
        <v>275</v>
      </c>
      <c r="N129" s="82" t="s">
        <v>275</v>
      </c>
      <c r="O129" s="60" t="str">
        <f t="shared" si="5"/>
        <v xml:space="preserve">    term_settings_photos_per_trigger: "Photos Per Trigger"</v>
      </c>
      <c r="P129" s="39" t="str">
        <f t="shared" si="6"/>
        <v xml:space="preserve">    def_settings_photos_per_trigger: "The camera setting that describes the number of photos taken each time the camera is triggered."</v>
      </c>
      <c r="Q129" s="40"/>
      <c r="R129" s="83" t="b">
        <v>1</v>
      </c>
      <c r="S129" s="86" t="b">
        <v>1</v>
      </c>
      <c r="T129" s="86" t="b">
        <v>1</v>
      </c>
      <c r="U129" s="85" t="s">
        <v>895</v>
      </c>
      <c r="V129" t="s">
        <v>896</v>
      </c>
      <c r="W129" s="13" t="s">
        <v>1816</v>
      </c>
      <c r="X129" t="s">
        <v>4582</v>
      </c>
      <c r="Y129" t="str">
        <f t="shared" si="7"/>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30" spans="1:26">
      <c r="A130" s="30"/>
      <c r="B130" s="30">
        <v>113</v>
      </c>
      <c r="C130" s="30" t="s">
        <v>0</v>
      </c>
      <c r="D130" s="82" t="s">
        <v>984</v>
      </c>
      <c r="E130" s="34" t="s">
        <v>142</v>
      </c>
      <c r="F130" s="30"/>
      <c r="G130" s="30" t="s">
        <v>767</v>
      </c>
      <c r="H130" s="30" t="s">
        <v>4</v>
      </c>
      <c r="I130" s="40" t="s">
        <v>432</v>
      </c>
      <c r="J130" s="40" t="str">
        <f t="shared" ref="J130:J193" si="8">IF(D130&lt;&gt;"-",I130&amp;"_"&amp;D130,I130)</f>
        <v>mod_rai_poisson</v>
      </c>
      <c r="K130" s="34" t="s">
        <v>142</v>
      </c>
      <c r="L130" s="34" t="str">
        <f>IF(VLOOKUP(J130,find_replace!H:H,1,"false")=J130,"TRUE","FALSE")</f>
        <v>TRUE</v>
      </c>
      <c r="M130" s="82" t="s">
        <v>141</v>
      </c>
      <c r="N130" s="82" t="s">
        <v>141</v>
      </c>
      <c r="O130" s="60" t="str">
        <f t="shared" ref="O130:O193" si="9">IF(M130=999,"",("    term_"&amp;J130&amp;": """&amp;K130&amp;""""))</f>
        <v xml:space="preserve">    term_mod_rai_poisson: "Poisson regression"</v>
      </c>
      <c r="P130" s="39" t="str">
        <f t="shared" ref="P130:P193" si="10">IF(M130="-","-",("    def_"&amp;J130&amp;": """&amp;M130&amp;""""))</f>
        <v xml:space="preserve">    def_mod_rai_poisson: "A regression model for count data used when data are not overdispersed or zero-inflated (Lambert, 1992). [relative abundance indices]"</v>
      </c>
      <c r="Q130" s="40"/>
      <c r="R130" s="83" t="s">
        <v>51</v>
      </c>
      <c r="S130" s="84" t="b">
        <v>0</v>
      </c>
      <c r="T130" s="86" t="b">
        <v>1</v>
      </c>
      <c r="U130" s="85" t="s">
        <v>895</v>
      </c>
      <c r="V130" t="s">
        <v>896</v>
      </c>
      <c r="W130" s="13" t="s">
        <v>1816</v>
      </c>
      <c r="X130" t="s">
        <v>4582</v>
      </c>
      <c r="Y130" t="str">
        <f t="shared" ref="Y130:Y193" si="11">IF(M130&lt;&gt;"-",("    "&amp;J130&amp;"_ti"&amp;": "&amp;""""&amp;"&lt;a href=\"&amp;""""&amp;"09_glossary.html#"&amp;J130&amp;V130&amp;K130&amp;": "&amp;M130&amp;W130&amp;""&amp;X130&amp;""""),"-")</f>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31" spans="1:26" ht="15.75">
      <c r="C131" s="30" t="s">
        <v>0</v>
      </c>
      <c r="D131" s="82" t="s">
        <v>984</v>
      </c>
      <c r="G131" s="30" t="s">
        <v>651</v>
      </c>
      <c r="I131" s="31" t="s">
        <v>5184</v>
      </c>
      <c r="J131" s="40" t="str">
        <f t="shared" si="8"/>
        <v>obj_vital_rate_popln_growth</v>
      </c>
      <c r="K131" s="61" t="s">
        <v>5180</v>
      </c>
      <c r="L131" s="34" t="e">
        <f>IF(VLOOKUP(J131,find_replace!H:H,1,"false")=J131,"TRUE","FALSE")</f>
        <v>#N/A</v>
      </c>
      <c r="M131" s="107" t="s">
        <v>5181</v>
      </c>
      <c r="O131" s="60" t="str">
        <f t="shared" si="9"/>
        <v xml:space="preserve">    term_obj_vital_rate_popln_growth: "Population growth rate"</v>
      </c>
      <c r="P131" s="39"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31" s="85" t="s">
        <v>895</v>
      </c>
      <c r="V131" t="s">
        <v>896</v>
      </c>
      <c r="W131" s="13" t="s">
        <v>1816</v>
      </c>
      <c r="X131" t="s">
        <v>4582</v>
      </c>
      <c r="Y13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32" spans="1:26" s="39" customFormat="1">
      <c r="A132" s="30"/>
      <c r="B132" s="30"/>
      <c r="C132" s="30" t="s">
        <v>0</v>
      </c>
      <c r="D132" s="82" t="s">
        <v>984</v>
      </c>
      <c r="E132" s="30"/>
      <c r="F132" s="30"/>
      <c r="G132" s="30" t="s">
        <v>463</v>
      </c>
      <c r="H132" s="30"/>
      <c r="I132" s="30" t="s">
        <v>788</v>
      </c>
      <c r="J132" s="40" t="str">
        <f t="shared" si="8"/>
        <v>precision</v>
      </c>
      <c r="K132" s="30" t="s">
        <v>662</v>
      </c>
      <c r="L132" s="34" t="str">
        <f>IF(VLOOKUP(J132,find_replace!H:H,1,"false")=J132,"TRUE","FALSE")</f>
        <v>TRUE</v>
      </c>
      <c r="M132" s="54" t="s">
        <v>1352</v>
      </c>
      <c r="N132" s="54" t="s">
        <v>1353</v>
      </c>
      <c r="O132" s="60" t="str">
        <f t="shared" si="9"/>
        <v xml:space="preserve">    term_precision: "Precision"</v>
      </c>
      <c r="P132" s="39" t="str">
        <f t="shared" si="10"/>
        <v xml:space="preserve">    def_precision: "Uncertainty in estimates ({{ rtxt_hammond_et_al_2021 }})' ({{ rtxt_clarke_et_al_2023 }})."</v>
      </c>
      <c r="Q132" s="30"/>
      <c r="R132" s="30"/>
      <c r="S132" s="30"/>
      <c r="T132" s="30"/>
      <c r="U132" s="85" t="s">
        <v>895</v>
      </c>
      <c r="V132" t="s">
        <v>896</v>
      </c>
      <c r="W132" s="13" t="s">
        <v>1816</v>
      </c>
      <c r="X132" t="s">
        <v>4582</v>
      </c>
      <c r="Y132"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c r="Z132"/>
    </row>
    <row r="133" spans="1:26">
      <c r="A133" s="30"/>
      <c r="B133" s="30"/>
      <c r="C133" s="30" t="s">
        <v>0</v>
      </c>
      <c r="D133" s="82" t="s">
        <v>984</v>
      </c>
      <c r="E133" s="34" t="s">
        <v>560</v>
      </c>
      <c r="F133" s="30"/>
      <c r="G133" s="30" t="s">
        <v>767</v>
      </c>
      <c r="H133" s="30" t="s">
        <v>815</v>
      </c>
      <c r="I133" s="40" t="s">
        <v>563</v>
      </c>
      <c r="J133" s="40" t="str">
        <f t="shared" si="8"/>
        <v>use_probability</v>
      </c>
      <c r="K133" s="34" t="s">
        <v>560</v>
      </c>
      <c r="L133" s="34" t="str">
        <f>IF(VLOOKUP(J133,find_replace!H:H,1,"false")=J133,"TRUE","FALSE")</f>
        <v>TRUE</v>
      </c>
      <c r="M133" s="100" t="s">
        <v>776</v>
      </c>
      <c r="N133" s="100" t="s">
        <v>776</v>
      </c>
      <c r="O133" s="60" t="str">
        <f t="shared" si="9"/>
        <v xml:space="preserve">    term_use_probability: "Probability of use"</v>
      </c>
      <c r="P133" s="39" t="str">
        <f t="shared" si="10"/>
        <v xml:space="preserve">    def_use_probability: "The probability of at least one, use event of that resource unit during a unit of time' (i.e.,  would a particular resource unit be used at least once) (Keim et al., 2019)."</v>
      </c>
      <c r="Q133" s="30"/>
      <c r="R133" s="30"/>
      <c r="S133" s="30"/>
      <c r="T133" s="30"/>
      <c r="U133" s="85" t="s">
        <v>895</v>
      </c>
      <c r="V133" t="s">
        <v>896</v>
      </c>
      <c r="W133" s="13" t="s">
        <v>1816</v>
      </c>
      <c r="X133" t="s">
        <v>4582</v>
      </c>
      <c r="Y133" t="str">
        <f t="shared" si="11"/>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134" spans="1:26">
      <c r="A134" s="30"/>
      <c r="B134" s="30">
        <v>114</v>
      </c>
      <c r="C134" s="30" t="s">
        <v>0</v>
      </c>
      <c r="D134" s="82" t="s">
        <v>984</v>
      </c>
      <c r="E134" s="34" t="s">
        <v>140</v>
      </c>
      <c r="F134" s="30"/>
      <c r="G134" s="30" t="s">
        <v>767</v>
      </c>
      <c r="H134" s="40" t="s">
        <v>139</v>
      </c>
      <c r="I134" s="40" t="s">
        <v>139</v>
      </c>
      <c r="J134" s="40" t="str">
        <f t="shared" si="8"/>
        <v>project</v>
      </c>
      <c r="K134" s="34" t="s">
        <v>140</v>
      </c>
      <c r="L134" s="34" t="str">
        <f>IF(VLOOKUP(J134,find_replace!H:H,1,"false")=J134,"TRUE","FALSE")</f>
        <v>TRUE</v>
      </c>
      <c r="M134" s="82" t="s">
        <v>390</v>
      </c>
      <c r="N134" s="82" t="s">
        <v>390</v>
      </c>
      <c r="O134" s="60" t="str">
        <f t="shared" si="9"/>
        <v xml:space="preserve">    term_project: "Project"</v>
      </c>
      <c r="P134" s="39" t="str">
        <f t="shared" si="10"/>
        <v xml:space="preserve">    def_project: "A scientific study, inventory or monitoring program that has a certain objective, defined methods, and a defined boundary in space and time (recorded as 'Project Name')."</v>
      </c>
      <c r="Q134" s="40"/>
      <c r="R134" s="83" t="s">
        <v>51</v>
      </c>
      <c r="S134" s="86" t="b">
        <v>1</v>
      </c>
      <c r="T134" s="86" t="b">
        <v>1</v>
      </c>
      <c r="U134" s="85" t="s">
        <v>895</v>
      </c>
      <c r="V134" t="s">
        <v>896</v>
      </c>
      <c r="W134" s="13" t="s">
        <v>1816</v>
      </c>
      <c r="X134" t="s">
        <v>4582</v>
      </c>
      <c r="Y13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34" s="39"/>
    </row>
    <row r="135" spans="1:26">
      <c r="A135" s="30"/>
      <c r="B135" s="30">
        <v>115</v>
      </c>
      <c r="C135" s="30" t="s">
        <v>429</v>
      </c>
      <c r="D135" s="82" t="s">
        <v>984</v>
      </c>
      <c r="E135" s="40" t="s">
        <v>270</v>
      </c>
      <c r="F135" s="30" t="s">
        <v>897</v>
      </c>
      <c r="G135" s="30" t="s">
        <v>767</v>
      </c>
      <c r="H135" s="40" t="s">
        <v>139</v>
      </c>
      <c r="I135" s="40" t="s">
        <v>268</v>
      </c>
      <c r="J135" s="40" t="str">
        <f t="shared" si="8"/>
        <v>project_coordinator</v>
      </c>
      <c r="K135" s="40" t="s">
        <v>706</v>
      </c>
      <c r="L135" s="34" t="str">
        <f>IF(VLOOKUP(J135,find_replace!H:H,1,"false")=J135,"TRUE","FALSE")</f>
        <v>TRUE</v>
      </c>
      <c r="M135" s="82" t="s">
        <v>269</v>
      </c>
      <c r="N135" s="82" t="s">
        <v>269</v>
      </c>
      <c r="O135" s="60" t="str">
        <f t="shared" si="9"/>
        <v xml:space="preserve">    term_project_coordinator: "Project Coordinator"</v>
      </c>
      <c r="P135" s="39" t="str">
        <f t="shared" si="10"/>
        <v xml:space="preserve">    def_project_coordinator: "The first and last name of the primary contact for the project."</v>
      </c>
      <c r="Q135" s="40"/>
      <c r="R135" s="83" t="b">
        <v>1</v>
      </c>
      <c r="S135" s="86" t="b">
        <v>1</v>
      </c>
      <c r="T135" s="84" t="b">
        <v>0</v>
      </c>
      <c r="U135" s="85" t="s">
        <v>895</v>
      </c>
      <c r="V135" t="s">
        <v>896</v>
      </c>
      <c r="W135" s="13" t="s">
        <v>1816</v>
      </c>
      <c r="X135" t="s">
        <v>4582</v>
      </c>
      <c r="Y13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36" spans="1:26">
      <c r="A136" s="30"/>
      <c r="B136" s="30">
        <v>116</v>
      </c>
      <c r="C136" s="30" t="s">
        <v>429</v>
      </c>
      <c r="D136" s="82" t="s">
        <v>984</v>
      </c>
      <c r="E136" s="40" t="s">
        <v>273</v>
      </c>
      <c r="F136" s="30" t="s">
        <v>897</v>
      </c>
      <c r="G136" s="30" t="s">
        <v>767</v>
      </c>
      <c r="H136" s="40" t="s">
        <v>139</v>
      </c>
      <c r="I136" s="40" t="s">
        <v>271</v>
      </c>
      <c r="J136" s="40" t="str">
        <f t="shared" si="8"/>
        <v>project_coordinator_email</v>
      </c>
      <c r="K136" s="40" t="s">
        <v>707</v>
      </c>
      <c r="L136" s="34" t="str">
        <f>IF(VLOOKUP(J136,find_replace!H:H,1,"false")=J136,"TRUE","FALSE")</f>
        <v>TRUE</v>
      </c>
      <c r="M136" s="82" t="s">
        <v>272</v>
      </c>
      <c r="N136" s="82" t="s">
        <v>272</v>
      </c>
      <c r="O136" s="60" t="str">
        <f t="shared" si="9"/>
        <v xml:space="preserve">    term_project_coordinator_email: "Project Coordinator Email"</v>
      </c>
      <c r="P136" s="39" t="str">
        <f t="shared" si="10"/>
        <v xml:space="preserve">    def_project_coordinator_email: "The email address of the Project Coordinator."</v>
      </c>
      <c r="Q136" s="40"/>
      <c r="R136" s="83" t="b">
        <v>1</v>
      </c>
      <c r="S136" s="86" t="b">
        <v>1</v>
      </c>
      <c r="T136" s="84" t="b">
        <v>0</v>
      </c>
      <c r="U136" s="85" t="s">
        <v>895</v>
      </c>
      <c r="V136" t="s">
        <v>896</v>
      </c>
      <c r="W136" s="13" t="s">
        <v>1816</v>
      </c>
      <c r="X136" t="s">
        <v>4582</v>
      </c>
      <c r="Y13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37" spans="1:26">
      <c r="A137" s="30"/>
      <c r="B137" s="30">
        <v>117</v>
      </c>
      <c r="C137" s="30" t="s">
        <v>429</v>
      </c>
      <c r="D137" s="82" t="s">
        <v>984</v>
      </c>
      <c r="E137" s="40" t="s">
        <v>267</v>
      </c>
      <c r="F137" s="30" t="s">
        <v>897</v>
      </c>
      <c r="G137" s="30" t="s">
        <v>767</v>
      </c>
      <c r="H137" s="40" t="s">
        <v>139</v>
      </c>
      <c r="I137" s="40" t="s">
        <v>265</v>
      </c>
      <c r="J137" s="40" t="str">
        <f t="shared" si="8"/>
        <v>project_description</v>
      </c>
      <c r="K137" s="40" t="s">
        <v>708</v>
      </c>
      <c r="L137" s="34" t="str">
        <f>IF(VLOOKUP(J137,find_replace!H:H,1,"false")=J137,"TRUE","FALSE")</f>
        <v>TRUE</v>
      </c>
      <c r="M137" s="82" t="s">
        <v>266</v>
      </c>
      <c r="N137" s="82" t="s">
        <v>266</v>
      </c>
      <c r="O137" s="60" t="str">
        <f t="shared" si="9"/>
        <v xml:space="preserve">    term_project_description: "Project Description"</v>
      </c>
      <c r="P137" s="39" t="str">
        <f t="shared" si="10"/>
        <v xml:space="preserve">    def_project_description: "A description of the project objective(s) and general methods."</v>
      </c>
      <c r="Q137" s="40"/>
      <c r="R137" s="83" t="b">
        <v>1</v>
      </c>
      <c r="S137" s="86" t="b">
        <v>1</v>
      </c>
      <c r="T137" s="84" t="b">
        <v>0</v>
      </c>
      <c r="U137" s="85" t="s">
        <v>895</v>
      </c>
      <c r="V137" t="s">
        <v>896</v>
      </c>
      <c r="W137" s="13" t="s">
        <v>1816</v>
      </c>
      <c r="X137" t="s">
        <v>4582</v>
      </c>
      <c r="Y13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38" spans="1:26">
      <c r="A138" s="30"/>
      <c r="B138" s="30">
        <v>118</v>
      </c>
      <c r="C138" s="30" t="s">
        <v>429</v>
      </c>
      <c r="D138" s="82" t="s">
        <v>984</v>
      </c>
      <c r="E138" s="40" t="s">
        <v>4630</v>
      </c>
      <c r="F138" s="30" t="s">
        <v>897</v>
      </c>
      <c r="G138" s="30" t="s">
        <v>767</v>
      </c>
      <c r="H138" s="40" t="s">
        <v>139</v>
      </c>
      <c r="I138" s="40" t="s">
        <v>264</v>
      </c>
      <c r="J138" s="40" t="str">
        <f t="shared" si="8"/>
        <v>project_name</v>
      </c>
      <c r="K138" s="40" t="s">
        <v>709</v>
      </c>
      <c r="L138" s="34" t="str">
        <f>IF(VLOOKUP(J138,find_replace!H:H,1,"false")=J138,"TRUE","FALSE")</f>
        <v>TRUE</v>
      </c>
      <c r="M138" s="82" t="s">
        <v>391</v>
      </c>
      <c r="N138" s="82" t="s">
        <v>391</v>
      </c>
      <c r="O138" s="60" t="str">
        <f t="shared" si="9"/>
        <v xml:space="preserve">    term_project_name: "Project Name"</v>
      </c>
      <c r="P138" s="39" t="str">
        <f t="shared" si="10"/>
        <v xml:space="preserve">    def_project_name: "A unique alphanumeric identifier for each project. Ideally, the Project Name should include an abbreviation for the organization, a brief project name, and the year the project began (e.g., 'uofa_oilsands_2018')."</v>
      </c>
      <c r="Q138" s="40"/>
      <c r="R138" s="83" t="b">
        <v>1</v>
      </c>
      <c r="S138" s="86" t="b">
        <v>1</v>
      </c>
      <c r="T138" s="86" t="b">
        <v>1</v>
      </c>
      <c r="U138" s="85" t="s">
        <v>895</v>
      </c>
      <c r="V138" t="s">
        <v>896</v>
      </c>
      <c r="W138" s="13" t="s">
        <v>1816</v>
      </c>
      <c r="X138" t="s">
        <v>4582</v>
      </c>
      <c r="Y13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39" spans="1:26">
      <c r="A139" s="30"/>
      <c r="B139" s="30">
        <v>119</v>
      </c>
      <c r="C139" s="30" t="s">
        <v>0</v>
      </c>
      <c r="D139" s="82" t="s">
        <v>984</v>
      </c>
      <c r="E139" s="34" t="s">
        <v>138</v>
      </c>
      <c r="F139" s="30"/>
      <c r="G139" s="30" t="s">
        <v>767</v>
      </c>
      <c r="H139" s="30"/>
      <c r="I139" s="40" t="s">
        <v>136</v>
      </c>
      <c r="J139" s="40" t="str">
        <f t="shared" si="8"/>
        <v>pseudoreplication</v>
      </c>
      <c r="K139" s="34" t="s">
        <v>138</v>
      </c>
      <c r="L139" s="34" t="str">
        <f>IF(VLOOKUP(J139,find_replace!H:H,1,"false")=J139,"TRUE","FALSE")</f>
        <v>TRUE</v>
      </c>
      <c r="M139" s="82" t="s">
        <v>137</v>
      </c>
      <c r="N139" s="82" t="s">
        <v>137</v>
      </c>
      <c r="O139" s="60" t="str">
        <f t="shared" si="9"/>
        <v xml:space="preserve">    term_pseudoreplication: "Pseudoreplication"</v>
      </c>
      <c r="P139" s="39" t="str">
        <f t="shared" si="10"/>
        <v xml:space="preserve">    def_pseudoreplication: "When observations are not statistically independent (spatially or temporally) but are treated as if they are independent."</v>
      </c>
      <c r="Q139" s="40"/>
      <c r="R139" s="83" t="s">
        <v>51</v>
      </c>
      <c r="S139" s="84" t="b">
        <v>0</v>
      </c>
      <c r="T139" s="86" t="b">
        <v>1</v>
      </c>
      <c r="U139" s="85" t="s">
        <v>895</v>
      </c>
      <c r="V139" t="s">
        <v>896</v>
      </c>
      <c r="W139" s="13" t="s">
        <v>1816</v>
      </c>
      <c r="X139" t="s">
        <v>4582</v>
      </c>
      <c r="Y13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40" spans="1:26">
      <c r="A140" s="30"/>
      <c r="B140" s="30">
        <v>120</v>
      </c>
      <c r="C140" s="30" t="s">
        <v>429</v>
      </c>
      <c r="D140" s="82" t="s">
        <v>984</v>
      </c>
      <c r="E140" s="40" t="s">
        <v>263</v>
      </c>
      <c r="F140" s="30" t="s">
        <v>897</v>
      </c>
      <c r="G140" s="30" t="s">
        <v>767</v>
      </c>
      <c r="H140" s="30" t="s">
        <v>541</v>
      </c>
      <c r="I140" s="40" t="s">
        <v>262</v>
      </c>
      <c r="J140" s="40" t="str">
        <f t="shared" si="8"/>
        <v>purpose_of_visit</v>
      </c>
      <c r="K140" s="40" t="s">
        <v>710</v>
      </c>
      <c r="L140" s="34" t="str">
        <f>IF(VLOOKUP(J140,find_replace!H:H,1,"false")=J140,"TRUE","FALSE")</f>
        <v>TRUE</v>
      </c>
      <c r="M140" s="82" t="s">
        <v>417</v>
      </c>
      <c r="N140" s="82" t="s">
        <v>417</v>
      </c>
      <c r="O140" s="60" t="str">
        <f t="shared" si="9"/>
        <v xml:space="preserve">    term_purpose_of_visit: "Purpose of Visit"</v>
      </c>
      <c r="P140" s="39" t="str">
        <f t="shared" si="10"/>
        <v xml:space="preserve">    def_purpose_of_visit: "The reason for visiting the camera location (i.e. to deploy the camera ['Deployment'], retrieve the camera ['Retrieve'] or to change batteries*/SD card or replace the camera ['Service'])."</v>
      </c>
      <c r="Q140" s="40"/>
      <c r="R140" s="83" t="b">
        <v>1</v>
      </c>
      <c r="S140" s="86" t="b">
        <v>1</v>
      </c>
      <c r="T140" s="86" t="b">
        <v>1</v>
      </c>
      <c r="U140" s="85" t="s">
        <v>895</v>
      </c>
      <c r="V140" t="s">
        <v>896</v>
      </c>
      <c r="W140" s="13" t="s">
        <v>1816</v>
      </c>
      <c r="X140" t="s">
        <v>4582</v>
      </c>
      <c r="Y14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41" spans="1:26">
      <c r="A141" s="30"/>
      <c r="B141" s="30">
        <v>121</v>
      </c>
      <c r="C141" s="30" t="s">
        <v>429</v>
      </c>
      <c r="D141" s="82" t="s">
        <v>984</v>
      </c>
      <c r="E141" s="40" t="s">
        <v>4660</v>
      </c>
      <c r="F141" s="30" t="s">
        <v>897</v>
      </c>
      <c r="G141" s="30" t="s">
        <v>767</v>
      </c>
      <c r="H141" s="30" t="s">
        <v>546</v>
      </c>
      <c r="I141" s="40" t="s">
        <v>261</v>
      </c>
      <c r="J141" s="40" t="str">
        <f t="shared" si="8"/>
        <v>settings_quiet_period</v>
      </c>
      <c r="K141" s="40" t="s">
        <v>720</v>
      </c>
      <c r="L141" s="34" t="str">
        <f>IF(VLOOKUP(J141,find_replace!H:H,1,"false")=J141,"TRUE","FALSE")</f>
        <v>TRUE</v>
      </c>
      <c r="M141" s="82" t="s">
        <v>400</v>
      </c>
      <c r="N141" s="82" t="s">
        <v>400</v>
      </c>
      <c r="O141" s="60" t="str">
        <f t="shared" si="9"/>
        <v xml:space="preserve">    term_settings_quiet_period: "Quiet Period (seconds)"</v>
      </c>
      <c r="P141" s="39"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41" s="40" t="b">
        <v>1</v>
      </c>
      <c r="R141" s="83" t="b">
        <v>1</v>
      </c>
      <c r="S141" s="86" t="b">
        <v>1</v>
      </c>
      <c r="T141" s="86" t="b">
        <v>1</v>
      </c>
      <c r="U141" s="85" t="s">
        <v>895</v>
      </c>
      <c r="V141" t="s">
        <v>896</v>
      </c>
      <c r="W141" s="13" t="s">
        <v>1816</v>
      </c>
      <c r="X141" t="s">
        <v>4582</v>
      </c>
      <c r="Y14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42" spans="1:26">
      <c r="A142" s="30"/>
      <c r="B142" s="30">
        <v>122</v>
      </c>
      <c r="C142" s="30" t="s">
        <v>0</v>
      </c>
      <c r="D142" s="82" t="s">
        <v>984</v>
      </c>
      <c r="E142" s="34" t="s">
        <v>456</v>
      </c>
      <c r="F142" s="30"/>
      <c r="G142" s="30" t="s">
        <v>767</v>
      </c>
      <c r="H142" s="30" t="s">
        <v>540</v>
      </c>
      <c r="I142" s="40" t="s">
        <v>134</v>
      </c>
      <c r="J142" s="40" t="str">
        <f t="shared" si="8"/>
        <v>sampledesign_random</v>
      </c>
      <c r="K142" s="34" t="s">
        <v>456</v>
      </c>
      <c r="L142" s="34" t="str">
        <f>IF(VLOOKUP(J142,find_replace!H:H,1,"false")=J142,"TRUE","FALSE")</f>
        <v>TRUE</v>
      </c>
      <c r="M142" s="82" t="s">
        <v>135</v>
      </c>
      <c r="N142" s="82" t="s">
        <v>135</v>
      </c>
      <c r="O142" s="60" t="str">
        <f t="shared" si="9"/>
        <v xml:space="preserve">    term_sampledesign_random: "Random (or 'simple random') design"</v>
      </c>
      <c r="P142" s="39" t="str">
        <f t="shared" si="10"/>
        <v xml:space="preserve">    def_sampledesign_random: "Cameras occur at randomized camera locations (or sample stations) across the area of interest, sometimes with a predetermined minimum distance between camera locations (or sample stations)."</v>
      </c>
      <c r="Q142" s="40"/>
      <c r="R142" s="83" t="s">
        <v>51</v>
      </c>
      <c r="S142" s="86" t="b">
        <v>1</v>
      </c>
      <c r="T142" s="86" t="b">
        <v>1</v>
      </c>
      <c r="U142" s="85" t="s">
        <v>895</v>
      </c>
      <c r="V142" t="s">
        <v>896</v>
      </c>
      <c r="W142" s="13" t="s">
        <v>1816</v>
      </c>
      <c r="X142" t="s">
        <v>4582</v>
      </c>
      <c r="Y142"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43" spans="1:26">
      <c r="A143" s="30"/>
      <c r="B143" s="30">
        <v>123</v>
      </c>
      <c r="C143" s="30" t="s">
        <v>0</v>
      </c>
      <c r="D143" s="82" t="s">
        <v>984</v>
      </c>
      <c r="E143" s="40" t="s">
        <v>4624</v>
      </c>
      <c r="F143" s="30" t="s">
        <v>897</v>
      </c>
      <c r="G143" s="30" t="s">
        <v>767</v>
      </c>
      <c r="H143" s="30" t="s">
        <v>4</v>
      </c>
      <c r="I143" s="40" t="s">
        <v>14</v>
      </c>
      <c r="J143" s="40" t="str">
        <f t="shared" si="8"/>
        <v>mod_rest</v>
      </c>
      <c r="K143" s="40" t="s">
        <v>4624</v>
      </c>
      <c r="L143" s="34" t="str">
        <f>IF(VLOOKUP(J143,find_replace!H:H,1,"false")=J143,"TRUE","FALSE")</f>
        <v>TRUE</v>
      </c>
      <c r="M143" s="82" t="s">
        <v>133</v>
      </c>
      <c r="N143" s="82" t="s">
        <v>133</v>
      </c>
      <c r="O143" s="60" t="str">
        <f t="shared" si="9"/>
        <v xml:space="preserve">    term_mod_rest: "Random encounter and staying time (REST) model (Nakashima et al., 2018)"</v>
      </c>
      <c r="P143" s="39" t="str">
        <f t="shared" si="10"/>
        <v xml:space="preserve">    def_mod_rest: "A recent modification of the REM (Nakashima et al., 2018) that substitutes staying time (i.e., the cumulative time in the cameras' detection zone) for movement speed (staying time and movement speed are inversely proportional) (Cappelle et al., 2021)."</v>
      </c>
      <c r="Q143" s="40"/>
      <c r="R143" s="83" t="s">
        <v>51</v>
      </c>
      <c r="S143" s="84" t="b">
        <v>0</v>
      </c>
      <c r="T143" s="86" t="b">
        <v>1</v>
      </c>
      <c r="U143" s="85" t="s">
        <v>895</v>
      </c>
      <c r="V143" t="s">
        <v>896</v>
      </c>
      <c r="W143" s="13" t="s">
        <v>1816</v>
      </c>
      <c r="X143" t="s">
        <v>4582</v>
      </c>
      <c r="Y143" t="str">
        <f t="shared" si="11"/>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44" spans="1:26">
      <c r="A144" s="30"/>
      <c r="B144" s="30">
        <v>124</v>
      </c>
      <c r="C144" s="30" t="s">
        <v>0</v>
      </c>
      <c r="D144" s="82" t="s">
        <v>984</v>
      </c>
      <c r="E144" s="34" t="s">
        <v>132</v>
      </c>
      <c r="F144" s="30" t="s">
        <v>897</v>
      </c>
      <c r="G144" s="30" t="s">
        <v>767</v>
      </c>
      <c r="H144" s="30" t="s">
        <v>4</v>
      </c>
      <c r="I144" s="40" t="s">
        <v>16</v>
      </c>
      <c r="J144" s="40" t="str">
        <f t="shared" si="8"/>
        <v>mod_rem</v>
      </c>
      <c r="K144" s="34" t="s">
        <v>132</v>
      </c>
      <c r="L144" s="34" t="str">
        <f>IF(VLOOKUP(J144,find_replace!H:H,1,"false")=J144,"TRUE","FALSE")</f>
        <v>TRUE</v>
      </c>
      <c r="M144" s="82" t="s">
        <v>771</v>
      </c>
      <c r="N144" s="82" t="s">
        <v>861</v>
      </c>
      <c r="O144" s="60" t="str">
        <f t="shared" si="9"/>
        <v xml:space="preserve">    term_mod_rem: "Random encounter model (REM) (Rowcliffe et al., 2008, 2013)"</v>
      </c>
      <c r="P144" s="39" t="str">
        <f t="shared" si="10"/>
        <v xml:space="preserve">    def_mod_rem: "A method used to estimate the [density](#density) of unmarked populations; uses the rate of independent captures, an estimate of movement rate, average group size, and the area sampled by the remote camera."</v>
      </c>
      <c r="Q144" s="40"/>
      <c r="R144" s="83" t="s">
        <v>51</v>
      </c>
      <c r="S144" s="84" t="b">
        <v>0</v>
      </c>
      <c r="T144" s="86" t="b">
        <v>1</v>
      </c>
      <c r="U144" s="85" t="s">
        <v>895</v>
      </c>
      <c r="V144" t="s">
        <v>896</v>
      </c>
      <c r="W144" s="13" t="s">
        <v>1816</v>
      </c>
      <c r="X144" t="s">
        <v>4582</v>
      </c>
      <c r="Y144" t="str">
        <f t="shared" si="11"/>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45" spans="1:25">
      <c r="A145" s="30"/>
      <c r="B145" s="30"/>
      <c r="C145" s="30" t="s">
        <v>0</v>
      </c>
      <c r="D145" s="82" t="s">
        <v>984</v>
      </c>
      <c r="E145" s="30"/>
      <c r="F145" s="30"/>
      <c r="G145" s="30" t="s">
        <v>768</v>
      </c>
      <c r="H145" s="30"/>
      <c r="I145" s="30" t="s">
        <v>985</v>
      </c>
      <c r="J145" s="40" t="str">
        <f t="shared" si="8"/>
        <v>rarefaction</v>
      </c>
      <c r="K145" s="30" t="s">
        <v>1358</v>
      </c>
      <c r="L145" s="34" t="str">
        <f>IF(VLOOKUP(J145,find_replace!H:H,1,"false")=J145,"TRUE","FALSE")</f>
        <v>TRUE</v>
      </c>
      <c r="M145" s="55" t="s">
        <v>1834</v>
      </c>
      <c r="N145" s="55" t="s">
        <v>1836</v>
      </c>
      <c r="O145" s="60" t="str">
        <f t="shared" si="9"/>
        <v xml:space="preserve">    term_rarefaction: "Rarefaction"</v>
      </c>
      <c r="P145" s="39"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45" s="30"/>
      <c r="R145" s="30"/>
      <c r="S145" s="30"/>
      <c r="T145" s="30"/>
      <c r="U145" s="85" t="s">
        <v>895</v>
      </c>
      <c r="V145" t="s">
        <v>896</v>
      </c>
      <c r="W145" s="13" t="s">
        <v>1816</v>
      </c>
      <c r="X145" t="s">
        <v>4582</v>
      </c>
      <c r="Y145"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46" spans="1:25">
      <c r="A146" s="30"/>
      <c r="B146" s="30">
        <v>125</v>
      </c>
      <c r="C146" s="30" t="s">
        <v>0</v>
      </c>
      <c r="D146" s="82" t="s">
        <v>984</v>
      </c>
      <c r="E146" s="34" t="s">
        <v>131</v>
      </c>
      <c r="F146" s="30"/>
      <c r="G146" s="30" t="s">
        <v>767</v>
      </c>
      <c r="H146" s="30" t="s">
        <v>549</v>
      </c>
      <c r="I146" s="40" t="s">
        <v>129</v>
      </c>
      <c r="J146" s="40" t="str">
        <f t="shared" si="8"/>
        <v>recovery_time</v>
      </c>
      <c r="K146" s="34" t="s">
        <v>131</v>
      </c>
      <c r="L146" s="34" t="str">
        <f>IF(VLOOKUP(J146,find_replace!H:H,1,"false")=J146,"TRUE","FALSE")</f>
        <v>TRUE</v>
      </c>
      <c r="M146" s="82" t="s">
        <v>130</v>
      </c>
      <c r="N146" s="82" t="s">
        <v>130</v>
      </c>
      <c r="O146" s="60" t="str">
        <f t="shared" si="9"/>
        <v xml:space="preserve">    term_recovery_time: "Recovery time"</v>
      </c>
      <c r="P146" s="39" t="str">
        <f t="shared" si="10"/>
        <v xml:space="preserve">    def_recovery_time: "The time necessary for the camera to prepare to capture the next photo after the previous one has been recorded (Trolliet et al., 2014)."</v>
      </c>
      <c r="Q146" s="40"/>
      <c r="R146" s="83" t="s">
        <v>51</v>
      </c>
      <c r="S146" s="84" t="b">
        <v>0</v>
      </c>
      <c r="T146" s="86" t="b">
        <v>1</v>
      </c>
      <c r="U146" s="85" t="s">
        <v>895</v>
      </c>
      <c r="V146" t="s">
        <v>896</v>
      </c>
      <c r="W146" s="13" t="s">
        <v>1816</v>
      </c>
      <c r="X146" t="s">
        <v>4582</v>
      </c>
      <c r="Y146"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47" spans="1:25" ht="15.75">
      <c r="C147" s="30" t="s">
        <v>0</v>
      </c>
      <c r="D147" s="82" t="s">
        <v>984</v>
      </c>
      <c r="G147" s="30" t="s">
        <v>651</v>
      </c>
      <c r="I147" s="31" t="s">
        <v>5183</v>
      </c>
      <c r="J147" s="40" t="str">
        <f t="shared" si="8"/>
        <v>obj_vital_rate_recruitment</v>
      </c>
      <c r="K147" s="106" t="s">
        <v>4538</v>
      </c>
      <c r="L147" s="34" t="e">
        <f>IF(VLOOKUP(J147,find_replace!H:H,1,"false")=J147,"TRUE","FALSE")</f>
        <v>#N/A</v>
      </c>
      <c r="M147" s="64" t="s">
        <v>5179</v>
      </c>
      <c r="O147" s="60" t="str">
        <f t="shared" si="9"/>
        <v xml:space="preserve">    term_obj_vital_rate_recruitment: "Recruitment rate"</v>
      </c>
      <c r="P147" s="39"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47" s="85" t="s">
        <v>895</v>
      </c>
      <c r="V147" t="s">
        <v>896</v>
      </c>
      <c r="W147" s="13" t="s">
        <v>1816</v>
      </c>
      <c r="X147" t="s">
        <v>4582</v>
      </c>
      <c r="Y147"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48" spans="1:25">
      <c r="A148" s="30"/>
      <c r="B148" s="30">
        <v>126</v>
      </c>
      <c r="C148" s="30" t="s">
        <v>0</v>
      </c>
      <c r="D148" s="82" t="s">
        <v>984</v>
      </c>
      <c r="E148" s="34" t="s">
        <v>128</v>
      </c>
      <c r="F148" s="30"/>
      <c r="G148" s="30" t="s">
        <v>767</v>
      </c>
      <c r="H148" s="40" t="s">
        <v>542</v>
      </c>
      <c r="I148" s="40" t="s">
        <v>126</v>
      </c>
      <c r="J148" s="40" t="str">
        <f t="shared" si="8"/>
        <v>fov_registration_area</v>
      </c>
      <c r="K148" s="34" t="s">
        <v>128</v>
      </c>
      <c r="L148" s="34" t="str">
        <f>IF(VLOOKUP(J148,find_replace!H:H,1,"false")=J148,"TRUE","FALSE")</f>
        <v>TRUE</v>
      </c>
      <c r="M148" s="82" t="s">
        <v>127</v>
      </c>
      <c r="N148" s="82" t="s">
        <v>127</v>
      </c>
      <c r="O148" s="60" t="str">
        <f t="shared" si="9"/>
        <v xml:space="preserve">    term_fov_registration_area: "Registration area"</v>
      </c>
      <c r="P148" s="39" t="str">
        <f t="shared" si="10"/>
        <v xml:space="preserve">    def_fov_registration_area: "The area in which an animal entering has at least some probability of being captured on the image."</v>
      </c>
      <c r="Q148" s="40"/>
      <c r="R148" s="83" t="s">
        <v>51</v>
      </c>
      <c r="S148" s="84" t="b">
        <v>0</v>
      </c>
      <c r="T148" s="86" t="b">
        <v>1</v>
      </c>
      <c r="U148" s="85" t="s">
        <v>895</v>
      </c>
      <c r="V148" t="s">
        <v>896</v>
      </c>
      <c r="W148" s="13" t="s">
        <v>1816</v>
      </c>
      <c r="X148" t="s">
        <v>4582</v>
      </c>
      <c r="Y148" t="str">
        <f t="shared" si="11"/>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149" spans="1:25">
      <c r="A149" s="31"/>
      <c r="B149" s="31"/>
      <c r="C149" s="31" t="s">
        <v>0</v>
      </c>
      <c r="D149" s="82" t="s">
        <v>984</v>
      </c>
      <c r="E149" s="31" t="s">
        <v>44</v>
      </c>
      <c r="F149" s="30"/>
      <c r="G149" s="30" t="s">
        <v>767</v>
      </c>
      <c r="H149" s="31" t="s">
        <v>40</v>
      </c>
      <c r="I149" s="31" t="s">
        <v>45</v>
      </c>
      <c r="J149" s="40" t="str">
        <f t="shared" si="8"/>
        <v>obj_rel_abund</v>
      </c>
      <c r="K149" s="31" t="s">
        <v>44</v>
      </c>
      <c r="L149" s="34" t="str">
        <f>IF(VLOOKUP(J149,find_replace!H:H,1,"false")=J149,"TRUE","FALSE")</f>
        <v>TRUE</v>
      </c>
      <c r="M149" s="31" t="s">
        <v>816</v>
      </c>
      <c r="N149" s="31" t="s">
        <v>816</v>
      </c>
      <c r="O149" s="60" t="str">
        <f t="shared" si="9"/>
        <v xml:space="preserve">    term_obj_rel_abund: "Relative abundance"</v>
      </c>
      <c r="P149" s="39" t="str">
        <f t="shared" si="10"/>
        <v xml:space="preserve">    def_obj_rel_abund: "The number of animals detected from one camera/area compared to another camera/area."</v>
      </c>
      <c r="Q149" s="31"/>
      <c r="R149" s="31"/>
      <c r="S149" s="31"/>
      <c r="T149" s="31"/>
      <c r="U149" s="85" t="s">
        <v>895</v>
      </c>
      <c r="V149" t="s">
        <v>896</v>
      </c>
      <c r="W149" s="13" t="s">
        <v>1816</v>
      </c>
      <c r="X149" t="s">
        <v>4582</v>
      </c>
      <c r="Y149"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50" spans="1:25">
      <c r="A150" s="30"/>
      <c r="B150" s="30">
        <v>127</v>
      </c>
      <c r="C150" s="30" t="s">
        <v>0</v>
      </c>
      <c r="D150" s="82" t="s">
        <v>984</v>
      </c>
      <c r="E150" s="34" t="s">
        <v>32</v>
      </c>
      <c r="F150" s="30"/>
      <c r="G150" s="30" t="s">
        <v>767</v>
      </c>
      <c r="H150" s="30" t="s">
        <v>4</v>
      </c>
      <c r="I150" s="40" t="s">
        <v>33</v>
      </c>
      <c r="J150" s="40" t="str">
        <f t="shared" si="8"/>
        <v>mod_rai</v>
      </c>
      <c r="K150" s="34" t="s">
        <v>32</v>
      </c>
      <c r="L150" s="34" t="str">
        <f>IF(VLOOKUP(J150,find_replace!H:H,1,"false")=J150,"TRUE","FALSE")</f>
        <v>TRUE</v>
      </c>
      <c r="M150" s="82" t="s">
        <v>125</v>
      </c>
      <c r="N150" s="82" t="s">
        <v>125</v>
      </c>
      <c r="O150" s="60" t="str">
        <f t="shared" si="9"/>
        <v xml:space="preserve">    term_mod_rai: "Relative abundance indices"</v>
      </c>
      <c r="P150" s="39" t="str">
        <f t="shared" si="10"/>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50" s="40"/>
      <c r="R150" s="83" t="s">
        <v>51</v>
      </c>
      <c r="S150" s="84" t="b">
        <v>0</v>
      </c>
      <c r="T150" s="86" t="b">
        <v>1</v>
      </c>
      <c r="U150" s="85" t="s">
        <v>895</v>
      </c>
      <c r="V150" t="s">
        <v>896</v>
      </c>
      <c r="W150" s="13" t="s">
        <v>1816</v>
      </c>
      <c r="X150" t="s">
        <v>4582</v>
      </c>
      <c r="Y150" t="str">
        <f t="shared" si="11"/>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51" spans="1:25">
      <c r="A151" s="30"/>
      <c r="B151" s="30">
        <v>128</v>
      </c>
      <c r="C151" s="30" t="s">
        <v>429</v>
      </c>
      <c r="D151" s="82" t="s">
        <v>984</v>
      </c>
      <c r="E151" s="40" t="s">
        <v>494</v>
      </c>
      <c r="F151" s="30" t="s">
        <v>897</v>
      </c>
      <c r="G151" s="30" t="s">
        <v>767</v>
      </c>
      <c r="H151" s="30" t="s">
        <v>544</v>
      </c>
      <c r="I151" s="40" t="s">
        <v>324</v>
      </c>
      <c r="J151" s="40" t="str">
        <f t="shared" si="8"/>
        <v>remaining_battery_percent</v>
      </c>
      <c r="K151" s="40" t="s">
        <v>752</v>
      </c>
      <c r="L151" s="34" t="str">
        <f>IF(VLOOKUP(J151,find_replace!H:H,1,"false")=J151,"TRUE","FALSE")</f>
        <v>TRUE</v>
      </c>
      <c r="M151" s="82" t="s">
        <v>325</v>
      </c>
      <c r="N151" s="82" t="s">
        <v>325</v>
      </c>
      <c r="O151" s="60" t="str">
        <f t="shared" si="9"/>
        <v xml:space="preserve">    term_remaining_battery_percent: "Remaining Battery (%)"</v>
      </c>
      <c r="P151" s="39" t="str">
        <f t="shared" si="10"/>
        <v xml:space="preserve">    def_remaining_battery_percent: "The remaining battery power (%) of batteries within a camera."</v>
      </c>
      <c r="Q151" s="40"/>
      <c r="R151" s="83" t="b">
        <v>0</v>
      </c>
      <c r="S151" s="86" t="b">
        <v>1</v>
      </c>
      <c r="T151" s="86" t="b">
        <v>1</v>
      </c>
      <c r="U151" s="85" t="s">
        <v>895</v>
      </c>
      <c r="V151" t="s">
        <v>896</v>
      </c>
      <c r="W151" s="13" t="s">
        <v>1816</v>
      </c>
      <c r="X151" t="s">
        <v>4582</v>
      </c>
      <c r="Y151"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52" spans="1:25">
      <c r="A152" s="30"/>
      <c r="B152" s="30">
        <v>129</v>
      </c>
      <c r="C152" s="30" t="s">
        <v>0</v>
      </c>
      <c r="D152" s="82" t="s">
        <v>984</v>
      </c>
      <c r="E152" s="34" t="s">
        <v>124</v>
      </c>
      <c r="F152" s="30" t="s">
        <v>897</v>
      </c>
      <c r="G152" s="30" t="s">
        <v>767</v>
      </c>
      <c r="H152" s="30" t="s">
        <v>4</v>
      </c>
      <c r="I152" s="40" t="s">
        <v>461</v>
      </c>
      <c r="J152" s="40" t="str">
        <f t="shared" si="8"/>
        <v>mod_royle_nichols</v>
      </c>
      <c r="K152" s="34" t="s">
        <v>124</v>
      </c>
      <c r="L152" s="34" t="str">
        <f>IF(VLOOKUP(J152,find_replace!H:H,1,"false")=J152,"TRUE","FALSE")</f>
        <v>TRUE</v>
      </c>
      <c r="M152" s="82" t="s">
        <v>772</v>
      </c>
      <c r="N152" s="82" t="s">
        <v>862</v>
      </c>
      <c r="O152" s="60" t="str">
        <f t="shared" si="9"/>
        <v xml:space="preserve">    term_mod_royle_nichols: "Royle-Nichols model (Royle &amp; Nichols, 2003; MacKenzie et al., 2006)"</v>
      </c>
      <c r="P152" s="39"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52" s="40"/>
      <c r="R152" s="83" t="s">
        <v>51</v>
      </c>
      <c r="S152" s="84" t="b">
        <v>0</v>
      </c>
      <c r="T152" s="86" t="b">
        <v>1</v>
      </c>
      <c r="U152" s="85" t="s">
        <v>895</v>
      </c>
      <c r="V152" t="s">
        <v>896</v>
      </c>
      <c r="W152" s="13" t="s">
        <v>1816</v>
      </c>
      <c r="X152" t="s">
        <v>4582</v>
      </c>
      <c r="Y152"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53" spans="1:25">
      <c r="A153" s="30"/>
      <c r="B153" s="30">
        <v>130</v>
      </c>
      <c r="C153" s="30" t="s">
        <v>0</v>
      </c>
      <c r="D153" s="82" t="s">
        <v>984</v>
      </c>
      <c r="E153" s="34" t="s">
        <v>123</v>
      </c>
      <c r="F153" s="30"/>
      <c r="G153" s="30" t="s">
        <v>767</v>
      </c>
      <c r="H153" s="30" t="s">
        <v>547</v>
      </c>
      <c r="I153" s="40" t="s">
        <v>122</v>
      </c>
      <c r="J153" s="40" t="str">
        <f t="shared" si="8"/>
        <v>sample_station</v>
      </c>
      <c r="K153" s="34" t="s">
        <v>123</v>
      </c>
      <c r="L153" s="34" t="str">
        <f>IF(VLOOKUP(J153,find_replace!H:H,1,"false")=J153,"TRUE","FALSE")</f>
        <v>TRUE</v>
      </c>
      <c r="M153" s="82" t="s">
        <v>392</v>
      </c>
      <c r="N153" s="82" t="s">
        <v>392</v>
      </c>
      <c r="O153" s="60" t="str">
        <f t="shared" si="9"/>
        <v xml:space="preserve">    term_sample_station: "Sample station"</v>
      </c>
      <c r="P153" s="39" t="str">
        <f t="shared" si="10"/>
        <v xml:space="preserve">    def_sample_station: "A grouping of two or more non-independent camera locations, such as when cameras are clustered or paired (recorded as 'Sample Station Name')."</v>
      </c>
      <c r="Q153" s="40"/>
      <c r="R153" s="83" t="s">
        <v>51</v>
      </c>
      <c r="S153" s="86" t="b">
        <v>1</v>
      </c>
      <c r="T153" s="86" t="b">
        <v>1</v>
      </c>
      <c r="U153" s="85" t="s">
        <v>895</v>
      </c>
      <c r="V153" t="s">
        <v>896</v>
      </c>
      <c r="W153" s="13" t="s">
        <v>1816</v>
      </c>
      <c r="X153" t="s">
        <v>4582</v>
      </c>
      <c r="Y153"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54" spans="1:25">
      <c r="A154" s="30"/>
      <c r="B154" s="30">
        <v>131</v>
      </c>
      <c r="C154" s="30" t="s">
        <v>429</v>
      </c>
      <c r="D154" s="82" t="s">
        <v>984</v>
      </c>
      <c r="E154" s="40" t="s">
        <v>4626</v>
      </c>
      <c r="F154" s="30" t="s">
        <v>897</v>
      </c>
      <c r="G154" s="30" t="s">
        <v>767</v>
      </c>
      <c r="H154" s="30" t="s">
        <v>547</v>
      </c>
      <c r="I154" s="40" t="s">
        <v>260</v>
      </c>
      <c r="J154" s="40" t="str">
        <f t="shared" si="8"/>
        <v>sample_station_name</v>
      </c>
      <c r="K154" s="40" t="s">
        <v>711</v>
      </c>
      <c r="L154" s="34" t="str">
        <f>IF(VLOOKUP(J154,find_replace!H:H,1,"false")=J154,"TRUE","FALSE")</f>
        <v>TRUE</v>
      </c>
      <c r="M154" s="82" t="s">
        <v>393</v>
      </c>
      <c r="N154" s="82" t="s">
        <v>393</v>
      </c>
      <c r="O154" s="60" t="str">
        <f t="shared" si="9"/>
        <v xml:space="preserve">    term_sample_station_name: "Sample Station Name"</v>
      </c>
      <c r="P154" s="39"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54" s="40" t="b">
        <v>1</v>
      </c>
      <c r="R154" s="83" t="b">
        <v>1</v>
      </c>
      <c r="S154" s="86" t="b">
        <v>1</v>
      </c>
      <c r="T154" s="86" t="b">
        <v>1</v>
      </c>
      <c r="U154" s="85" t="s">
        <v>895</v>
      </c>
      <c r="V154" t="s">
        <v>896</v>
      </c>
      <c r="W154" s="13" t="s">
        <v>1816</v>
      </c>
      <c r="X154" t="s">
        <v>4582</v>
      </c>
      <c r="Y154"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55" spans="1:25">
      <c r="A155" s="30"/>
      <c r="B155" s="30">
        <v>132</v>
      </c>
      <c r="C155" s="30" t="s">
        <v>0</v>
      </c>
      <c r="D155" s="82" t="s">
        <v>984</v>
      </c>
      <c r="E155" s="34" t="s">
        <v>121</v>
      </c>
      <c r="F155" s="30"/>
      <c r="G155" s="30" t="s">
        <v>767</v>
      </c>
      <c r="H155" s="30" t="s">
        <v>539</v>
      </c>
      <c r="I155" s="40" t="s">
        <v>120</v>
      </c>
      <c r="J155" s="40" t="str">
        <f t="shared" si="8"/>
        <v>baitlure_scent_lure</v>
      </c>
      <c r="K155" s="34" t="s">
        <v>121</v>
      </c>
      <c r="L155" s="34" t="str">
        <f>IF(VLOOKUP(J155,find_replace!H:H,1,"false")=J155,"TRUE","FALSE")</f>
        <v>TRUE</v>
      </c>
      <c r="M155" s="82" t="s">
        <v>999</v>
      </c>
      <c r="N155" s="82" t="s">
        <v>882</v>
      </c>
      <c r="O155" s="60" t="str">
        <f t="shared" si="9"/>
        <v xml:space="preserve">    term_baitlure_scent_lure: "Scent lure"</v>
      </c>
      <c r="P155" s="39" t="str">
        <f t="shared" si="10"/>
        <v xml:space="preserve">    def_baitlure_scent_lure: "Any material that draws animals closer via their sense of smell ({{ rtxt_schlexer_2008 }})."</v>
      </c>
      <c r="Q155" s="40"/>
      <c r="R155" s="83" t="s">
        <v>51</v>
      </c>
      <c r="S155" s="84" t="b">
        <v>0</v>
      </c>
      <c r="T155" s="86" t="b">
        <v>1</v>
      </c>
      <c r="U155" s="85" t="s">
        <v>895</v>
      </c>
      <c r="V155" t="s">
        <v>896</v>
      </c>
      <c r="W155" s="13" t="s">
        <v>1816</v>
      </c>
      <c r="X155" t="s">
        <v>4582</v>
      </c>
      <c r="Y155" t="str">
        <f t="shared" si="11"/>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row>
    <row r="156" spans="1:25">
      <c r="A156" s="30"/>
      <c r="B156" s="30">
        <v>133</v>
      </c>
      <c r="C156" s="30" t="s">
        <v>429</v>
      </c>
      <c r="D156" s="82" t="s">
        <v>984</v>
      </c>
      <c r="E156" s="40" t="s">
        <v>495</v>
      </c>
      <c r="F156" s="30" t="s">
        <v>897</v>
      </c>
      <c r="G156" s="30" t="s">
        <v>767</v>
      </c>
      <c r="H156" s="30" t="s">
        <v>544</v>
      </c>
      <c r="I156" s="40" t="s">
        <v>323</v>
      </c>
      <c r="J156" s="40" t="str">
        <f t="shared" si="8"/>
        <v>sd_card_id</v>
      </c>
      <c r="K156" s="40" t="s">
        <v>753</v>
      </c>
      <c r="L156" s="34" t="str">
        <f>IF(VLOOKUP(J156,find_replace!H:H,1,"false")=J156,"TRUE","FALSE")</f>
        <v>TRUE</v>
      </c>
      <c r="M156" s="82" t="s">
        <v>395</v>
      </c>
      <c r="N156" s="82" t="s">
        <v>395</v>
      </c>
      <c r="O156" s="60" t="str">
        <f t="shared" si="9"/>
        <v xml:space="preserve">    term_sd_card_id: "SD Card ID"</v>
      </c>
      <c r="P156" s="39" t="str">
        <f t="shared" si="10"/>
        <v xml:space="preserve">    def_sd_card_id: "The ID label on an SD card (e.g., 'cmu_100')."</v>
      </c>
      <c r="Q156" s="40"/>
      <c r="R156" s="83" t="b">
        <v>0</v>
      </c>
      <c r="S156" s="86" t="b">
        <v>1</v>
      </c>
      <c r="T156" s="86" t="b">
        <v>1</v>
      </c>
      <c r="U156" s="85" t="s">
        <v>895</v>
      </c>
      <c r="V156" t="s">
        <v>896</v>
      </c>
      <c r="W156" s="13" t="s">
        <v>1816</v>
      </c>
      <c r="X156" t="s">
        <v>4582</v>
      </c>
      <c r="Y156"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57" spans="1:25">
      <c r="A157" s="30"/>
      <c r="B157" s="30">
        <v>134</v>
      </c>
      <c r="C157" s="30" t="s">
        <v>429</v>
      </c>
      <c r="D157" s="82" t="s">
        <v>984</v>
      </c>
      <c r="E157" s="40" t="s">
        <v>496</v>
      </c>
      <c r="F157" s="30" t="s">
        <v>897</v>
      </c>
      <c r="G157" s="30" t="s">
        <v>767</v>
      </c>
      <c r="H157" s="30" t="s">
        <v>544</v>
      </c>
      <c r="I157" s="40" t="s">
        <v>321</v>
      </c>
      <c r="J157" s="40" t="str">
        <f t="shared" si="8"/>
        <v>sd_card_replaced</v>
      </c>
      <c r="K157" s="40" t="s">
        <v>754</v>
      </c>
      <c r="L157" s="34" t="str">
        <f>IF(VLOOKUP(J157,find_replace!H:H,1,"false")=J157,"TRUE","FALSE")</f>
        <v>TRUE</v>
      </c>
      <c r="M157" s="82" t="s">
        <v>322</v>
      </c>
      <c r="N157" s="82" t="s">
        <v>322</v>
      </c>
      <c r="O157" s="60" t="str">
        <f t="shared" si="9"/>
        <v xml:space="preserve">    term_sd_card_replaced: "SD Card Replaced"</v>
      </c>
      <c r="P157" s="39" t="str">
        <f t="shared" si="10"/>
        <v xml:space="preserve">    def_sd_card_replaced: "Whether the SD card was replaced."</v>
      </c>
      <c r="Q157" s="40"/>
      <c r="R157" s="83" t="b">
        <v>0</v>
      </c>
      <c r="S157" s="86" t="b">
        <v>1</v>
      </c>
      <c r="T157" s="86" t="b">
        <v>1</v>
      </c>
      <c r="U157" s="85" t="s">
        <v>895</v>
      </c>
      <c r="V157" t="s">
        <v>896</v>
      </c>
      <c r="W157" s="13" t="s">
        <v>1816</v>
      </c>
      <c r="X157" t="s">
        <v>4582</v>
      </c>
      <c r="Y157"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58" spans="1:25">
      <c r="A158" s="30"/>
      <c r="B158" s="30">
        <v>135</v>
      </c>
      <c r="C158" s="30" t="s">
        <v>429</v>
      </c>
      <c r="D158" s="82" t="s">
        <v>984</v>
      </c>
      <c r="E158" s="40" t="s">
        <v>497</v>
      </c>
      <c r="F158" s="30" t="s">
        <v>897</v>
      </c>
      <c r="G158" s="30" t="s">
        <v>767</v>
      </c>
      <c r="H158" s="30" t="s">
        <v>544</v>
      </c>
      <c r="I158" s="40" t="s">
        <v>319</v>
      </c>
      <c r="J158" s="40" t="str">
        <f t="shared" si="8"/>
        <v>sd_card_status</v>
      </c>
      <c r="K158" s="40" t="s">
        <v>755</v>
      </c>
      <c r="L158" s="34" t="str">
        <f>IF(VLOOKUP(J158,find_replace!H:H,1,"false")=J158,"TRUE","FALSE")</f>
        <v>TRUE</v>
      </c>
      <c r="M158" s="82" t="s">
        <v>320</v>
      </c>
      <c r="N158" s="82" t="s">
        <v>320</v>
      </c>
      <c r="O158" s="60" t="str">
        <f t="shared" si="9"/>
        <v xml:space="preserve">    term_sd_card_status: "SD Card Status (% Full)"</v>
      </c>
      <c r="P158" s="39" t="str">
        <f t="shared" si="10"/>
        <v xml:space="preserve">    def_sd_card_status: "The remaining storage capacity on an SD card; collected during a camera service or retrieval."</v>
      </c>
      <c r="Q158" s="40"/>
      <c r="R158" s="83" t="b">
        <v>0</v>
      </c>
      <c r="S158" s="86" t="b">
        <v>1</v>
      </c>
      <c r="T158" s="86" t="b">
        <v>1</v>
      </c>
      <c r="U158" s="85" t="s">
        <v>895</v>
      </c>
      <c r="V158" t="s">
        <v>896</v>
      </c>
      <c r="W158" s="13" t="s">
        <v>1816</v>
      </c>
      <c r="X158" t="s">
        <v>4582</v>
      </c>
      <c r="Y158"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59" spans="1:25">
      <c r="A159" s="30"/>
      <c r="B159" s="30">
        <v>136</v>
      </c>
      <c r="C159" s="30" t="s">
        <v>429</v>
      </c>
      <c r="D159" s="82" t="s">
        <v>984</v>
      </c>
      <c r="E159" s="40" t="s">
        <v>498</v>
      </c>
      <c r="F159" s="30" t="s">
        <v>897</v>
      </c>
      <c r="G159" s="30" t="s">
        <v>767</v>
      </c>
      <c r="H159" s="30" t="s">
        <v>543</v>
      </c>
      <c r="I159" s="40" t="s">
        <v>318</v>
      </c>
      <c r="J159" s="40" t="str">
        <f t="shared" si="8"/>
        <v>security</v>
      </c>
      <c r="K159" s="40" t="s">
        <v>756</v>
      </c>
      <c r="L159" s="34" t="str">
        <f>IF(VLOOKUP(J159,find_replace!H:H,1,"false")=J159,"TRUE","FALSE")</f>
        <v>TRUE</v>
      </c>
      <c r="M159" s="82" t="s">
        <v>396</v>
      </c>
      <c r="N159" s="82" t="s">
        <v>396</v>
      </c>
      <c r="O159" s="60" t="str">
        <f t="shared" si="9"/>
        <v xml:space="preserve">    term_security: "Security"</v>
      </c>
      <c r="P159" s="39" t="str">
        <f t="shared" si="10"/>
        <v xml:space="preserve">    def_security: "The equipment used to secure the camera (e.g., 'Security box,' 'Bracket,' 'Bracket + Screws,' or 'None')."</v>
      </c>
      <c r="Q159" s="40" t="b">
        <v>1</v>
      </c>
      <c r="R159" s="83" t="b">
        <v>0</v>
      </c>
      <c r="S159" s="86" t="b">
        <v>1</v>
      </c>
      <c r="T159" s="86" t="b">
        <v>1</v>
      </c>
      <c r="U159" s="85" t="s">
        <v>895</v>
      </c>
      <c r="V159" t="s">
        <v>896</v>
      </c>
      <c r="W159" s="13" t="s">
        <v>1816</v>
      </c>
      <c r="X159" t="s">
        <v>4582</v>
      </c>
      <c r="Y15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60" spans="1:25">
      <c r="A160" s="30"/>
      <c r="B160" s="30">
        <v>137</v>
      </c>
      <c r="C160" s="30" t="s">
        <v>0</v>
      </c>
      <c r="D160" s="82" t="s">
        <v>984</v>
      </c>
      <c r="E160" s="34" t="s">
        <v>119</v>
      </c>
      <c r="F160" s="30"/>
      <c r="G160" s="30" t="s">
        <v>767</v>
      </c>
      <c r="H160" s="30"/>
      <c r="I160" s="40" t="s">
        <v>118</v>
      </c>
      <c r="J160" s="40" t="str">
        <f t="shared" si="8"/>
        <v>sequence</v>
      </c>
      <c r="K160" s="34" t="s">
        <v>119</v>
      </c>
      <c r="L160" s="34" t="str">
        <f>IF(VLOOKUP(J160,find_replace!H:H,1,"false")=J160,"TRUE","FALSE")</f>
        <v>TRUE</v>
      </c>
      <c r="M160" s="82" t="s">
        <v>830</v>
      </c>
      <c r="N160" s="82" t="s">
        <v>883</v>
      </c>
      <c r="O160" s="60" t="str">
        <f t="shared" si="9"/>
        <v xml:space="preserve">    term_sequence: "Sequence"</v>
      </c>
      <c r="P160" s="39"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60" s="40"/>
      <c r="R160" s="83" t="s">
        <v>51</v>
      </c>
      <c r="S160" s="86" t="b">
        <v>1</v>
      </c>
      <c r="T160" s="86" t="b">
        <v>1</v>
      </c>
      <c r="U160" s="85" t="s">
        <v>895</v>
      </c>
      <c r="V160" t="s">
        <v>896</v>
      </c>
      <c r="W160" s="13" t="s">
        <v>1816</v>
      </c>
      <c r="X160" t="s">
        <v>4582</v>
      </c>
      <c r="Y16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61" spans="1:26">
      <c r="A161" s="30"/>
      <c r="B161" s="30">
        <v>138</v>
      </c>
      <c r="C161" s="30" t="s">
        <v>429</v>
      </c>
      <c r="D161" s="82" t="s">
        <v>984</v>
      </c>
      <c r="E161" s="40" t="s">
        <v>4628</v>
      </c>
      <c r="F161" s="30" t="s">
        <v>897</v>
      </c>
      <c r="G161" s="30" t="s">
        <v>767</v>
      </c>
      <c r="H161" s="30"/>
      <c r="I161" s="40" t="s">
        <v>259</v>
      </c>
      <c r="J161" s="40" t="str">
        <f t="shared" si="8"/>
        <v>sequence_name</v>
      </c>
      <c r="K161" s="40" t="s">
        <v>713</v>
      </c>
      <c r="L161" s="34" t="str">
        <f>IF(VLOOKUP(J161,find_replace!H:H,1,"false")=J161,"TRUE","FALSE")</f>
        <v>TRUE</v>
      </c>
      <c r="M161" s="82" t="s">
        <v>397</v>
      </c>
      <c r="N161" s="82" t="s">
        <v>397</v>
      </c>
      <c r="O161" s="60" t="str">
        <f t="shared" si="9"/>
        <v xml:space="preserve">    term_sequence_name: "Sequence Name"</v>
      </c>
      <c r="P161" s="39"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61" s="40" t="b">
        <v>1</v>
      </c>
      <c r="R161" s="83" t="b">
        <v>1</v>
      </c>
      <c r="S161" s="86" t="b">
        <v>1</v>
      </c>
      <c r="T161" s="86" t="b">
        <v>1</v>
      </c>
      <c r="U161" s="85" t="s">
        <v>895</v>
      </c>
      <c r="V161" t="s">
        <v>896</v>
      </c>
      <c r="W161" s="13" t="s">
        <v>1816</v>
      </c>
      <c r="X161" t="s">
        <v>4582</v>
      </c>
      <c r="Y16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62" spans="1:26">
      <c r="A162" s="30"/>
      <c r="B162" s="30">
        <v>139</v>
      </c>
      <c r="C162" s="30" t="s">
        <v>0</v>
      </c>
      <c r="D162" s="82" t="s">
        <v>984</v>
      </c>
      <c r="E162" s="34" t="s">
        <v>117</v>
      </c>
      <c r="F162" s="30"/>
      <c r="G162" s="30" t="s">
        <v>767</v>
      </c>
      <c r="H162" s="30" t="s">
        <v>541</v>
      </c>
      <c r="I162" s="40" t="s">
        <v>116</v>
      </c>
      <c r="J162" s="40" t="str">
        <f t="shared" si="8"/>
        <v>service_retrieval</v>
      </c>
      <c r="K162" s="34" t="s">
        <v>714</v>
      </c>
      <c r="L162" s="34" t="str">
        <f>IF(VLOOKUP(J162,find_replace!H:H,1,"false")=J162,"TRUE","FALSE")</f>
        <v>TRUE</v>
      </c>
      <c r="M162" s="82" t="s">
        <v>111</v>
      </c>
      <c r="N162" s="82" t="s">
        <v>111</v>
      </c>
      <c r="O162" s="60" t="str">
        <f t="shared" si="9"/>
        <v xml:space="preserve">    term_service_retrieval: "Service/Retrieval"</v>
      </c>
      <c r="P162" s="39" t="str">
        <f t="shared" si="10"/>
        <v xml:space="preserve">    def_service_retrieval: "When a crew has gone to a location to service or retrieve a remote camera."</v>
      </c>
      <c r="Q162" s="40"/>
      <c r="R162" s="83" t="s">
        <v>51</v>
      </c>
      <c r="S162" s="86" t="b">
        <v>1</v>
      </c>
      <c r="T162" s="86" t="b">
        <v>1</v>
      </c>
      <c r="U162" s="85" t="s">
        <v>895</v>
      </c>
      <c r="V162" t="s">
        <v>896</v>
      </c>
      <c r="W162" s="13" t="s">
        <v>1816</v>
      </c>
      <c r="X162" t="s">
        <v>4582</v>
      </c>
      <c r="Y16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63" spans="1:26">
      <c r="A163" s="30"/>
      <c r="B163" s="30">
        <v>140</v>
      </c>
      <c r="C163" s="30" t="s">
        <v>429</v>
      </c>
      <c r="D163" s="82" t="s">
        <v>984</v>
      </c>
      <c r="E163" s="40" t="s">
        <v>499</v>
      </c>
      <c r="F163" s="30" t="s">
        <v>897</v>
      </c>
      <c r="G163" s="30" t="s">
        <v>767</v>
      </c>
      <c r="H163" s="30" t="s">
        <v>543</v>
      </c>
      <c r="I163" s="40" t="s">
        <v>316</v>
      </c>
      <c r="J163" s="40" t="str">
        <f t="shared" si="8"/>
        <v>service_retrieval_comments</v>
      </c>
      <c r="K163" s="40" t="s">
        <v>757</v>
      </c>
      <c r="L163" s="34" t="str">
        <f>IF(VLOOKUP(J163,find_replace!H:H,1,"false")=J163,"TRUE","FALSE")</f>
        <v>TRUE</v>
      </c>
      <c r="M163" s="82" t="s">
        <v>317</v>
      </c>
      <c r="N163" s="82" t="s">
        <v>317</v>
      </c>
      <c r="O163" s="60" t="str">
        <f t="shared" si="9"/>
        <v xml:space="preserve">    term_service_retrieval_comments: "Service/Retrieval Comments"</v>
      </c>
      <c r="P163" s="39" t="str">
        <f t="shared" si="10"/>
        <v xml:space="preserve">    def_service_retrieval_comments: "Comments describing additional details about the Service*/Retrieval."</v>
      </c>
      <c r="Q163" s="40"/>
      <c r="R163" s="83" t="b">
        <v>0</v>
      </c>
      <c r="S163" s="86" t="b">
        <v>1</v>
      </c>
      <c r="T163" s="86" t="b">
        <v>1</v>
      </c>
      <c r="U163" s="85" t="s">
        <v>895</v>
      </c>
      <c r="V163" t="s">
        <v>896</v>
      </c>
      <c r="W163" s="13" t="s">
        <v>1816</v>
      </c>
      <c r="X163" t="s">
        <v>4582</v>
      </c>
      <c r="Y16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64" spans="1:26">
      <c r="A164" s="30"/>
      <c r="B164" s="30">
        <v>141</v>
      </c>
      <c r="C164" s="30" t="s">
        <v>429</v>
      </c>
      <c r="D164" s="82" t="s">
        <v>984</v>
      </c>
      <c r="E164" s="40" t="s">
        <v>258</v>
      </c>
      <c r="F164" s="30" t="s">
        <v>897</v>
      </c>
      <c r="G164" s="30" t="s">
        <v>767</v>
      </c>
      <c r="H164" s="30" t="s">
        <v>541</v>
      </c>
      <c r="I164" s="40" t="s">
        <v>256</v>
      </c>
      <c r="J164" s="40" t="str">
        <f t="shared" si="8"/>
        <v>service_retrieval_crew</v>
      </c>
      <c r="K164" s="40" t="s">
        <v>715</v>
      </c>
      <c r="L164" s="34" t="str">
        <f>IF(VLOOKUP(J164,find_replace!H:H,1,"false")=J164,"TRUE","FALSE")</f>
        <v>TRUE</v>
      </c>
      <c r="M164" s="82" t="s">
        <v>257</v>
      </c>
      <c r="N164" s="82" t="s">
        <v>257</v>
      </c>
      <c r="O164" s="60" t="str">
        <f t="shared" si="9"/>
        <v xml:space="preserve">    term_service_retrieval_crew: "Service/Retrieval Crew"</v>
      </c>
      <c r="P164" s="39" t="str">
        <f t="shared" si="10"/>
        <v xml:space="preserve">    def_service_retrieval_crew: "The first and last names of the individuals who collected data during the Service*/Retrieval visit."</v>
      </c>
      <c r="Q164" s="40"/>
      <c r="R164" s="83" t="b">
        <v>1</v>
      </c>
      <c r="S164" s="86" t="b">
        <v>1</v>
      </c>
      <c r="T164" s="86" t="b">
        <v>1</v>
      </c>
      <c r="U164" s="85" t="s">
        <v>895</v>
      </c>
      <c r="V164" t="s">
        <v>896</v>
      </c>
      <c r="W164" s="13" t="s">
        <v>1816</v>
      </c>
      <c r="X164" t="s">
        <v>4582</v>
      </c>
      <c r="Y16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65" spans="1:26">
      <c r="A165" s="30"/>
      <c r="B165" s="30">
        <v>142</v>
      </c>
      <c r="C165" s="30" t="s">
        <v>0</v>
      </c>
      <c r="D165" s="82" t="s">
        <v>984</v>
      </c>
      <c r="E165" s="34" t="s">
        <v>115</v>
      </c>
      <c r="F165" s="30"/>
      <c r="G165" s="30" t="s">
        <v>767</v>
      </c>
      <c r="H165" s="30" t="s">
        <v>541</v>
      </c>
      <c r="I165" s="40" t="s">
        <v>113</v>
      </c>
      <c r="J165" s="40" t="str">
        <f t="shared" si="8"/>
        <v>service_retrieval_metadata</v>
      </c>
      <c r="K165" s="34" t="s">
        <v>716</v>
      </c>
      <c r="L165" s="34" t="str">
        <f>IF(VLOOKUP(J165,find_replace!H:H,1,"false")=J165,"TRUE","FALSE")</f>
        <v>TRUE</v>
      </c>
      <c r="M165" s="82" t="s">
        <v>114</v>
      </c>
      <c r="N165" s="82" t="s">
        <v>114</v>
      </c>
      <c r="O165" s="60" t="str">
        <f t="shared" si="9"/>
        <v xml:space="preserve">    term_service_retrieval_metadata: "Service/Retrieval metadata"</v>
      </c>
      <c r="P165" s="39" t="str">
        <f t="shared" si="10"/>
        <v xml:space="preserve">    def_service_retrieval_metadata: "Metadata that should be collected each time a camera location is visited to Service*/Retrieval Field Datasheet."</v>
      </c>
      <c r="Q165" s="40"/>
      <c r="R165" s="83" t="s">
        <v>51</v>
      </c>
      <c r="S165" s="86" t="b">
        <v>1</v>
      </c>
      <c r="T165" s="86" t="b">
        <v>1</v>
      </c>
      <c r="U165" s="85" t="s">
        <v>895</v>
      </c>
      <c r="V165" t="s">
        <v>896</v>
      </c>
      <c r="W165" s="13" t="s">
        <v>1816</v>
      </c>
      <c r="X165" t="s">
        <v>4582</v>
      </c>
      <c r="Y16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66" spans="1:26">
      <c r="A166" s="30"/>
      <c r="B166" s="30">
        <v>143</v>
      </c>
      <c r="C166" s="30" t="s">
        <v>0</v>
      </c>
      <c r="D166" s="82" t="s">
        <v>984</v>
      </c>
      <c r="E166" s="34" t="s">
        <v>112</v>
      </c>
      <c r="F166" s="30"/>
      <c r="G166" s="30" t="s">
        <v>767</v>
      </c>
      <c r="H166" s="30" t="s">
        <v>541</v>
      </c>
      <c r="I166" s="40" t="s">
        <v>110</v>
      </c>
      <c r="J166" s="40" t="str">
        <f t="shared" si="8"/>
        <v>service_retrieval_visit</v>
      </c>
      <c r="K166" s="34" t="s">
        <v>717</v>
      </c>
      <c r="L166" s="34" t="str">
        <f>IF(VLOOKUP(J166,find_replace!H:H,1,"false")=J166,"TRUE","FALSE")</f>
        <v>TRUE</v>
      </c>
      <c r="M166" s="82" t="s">
        <v>111</v>
      </c>
      <c r="N166" s="82" t="s">
        <v>111</v>
      </c>
      <c r="O166" s="60" t="str">
        <f t="shared" si="9"/>
        <v xml:space="preserve">    term_service_retrieval_visit: "Service/Retrieval visit"</v>
      </c>
      <c r="P166" s="39" t="str">
        <f t="shared" si="10"/>
        <v xml:space="preserve">    def_service_retrieval_visit: "When a crew has gone to a location to service or retrieve a remote camera."</v>
      </c>
      <c r="Q166" s="40"/>
      <c r="R166" s="83" t="s">
        <v>51</v>
      </c>
      <c r="S166" s="86" t="b">
        <v>1</v>
      </c>
      <c r="T166" s="86" t="b">
        <v>1</v>
      </c>
      <c r="U166" s="85" t="s">
        <v>895</v>
      </c>
      <c r="V166" t="s">
        <v>896</v>
      </c>
      <c r="W166" s="13" t="s">
        <v>1816</v>
      </c>
      <c r="X166" t="s">
        <v>4582</v>
      </c>
      <c r="Y16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67" spans="1:26">
      <c r="A167" s="30"/>
      <c r="B167" s="30">
        <v>144</v>
      </c>
      <c r="C167" s="30" t="s">
        <v>429</v>
      </c>
      <c r="D167" s="82" t="s">
        <v>984</v>
      </c>
      <c r="E167" s="40" t="s">
        <v>4657</v>
      </c>
      <c r="F167" s="30" t="s">
        <v>897</v>
      </c>
      <c r="G167" s="30" t="s">
        <v>767</v>
      </c>
      <c r="H167" s="40" t="s">
        <v>1249</v>
      </c>
      <c r="I167" s="40" t="s">
        <v>255</v>
      </c>
      <c r="J167" s="40" t="str">
        <f t="shared" si="8"/>
        <v>sex_class</v>
      </c>
      <c r="K167" s="40" t="s">
        <v>722</v>
      </c>
      <c r="L167" s="34" t="str">
        <f>IF(VLOOKUP(J167,find_replace!H:H,1,"false")=J167,"TRUE","FALSE")</f>
        <v>TRUE</v>
      </c>
      <c r="M167" s="82" t="s">
        <v>401</v>
      </c>
      <c r="N167" s="82" t="s">
        <v>401</v>
      </c>
      <c r="O167" s="60" t="str">
        <f t="shared" si="9"/>
        <v xml:space="preserve">    term_sex_class: "Sex Class"</v>
      </c>
      <c r="P167" s="39" t="str">
        <f t="shared" si="10"/>
        <v xml:space="preserve">    def_sex_class: "The sex classification of individual(s) being categorized (e.g., 'Male,' 'Female,' or 'Unknown')."</v>
      </c>
      <c r="Q167" s="40"/>
      <c r="R167" s="83" t="b">
        <v>1</v>
      </c>
      <c r="S167" s="86" t="b">
        <v>1</v>
      </c>
      <c r="T167" s="86" t="b">
        <v>1</v>
      </c>
      <c r="U167" s="85" t="s">
        <v>895</v>
      </c>
      <c r="V167" t="s">
        <v>896</v>
      </c>
      <c r="W167" s="13" t="s">
        <v>1816</v>
      </c>
      <c r="X167" t="s">
        <v>4582</v>
      </c>
      <c r="Y167" t="str">
        <f t="shared" si="11"/>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68" spans="1:26">
      <c r="A168" s="30"/>
      <c r="B168" s="30">
        <v>145</v>
      </c>
      <c r="C168" s="30" t="s">
        <v>0</v>
      </c>
      <c r="D168" s="82" t="s">
        <v>984</v>
      </c>
      <c r="E168" s="34" t="s">
        <v>109</v>
      </c>
      <c r="F168" s="30" t="s">
        <v>897</v>
      </c>
      <c r="G168" s="30" t="s">
        <v>767</v>
      </c>
      <c r="H168" s="30" t="s">
        <v>4</v>
      </c>
      <c r="I168" s="40" t="s">
        <v>6</v>
      </c>
      <c r="J168" s="40" t="str">
        <f t="shared" si="8"/>
        <v>mod_ste</v>
      </c>
      <c r="K168" s="34" t="s">
        <v>109</v>
      </c>
      <c r="L168" s="34" t="str">
        <f>IF(VLOOKUP(J168,find_replace!H:H,1,"false")=J168,"TRUE","FALSE")</f>
        <v>TRUE</v>
      </c>
      <c r="M168" s="82" t="s">
        <v>988</v>
      </c>
      <c r="N168" s="82" t="s">
        <v>884</v>
      </c>
      <c r="O168" s="60" t="str">
        <f t="shared" si="9"/>
        <v xml:space="preserve">    term_mod_ste: "Space-to-event (STE) model (Moeller et al., 2018)"</v>
      </c>
      <c r="P168" s="39"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68" s="40"/>
      <c r="R168" s="83" t="s">
        <v>51</v>
      </c>
      <c r="S168" s="84" t="b">
        <v>0</v>
      </c>
      <c r="T168" s="86" t="b">
        <v>1</v>
      </c>
      <c r="U168" s="85" t="s">
        <v>895</v>
      </c>
      <c r="V168" t="s">
        <v>896</v>
      </c>
      <c r="W168" s="13" t="s">
        <v>1816</v>
      </c>
      <c r="X168" t="s">
        <v>4582</v>
      </c>
      <c r="Y168"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69" spans="1:26">
      <c r="A169" s="30"/>
      <c r="B169" s="30">
        <v>146</v>
      </c>
      <c r="C169" s="30" t="s">
        <v>0</v>
      </c>
      <c r="D169" s="82" t="s">
        <v>984</v>
      </c>
      <c r="E169" s="34" t="s">
        <v>108</v>
      </c>
      <c r="F169" s="30"/>
      <c r="G169" s="30" t="s">
        <v>767</v>
      </c>
      <c r="H169" s="30"/>
      <c r="I169" s="40" t="s">
        <v>106</v>
      </c>
      <c r="J169" s="40" t="str">
        <f t="shared" si="8"/>
        <v>spatial_autocorrelation</v>
      </c>
      <c r="K169" s="34" t="s">
        <v>108</v>
      </c>
      <c r="L169" s="34" t="str">
        <f>IF(VLOOKUP(J169,find_replace!H:H,1,"false")=J169,"TRUE","FALSE")</f>
        <v>TRUE</v>
      </c>
      <c r="M169" s="82" t="s">
        <v>107</v>
      </c>
      <c r="N169" s="82" t="s">
        <v>107</v>
      </c>
      <c r="O169" s="60" t="str">
        <f t="shared" si="9"/>
        <v xml:space="preserve">    term_spatial_autocorrelation: "Spatial autocorrelation"</v>
      </c>
      <c r="P169" s="39" t="str">
        <f t="shared" si="10"/>
        <v xml:space="preserve">    def_spatial_autocorrelation: "The tendency for locations that are closer together to be more similar."</v>
      </c>
      <c r="Q169" s="40"/>
      <c r="R169" s="83" t="s">
        <v>51</v>
      </c>
      <c r="S169" s="84" t="b">
        <v>0</v>
      </c>
      <c r="T169" s="86" t="b">
        <v>1</v>
      </c>
      <c r="U169" s="85" t="s">
        <v>895</v>
      </c>
      <c r="V169" t="s">
        <v>896</v>
      </c>
      <c r="W169" s="13" t="s">
        <v>1816</v>
      </c>
      <c r="X169" t="s">
        <v>4582</v>
      </c>
      <c r="Y169" t="str">
        <f t="shared" si="11"/>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170" spans="1:26">
      <c r="A170" s="30"/>
      <c r="B170" s="30">
        <v>147</v>
      </c>
      <c r="C170" s="30" t="s">
        <v>0</v>
      </c>
      <c r="D170" s="82" t="s">
        <v>984</v>
      </c>
      <c r="E170" s="34" t="s">
        <v>441</v>
      </c>
      <c r="F170" s="30" t="s">
        <v>897</v>
      </c>
      <c r="G170" s="30" t="s">
        <v>767</v>
      </c>
      <c r="H170" s="30" t="s">
        <v>4</v>
      </c>
      <c r="I170" s="40" t="s">
        <v>23</v>
      </c>
      <c r="J170" s="40" t="str">
        <f t="shared" si="8"/>
        <v>mod_sc</v>
      </c>
      <c r="K170" s="34" t="s">
        <v>441</v>
      </c>
      <c r="L170" s="34" t="str">
        <f>IF(VLOOKUP(J170,find_replace!H:H,1,"false")=J170,"TRUE","FALSE")</f>
        <v>TRUE</v>
      </c>
      <c r="M170" s="82" t="s">
        <v>987</v>
      </c>
      <c r="N170" s="82" t="s">
        <v>891</v>
      </c>
      <c r="O170" s="60" t="str">
        <f t="shared" si="9"/>
        <v xml:space="preserve">    term_mod_sc: "Spatial count (SC) model / Unmarked spatial capture-recapture (Chandler &amp; Royle, 2013)"</v>
      </c>
      <c r="P170" s="39"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70" s="40"/>
      <c r="R170" s="83" t="s">
        <v>51</v>
      </c>
      <c r="S170" s="84" t="b">
        <v>0</v>
      </c>
      <c r="T170" s="86" t="b">
        <v>1</v>
      </c>
      <c r="U170" s="85" t="s">
        <v>895</v>
      </c>
      <c r="V170" t="s">
        <v>896</v>
      </c>
      <c r="W170" s="13" t="s">
        <v>1816</v>
      </c>
      <c r="X170" t="s">
        <v>4582</v>
      </c>
      <c r="Y170"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row>
    <row r="171" spans="1:26">
      <c r="A171" s="30"/>
      <c r="B171" s="30">
        <v>148</v>
      </c>
      <c r="C171" s="30" t="s">
        <v>0</v>
      </c>
      <c r="D171" s="82" t="s">
        <v>984</v>
      </c>
      <c r="E171" s="34" t="s">
        <v>105</v>
      </c>
      <c r="F171" s="30" t="s">
        <v>897</v>
      </c>
      <c r="G171" s="30" t="s">
        <v>767</v>
      </c>
      <c r="H171" s="30" t="s">
        <v>4</v>
      </c>
      <c r="I171" s="40" t="s">
        <v>25</v>
      </c>
      <c r="J171" s="40" t="str">
        <f t="shared" si="8"/>
        <v>mod_smr</v>
      </c>
      <c r="K171" s="34" t="s">
        <v>105</v>
      </c>
      <c r="L171" s="34" t="str">
        <f>IF(VLOOKUP(J171,find_replace!H:H,1,"false")=J171,"TRUE","FALSE")</f>
        <v>TRUE</v>
      </c>
      <c r="M171" s="82" t="s">
        <v>774</v>
      </c>
      <c r="N171" s="82" t="s">
        <v>863</v>
      </c>
      <c r="O171" s="60" t="str">
        <f t="shared" si="9"/>
        <v xml:space="preserve">    term_mod_smr: "Spatial mark-resight (SMR) (Chandler &amp; Royle, 2013; Sollmann et al., 2013a, 2013b)"</v>
      </c>
      <c r="P171" s="39"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71" s="40"/>
      <c r="R171" s="83" t="s">
        <v>51</v>
      </c>
      <c r="S171" s="84" t="b">
        <v>0</v>
      </c>
      <c r="T171" s="86" t="b">
        <v>1</v>
      </c>
      <c r="U171" s="85" t="s">
        <v>895</v>
      </c>
      <c r="V171" t="s">
        <v>896</v>
      </c>
      <c r="W171" s="13" t="s">
        <v>1816</v>
      </c>
      <c r="X171" t="s">
        <v>4582</v>
      </c>
      <c r="Y171"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2" spans="1:26">
      <c r="A172" s="30"/>
      <c r="B172" s="30">
        <v>149</v>
      </c>
      <c r="C172" s="30" t="s">
        <v>0</v>
      </c>
      <c r="D172" s="82" t="s">
        <v>984</v>
      </c>
      <c r="E172" s="34" t="s">
        <v>104</v>
      </c>
      <c r="F172" s="30" t="s">
        <v>897</v>
      </c>
      <c r="G172" s="30" t="s">
        <v>767</v>
      </c>
      <c r="H172" s="30" t="s">
        <v>4</v>
      </c>
      <c r="I172" s="40" t="s">
        <v>21</v>
      </c>
      <c r="J172" s="40" t="str">
        <f t="shared" si="8"/>
        <v>mod_2flankspim</v>
      </c>
      <c r="K172" s="34" t="s">
        <v>104</v>
      </c>
      <c r="L172" s="34" t="str">
        <f>IF(VLOOKUP(J172,find_replace!H:H,1,"false")=J172,"TRUE","FALSE")</f>
        <v>TRUE</v>
      </c>
      <c r="M172" s="82" t="s">
        <v>769</v>
      </c>
      <c r="N172" s="82" t="s">
        <v>864</v>
      </c>
      <c r="O172" s="60" t="str">
        <f t="shared" si="9"/>
        <v xml:space="preserve">    term_mod_2flankspim: "Spatial partial identity model (2-flank SPIM) (Augustine et al., 2018)"</v>
      </c>
      <c r="P172" s="39" t="str">
        <f t="shared" si="10"/>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72" s="40"/>
      <c r="R172" s="83" t="s">
        <v>51</v>
      </c>
      <c r="S172" s="84" t="b">
        <v>0</v>
      </c>
      <c r="T172" s="86" t="b">
        <v>1</v>
      </c>
      <c r="U172" s="85" t="s">
        <v>895</v>
      </c>
      <c r="V172" t="s">
        <v>896</v>
      </c>
      <c r="W172" s="13" t="s">
        <v>1816</v>
      </c>
      <c r="X172" t="s">
        <v>4582</v>
      </c>
      <c r="Y172" t="str">
        <f t="shared" si="11"/>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row>
    <row r="173" spans="1:26">
      <c r="A173" s="30"/>
      <c r="B173" s="30">
        <v>150</v>
      </c>
      <c r="C173" s="30" t="s">
        <v>0</v>
      </c>
      <c r="D173" s="82" t="s">
        <v>984</v>
      </c>
      <c r="E173" s="34" t="s">
        <v>550</v>
      </c>
      <c r="F173" s="30" t="s">
        <v>897</v>
      </c>
      <c r="G173" s="30" t="s">
        <v>767</v>
      </c>
      <c r="H173" s="30" t="s">
        <v>4</v>
      </c>
      <c r="I173" s="40" t="s">
        <v>28</v>
      </c>
      <c r="J173" s="40" t="str">
        <f t="shared" si="8"/>
        <v>mod_scr_secr</v>
      </c>
      <c r="K173" s="34" t="s">
        <v>550</v>
      </c>
      <c r="L173" s="34" t="str">
        <f>IF(VLOOKUP(J173,find_replace!H:H,1,"false")=J173,"TRUE","FALSE")</f>
        <v>TRUE</v>
      </c>
      <c r="M173" s="82" t="s">
        <v>773</v>
      </c>
      <c r="N173" s="82" t="s">
        <v>865</v>
      </c>
      <c r="O173" s="60" t="str">
        <f t="shared" si="9"/>
        <v xml:space="preserve">    term_mod_scr_secr: "Spatially explicit capture-recapture (SECR) / Spatial capture-recapture (SCR) (Borchers &amp; Efford, 2008; Efford, 2004; Royle &amp; Young, 2008; Royle et al., 2009)"</v>
      </c>
      <c r="P173" s="39"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73" s="40"/>
      <c r="R173" s="83" t="s">
        <v>51</v>
      </c>
      <c r="S173" s="84" t="b">
        <v>0</v>
      </c>
      <c r="T173" s="86" t="b">
        <v>1</v>
      </c>
      <c r="U173" s="85" t="s">
        <v>895</v>
      </c>
      <c r="V173" t="s">
        <v>896</v>
      </c>
      <c r="W173" s="13" t="s">
        <v>1816</v>
      </c>
      <c r="X173" t="s">
        <v>4582</v>
      </c>
      <c r="Y17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4" spans="1:26" s="3" customFormat="1">
      <c r="A174" s="30"/>
      <c r="B174" s="30">
        <v>151</v>
      </c>
      <c r="C174" s="30" t="s">
        <v>429</v>
      </c>
      <c r="D174" s="82" t="s">
        <v>984</v>
      </c>
      <c r="E174" s="40" t="s">
        <v>254</v>
      </c>
      <c r="F174" s="30" t="s">
        <v>897</v>
      </c>
      <c r="G174" s="30" t="s">
        <v>767</v>
      </c>
      <c r="H174" s="40" t="s">
        <v>1249</v>
      </c>
      <c r="I174" s="40" t="s">
        <v>253</v>
      </c>
      <c r="J174" s="40" t="str">
        <f t="shared" si="8"/>
        <v>species</v>
      </c>
      <c r="K174" s="40" t="s">
        <v>644</v>
      </c>
      <c r="L174" s="34" t="str">
        <f>IF(VLOOKUP(J174,find_replace!H:H,1,"false")=J174,"TRUE","FALSE")</f>
        <v>TRUE</v>
      </c>
      <c r="M174" s="82" t="s">
        <v>402</v>
      </c>
      <c r="N174" s="82" t="s">
        <v>402</v>
      </c>
      <c r="O174" s="60" t="str">
        <f t="shared" si="9"/>
        <v xml:space="preserve">    term_species: "Species"</v>
      </c>
      <c r="P174" s="39" t="str">
        <f t="shared" si="10"/>
        <v xml:space="preserve">    def_species: "The capitalized common name of the species being categorized ('tagged')."</v>
      </c>
      <c r="Q174" s="40"/>
      <c r="R174" s="83" t="b">
        <v>1</v>
      </c>
      <c r="S174" s="86" t="b">
        <v>1</v>
      </c>
      <c r="T174" s="84" t="b">
        <v>0</v>
      </c>
      <c r="U174" s="85" t="s">
        <v>895</v>
      </c>
      <c r="V174" t="s">
        <v>896</v>
      </c>
      <c r="W174" s="13" t="s">
        <v>1816</v>
      </c>
      <c r="X174" t="s">
        <v>4582</v>
      </c>
      <c r="Y174" t="str">
        <f t="shared" si="11"/>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c r="Z174"/>
    </row>
    <row r="175" spans="1:26">
      <c r="A175" s="30"/>
      <c r="B175" s="30"/>
      <c r="C175" s="30" t="s">
        <v>0</v>
      </c>
      <c r="D175" s="82" t="s">
        <v>984</v>
      </c>
      <c r="E175" s="30"/>
      <c r="F175" s="30"/>
      <c r="G175" s="30" t="s">
        <v>768</v>
      </c>
      <c r="H175" s="30"/>
      <c r="I175" s="30" t="s">
        <v>1785</v>
      </c>
      <c r="J175" s="40" t="str">
        <f t="shared" si="8"/>
        <v>distribution_species</v>
      </c>
      <c r="K175" s="30" t="s">
        <v>1272</v>
      </c>
      <c r="L175" s="34" t="str">
        <f>IF(VLOOKUP(J175,find_replace!H:H,1,"false")=J175,"TRUE","FALSE")</f>
        <v>TRUE</v>
      </c>
      <c r="M175" s="54" t="s">
        <v>4619</v>
      </c>
      <c r="N175" s="54" t="s">
        <v>1271</v>
      </c>
      <c r="O175" s="60" t="str">
        <f t="shared" si="9"/>
        <v xml:space="preserve">    term_distribution_species: "Species distribution"</v>
      </c>
      <c r="P175" s="39" t="str">
        <f t="shared" si="10"/>
        <v xml:space="preserve">    def_distribution_species: "The manner in which a species is spatially arranged. The geographic limits of a particular taxon's distribution is its range, often represented as shaded areas on a map."</v>
      </c>
      <c r="Q175" s="30"/>
      <c r="R175" s="30"/>
      <c r="S175" s="30"/>
      <c r="T175" s="30"/>
      <c r="U175" s="85" t="s">
        <v>895</v>
      </c>
      <c r="V175" t="s">
        <v>896</v>
      </c>
      <c r="W175" s="13" t="s">
        <v>1816</v>
      </c>
      <c r="X175" t="s">
        <v>4582</v>
      </c>
      <c r="Y175" t="str">
        <f t="shared" si="11"/>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176" spans="1:26">
      <c r="A176" s="30"/>
      <c r="B176" s="30"/>
      <c r="C176" s="30" t="s">
        <v>0</v>
      </c>
      <c r="D176" s="82" t="s">
        <v>984</v>
      </c>
      <c r="E176" s="87" t="s">
        <v>443</v>
      </c>
      <c r="F176" s="31"/>
      <c r="G176" s="30" t="s">
        <v>767</v>
      </c>
      <c r="H176" s="30" t="s">
        <v>815</v>
      </c>
      <c r="I176" s="31" t="s">
        <v>538</v>
      </c>
      <c r="J176" s="40" t="str">
        <f t="shared" si="8"/>
        <v>mod_divers_rich_divers</v>
      </c>
      <c r="K176" s="87" t="s">
        <v>443</v>
      </c>
      <c r="L176" s="34" t="str">
        <f>IF(VLOOKUP(J176,find_replace!H:H,1,"false")=J176,"TRUE","FALSE")</f>
        <v>TRUE</v>
      </c>
      <c r="M176" s="55" t="s">
        <v>998</v>
      </c>
      <c r="N176" s="88" t="s">
        <v>890</v>
      </c>
      <c r="O176" s="60" t="str">
        <f t="shared" si="9"/>
        <v xml:space="preserve">    term_mod_divers_rich_divers: "Species diversity"</v>
      </c>
      <c r="P176" s="39" t="str">
        <f t="shared" si="10"/>
        <v xml:space="preserve">    def_mod_divers_rich_divers: "A measure of diversity that incorporates both the number of species in an assemblage and some measure of their relative abundances.' ({{ rtxt_gotelli_chao_2013 }})"</v>
      </c>
      <c r="Q176" s="30"/>
      <c r="R176" s="30"/>
      <c r="S176" s="30"/>
      <c r="T176" s="30"/>
      <c r="U176" s="85" t="s">
        <v>895</v>
      </c>
      <c r="V176" t="s">
        <v>896</v>
      </c>
      <c r="W176" s="13" t="s">
        <v>1816</v>
      </c>
      <c r="X176" t="s">
        <v>4582</v>
      </c>
      <c r="Y176" t="str">
        <f t="shared" si="11"/>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77" spans="1:26">
      <c r="A177" s="52"/>
      <c r="B177" s="52"/>
      <c r="C177" s="52" t="s">
        <v>0</v>
      </c>
      <c r="D177" s="82" t="s">
        <v>1755</v>
      </c>
      <c r="E177" s="89" t="s">
        <v>443</v>
      </c>
      <c r="F177" s="35"/>
      <c r="G177" s="52" t="s">
        <v>767</v>
      </c>
      <c r="H177" s="52" t="s">
        <v>815</v>
      </c>
      <c r="I177" s="35" t="s">
        <v>538</v>
      </c>
      <c r="J177" s="40" t="str">
        <f t="shared" si="8"/>
        <v>mod_divers_rich_divers_mod</v>
      </c>
      <c r="K177" s="89" t="s">
        <v>443</v>
      </c>
      <c r="L177" s="90" t="e">
        <f>IF(VLOOKUP(J177,find_replace!H:H,1,"false")=J177,"TRUE","FALSE")</f>
        <v>#N/A</v>
      </c>
      <c r="M177" s="91" t="s">
        <v>1788</v>
      </c>
      <c r="N177" s="91" t="s">
        <v>1789</v>
      </c>
      <c r="O177" s="60" t="str">
        <f t="shared" si="9"/>
        <v xml:space="preserve">    term_mod_divers_rich_divers_mod: "Species diversity"</v>
      </c>
      <c r="P177" s="39" t="str">
        <f t="shared" si="10"/>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77" s="52"/>
      <c r="R177" s="52"/>
      <c r="S177" s="52"/>
      <c r="T177" s="52"/>
      <c r="U177" s="92" t="s">
        <v>895</v>
      </c>
      <c r="V177" t="s">
        <v>896</v>
      </c>
      <c r="W177" s="13" t="s">
        <v>1816</v>
      </c>
      <c r="X177" t="s">
        <v>4582</v>
      </c>
      <c r="Y177" t="str">
        <f t="shared" si="11"/>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77" s="3"/>
    </row>
    <row r="178" spans="1:26">
      <c r="A178" s="31"/>
      <c r="B178" s="31"/>
      <c r="C178" s="31" t="s">
        <v>0</v>
      </c>
      <c r="D178" s="82" t="s">
        <v>984</v>
      </c>
      <c r="E178" s="31" t="s">
        <v>35</v>
      </c>
      <c r="F178" s="31"/>
      <c r="G178" s="30" t="s">
        <v>767</v>
      </c>
      <c r="H178" s="31" t="s">
        <v>40</v>
      </c>
      <c r="I178" s="31" t="s">
        <v>48</v>
      </c>
      <c r="J178" s="40" t="str">
        <f t="shared" si="8"/>
        <v>obj_divers_rich</v>
      </c>
      <c r="K178" s="31" t="s">
        <v>35</v>
      </c>
      <c r="L178" s="34" t="str">
        <f>IF(VLOOKUP(J178,find_replace!H:H,1,"false")=J178,"TRUE","FALSE")</f>
        <v>TRUE</v>
      </c>
      <c r="M178" s="87" t="s">
        <v>4583</v>
      </c>
      <c r="N178" s="87" t="s">
        <v>1749</v>
      </c>
      <c r="O178" s="60" t="str">
        <f t="shared" si="9"/>
        <v xml:space="preserve">    term_obj_divers_rich: "Species diversity &amp; richness"</v>
      </c>
      <c r="P178" s="39"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78" s="31"/>
      <c r="R178" s="31"/>
      <c r="S178" s="31"/>
      <c r="T178" s="31"/>
      <c r="U178" s="85" t="s">
        <v>895</v>
      </c>
      <c r="V178" t="s">
        <v>896</v>
      </c>
      <c r="W178" s="13" t="s">
        <v>1816</v>
      </c>
      <c r="X178" t="s">
        <v>4582</v>
      </c>
      <c r="Y178"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79" spans="1:26">
      <c r="A179" s="31"/>
      <c r="B179" s="31"/>
      <c r="C179" s="31" t="s">
        <v>0</v>
      </c>
      <c r="D179" s="82" t="s">
        <v>984</v>
      </c>
      <c r="E179" s="31" t="s">
        <v>37</v>
      </c>
      <c r="F179" s="31"/>
      <c r="G179" s="30" t="s">
        <v>767</v>
      </c>
      <c r="H179" s="31" t="s">
        <v>40</v>
      </c>
      <c r="I179" s="31" t="s">
        <v>49</v>
      </c>
      <c r="J179" s="40" t="str">
        <f t="shared" si="8"/>
        <v>obj_inventory</v>
      </c>
      <c r="K179" s="31" t="s">
        <v>37</v>
      </c>
      <c r="L179" s="34" t="str">
        <f>IF(VLOOKUP(J179,find_replace!H:H,1,"false")=J179,"TRUE","FALSE")</f>
        <v>TRUE</v>
      </c>
      <c r="M179" s="82" t="s">
        <v>997</v>
      </c>
      <c r="N179" s="94" t="s">
        <v>871</v>
      </c>
      <c r="O179" s="60" t="str">
        <f t="shared" si="9"/>
        <v xml:space="preserve">    term_obj_inventory: "Species inventory"</v>
      </c>
      <c r="P179" s="39"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79" s="31"/>
      <c r="R179" s="31"/>
      <c r="S179" s="31"/>
      <c r="T179" s="31"/>
      <c r="U179" s="85" t="s">
        <v>895</v>
      </c>
      <c r="V179" t="s">
        <v>896</v>
      </c>
      <c r="W179" s="13" t="s">
        <v>1816</v>
      </c>
      <c r="X179" t="s">
        <v>4582</v>
      </c>
      <c r="Y179"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80" spans="1:26">
      <c r="A180" s="30"/>
      <c r="B180" s="30"/>
      <c r="C180" s="30" t="s">
        <v>0</v>
      </c>
      <c r="D180" s="82" t="s">
        <v>984</v>
      </c>
      <c r="E180" s="30"/>
      <c r="F180" s="30"/>
      <c r="G180" s="30" t="s">
        <v>768</v>
      </c>
      <c r="H180" s="30"/>
      <c r="I180" s="30" t="s">
        <v>458</v>
      </c>
      <c r="J180" s="40" t="str">
        <f t="shared" si="8"/>
        <v>sp_rarity</v>
      </c>
      <c r="K180" s="30" t="s">
        <v>666</v>
      </c>
      <c r="L180" s="34" t="str">
        <f>IF(VLOOKUP(J180,find_replace!H:H,1,"false")=J180,"TRUE","FALSE")</f>
        <v>TRUE</v>
      </c>
      <c r="M180" s="54" t="s">
        <v>4621</v>
      </c>
      <c r="N180" s="54" t="s">
        <v>1837</v>
      </c>
      <c r="O180" s="60" t="str">
        <f t="shared" si="9"/>
        <v xml:space="preserve">    term_sp_rarity: "Species rarity"</v>
      </c>
      <c r="P180" s="39" t="str">
        <f t="shared" si="10"/>
        <v xml:space="preserve">    def_sp_rarity: "The number of individuals present of the species in question, relative to the total number of individuals of all species (or how 'represented' is the species when considering the total number of individuals of all species)."</v>
      </c>
      <c r="Q180" s="30"/>
      <c r="R180" s="30"/>
      <c r="S180" s="30"/>
      <c r="T180" s="30"/>
      <c r="U180" s="85" t="s">
        <v>895</v>
      </c>
      <c r="V180" t="s">
        <v>896</v>
      </c>
      <c r="W180" s="13" t="s">
        <v>1816</v>
      </c>
      <c r="X180" t="s">
        <v>4582</v>
      </c>
      <c r="Y180" t="str">
        <f t="shared" si="11"/>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81" spans="1:26">
      <c r="A181" s="30" t="s">
        <v>530</v>
      </c>
      <c r="B181" s="30"/>
      <c r="C181" s="30" t="s">
        <v>0</v>
      </c>
      <c r="D181" s="82" t="s">
        <v>984</v>
      </c>
      <c r="E181" s="87" t="s">
        <v>442</v>
      </c>
      <c r="F181" s="31"/>
      <c r="G181" s="30" t="s">
        <v>767</v>
      </c>
      <c r="H181" s="30" t="s">
        <v>815</v>
      </c>
      <c r="I181" s="31" t="s">
        <v>451</v>
      </c>
      <c r="J181" s="40" t="str">
        <f t="shared" si="8"/>
        <v>mod_divers_rich_rich</v>
      </c>
      <c r="K181" s="87" t="s">
        <v>442</v>
      </c>
      <c r="L181" s="34" t="str">
        <f>IF(VLOOKUP(J181,find_replace!H:H,1,"false")=J181,"TRUE","FALSE")</f>
        <v>TRUE</v>
      </c>
      <c r="M181" s="55" t="s">
        <v>995</v>
      </c>
      <c r="N181" s="88" t="s">
        <v>889</v>
      </c>
      <c r="O181" s="60" t="str">
        <f t="shared" si="9"/>
        <v xml:space="preserve">    term_mod_divers_rich_rich: "Species richness"</v>
      </c>
      <c r="P181" s="39" t="str">
        <f t="shared" si="10"/>
        <v xml:space="preserve">    def_mod_divers_rich_rich: "The total number of species in an assemblage or a sample' ({{ rtxt_gotelli_chao_2013 }})."</v>
      </c>
      <c r="Q181" s="30"/>
      <c r="R181" s="30"/>
      <c r="S181" s="30"/>
      <c r="T181" s="30"/>
      <c r="U181" s="85" t="s">
        <v>895</v>
      </c>
      <c r="V181" t="s">
        <v>896</v>
      </c>
      <c r="W181" s="13" t="s">
        <v>1816</v>
      </c>
      <c r="X181" t="s">
        <v>4582</v>
      </c>
      <c r="Y181" t="str">
        <f t="shared" si="11"/>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82" spans="1:26">
      <c r="A182" s="30" t="s">
        <v>530</v>
      </c>
      <c r="B182" s="30"/>
      <c r="C182" s="30" t="s">
        <v>0</v>
      </c>
      <c r="D182" s="82" t="s">
        <v>1755</v>
      </c>
      <c r="E182" s="87" t="s">
        <v>442</v>
      </c>
      <c r="F182" s="31"/>
      <c r="G182" s="30" t="s">
        <v>767</v>
      </c>
      <c r="H182" s="30" t="s">
        <v>815</v>
      </c>
      <c r="I182" s="31" t="s">
        <v>451</v>
      </c>
      <c r="J182" s="40" t="str">
        <f t="shared" si="8"/>
        <v>mod_divers_rich_rich_mod</v>
      </c>
      <c r="K182" s="87" t="s">
        <v>442</v>
      </c>
      <c r="L182" s="34" t="e">
        <f>IF(VLOOKUP(J182,find_replace!H:H,1,"false")=J182,"TRUE","FALSE")</f>
        <v>#N/A</v>
      </c>
      <c r="M182" s="54" t="s">
        <v>996</v>
      </c>
      <c r="N182" s="93" t="s">
        <v>878</v>
      </c>
      <c r="O182" s="60" t="str">
        <f t="shared" si="9"/>
        <v xml:space="preserve">    term_mod_divers_rich_rich_mod: "Species richness"</v>
      </c>
      <c r="P182" s="39" t="str">
        <f t="shared" si="10"/>
        <v xml:space="preserve">    def_mod_divers_rich_rich_mod: "The number of species found in the community/area measured ({{ rtxt_pyron_2010 }})."</v>
      </c>
      <c r="Q182" s="30"/>
      <c r="R182" s="30"/>
      <c r="S182" s="30"/>
      <c r="T182" s="30"/>
      <c r="U182" s="85" t="s">
        <v>895</v>
      </c>
      <c r="V182" t="s">
        <v>896</v>
      </c>
      <c r="W182" s="13" t="s">
        <v>1816</v>
      </c>
      <c r="X182" t="s">
        <v>4582</v>
      </c>
      <c r="Y182" t="str">
        <f t="shared" si="11"/>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83" spans="1:26">
      <c r="A183" s="30" t="s">
        <v>530</v>
      </c>
      <c r="B183" s="30"/>
      <c r="C183" s="30" t="s">
        <v>0</v>
      </c>
      <c r="D183" s="82" t="s">
        <v>1823</v>
      </c>
      <c r="E183" s="87" t="s">
        <v>442</v>
      </c>
      <c r="F183" s="31"/>
      <c r="G183" s="30" t="s">
        <v>767</v>
      </c>
      <c r="H183" s="30" t="s">
        <v>815</v>
      </c>
      <c r="I183" s="31" t="s">
        <v>451</v>
      </c>
      <c r="J183" s="40" t="str">
        <f t="shared" si="8"/>
        <v>mod_divers_rich_rich_mod2</v>
      </c>
      <c r="K183" s="87" t="s">
        <v>442</v>
      </c>
      <c r="L183" s="34" t="e">
        <f>IF(VLOOKUP(J183,find_replace!H:H,1,"false")=J183,"TRUE","FALSE")</f>
        <v>#N/A</v>
      </c>
      <c r="M183" s="55" t="s">
        <v>1787</v>
      </c>
      <c r="N183" s="55" t="s">
        <v>1786</v>
      </c>
      <c r="O183" s="60" t="str">
        <f t="shared" si="9"/>
        <v xml:space="preserve">    term_mod_divers_rich_rich_mod2: "Species richness"</v>
      </c>
      <c r="P183" s="39" t="str">
        <f t="shared" si="10"/>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83" s="30"/>
      <c r="R183" s="30"/>
      <c r="S183" s="30"/>
      <c r="T183" s="30"/>
      <c r="U183" s="85" t="s">
        <v>895</v>
      </c>
      <c r="V183" t="s">
        <v>896</v>
      </c>
      <c r="W183" s="13" t="s">
        <v>1816</v>
      </c>
      <c r="X183" t="s">
        <v>4582</v>
      </c>
      <c r="Y183" t="str">
        <f t="shared" si="11"/>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84" spans="1:26">
      <c r="A184" s="30"/>
      <c r="B184" s="30"/>
      <c r="C184" s="30" t="s">
        <v>0</v>
      </c>
      <c r="D184" s="82" t="s">
        <v>984</v>
      </c>
      <c r="E184" s="30"/>
      <c r="F184" s="30"/>
      <c r="G184" s="30" t="s">
        <v>768</v>
      </c>
      <c r="H184" s="30"/>
      <c r="I184" s="30" t="s">
        <v>1363</v>
      </c>
      <c r="J184" s="40" t="str">
        <f t="shared" si="8"/>
        <v>sp_accum_curve</v>
      </c>
      <c r="K184" s="30" t="s">
        <v>1357</v>
      </c>
      <c r="L184" s="34" t="str">
        <f>IF(VLOOKUP(J184,find_replace!H:H,1,"false")=J184,"TRUE","FALSE")</f>
        <v>TRUE</v>
      </c>
      <c r="M184" s="55" t="s">
        <v>1833</v>
      </c>
      <c r="N184" s="55" t="s">
        <v>1835</v>
      </c>
      <c r="O184" s="60" t="str">
        <f t="shared" si="9"/>
        <v xml:space="preserve">    term_sp_accum_curve: "Species-accumulation curve"</v>
      </c>
      <c r="P184" s="39" t="str">
        <f t="shared" si="10"/>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84" s="30"/>
      <c r="R184" s="30"/>
      <c r="S184" s="30"/>
      <c r="T184" s="30"/>
      <c r="U184" s="85" t="s">
        <v>895</v>
      </c>
      <c r="V184" t="s">
        <v>896</v>
      </c>
      <c r="W184" s="13" t="s">
        <v>1816</v>
      </c>
      <c r="X184" t="s">
        <v>4582</v>
      </c>
      <c r="Y184" t="str">
        <f t="shared" si="11"/>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85" spans="1:26">
      <c r="A185" s="30"/>
      <c r="B185" s="30"/>
      <c r="C185" s="30" t="s">
        <v>0</v>
      </c>
      <c r="D185" s="82" t="s">
        <v>984</v>
      </c>
      <c r="E185" s="30"/>
      <c r="F185" s="30"/>
      <c r="G185" s="30" t="s">
        <v>651</v>
      </c>
      <c r="H185" s="30"/>
      <c r="I185" s="30" t="s">
        <v>798</v>
      </c>
      <c r="J185" s="40" t="str">
        <f t="shared" si="8"/>
        <v>sp_specific</v>
      </c>
      <c r="K185" s="30" t="s">
        <v>646</v>
      </c>
      <c r="L185" s="34" t="str">
        <f>IF(VLOOKUP(J185,find_replace!H:H,1,"false")=J185,"TRUE","FALSE")</f>
        <v>TRUE</v>
      </c>
      <c r="M185" s="55" t="s">
        <v>1342</v>
      </c>
      <c r="N185" s="55" t="s">
        <v>1297</v>
      </c>
      <c r="O185" s="60" t="str">
        <f t="shared" si="9"/>
        <v xml:space="preserve">    term_sp_specific: "Species-specific"</v>
      </c>
      <c r="P185" s="39" t="str">
        <f t="shared" si="10"/>
        <v xml:space="preserve">    def_sp_specific: "Relating to one specific species. For example, focusing specifically on moose.' ({{ rtxt_kemp_et_al_2022 }})."</v>
      </c>
      <c r="Q185" s="30"/>
      <c r="R185" s="30"/>
      <c r="S185" s="30"/>
      <c r="T185" s="30"/>
      <c r="U185" s="85" t="s">
        <v>895</v>
      </c>
      <c r="V185" t="s">
        <v>896</v>
      </c>
      <c r="W185" s="13" t="s">
        <v>1816</v>
      </c>
      <c r="X185" t="s">
        <v>4582</v>
      </c>
      <c r="Y185" t="str">
        <f t="shared" si="11"/>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186" spans="1:26">
      <c r="A186" s="30"/>
      <c r="B186" s="30">
        <v>152</v>
      </c>
      <c r="C186" s="30" t="s">
        <v>429</v>
      </c>
      <c r="D186" s="82" t="s">
        <v>984</v>
      </c>
      <c r="E186" s="40" t="s">
        <v>500</v>
      </c>
      <c r="F186" s="30" t="s">
        <v>897</v>
      </c>
      <c r="G186" s="30" t="s">
        <v>767</v>
      </c>
      <c r="H186" s="30" t="s">
        <v>543</v>
      </c>
      <c r="I186" s="40" t="s">
        <v>314</v>
      </c>
      <c r="J186" s="40" t="str">
        <f t="shared" si="8"/>
        <v>stake_distance</v>
      </c>
      <c r="K186" s="40" t="s">
        <v>759</v>
      </c>
      <c r="L186" s="34" t="str">
        <f>IF(VLOOKUP(J186,find_replace!H:H,1,"false")=J186,"TRUE","FALSE")</f>
        <v>TRUE</v>
      </c>
      <c r="M186" s="82" t="s">
        <v>315</v>
      </c>
      <c r="N186" s="82" t="s">
        <v>315</v>
      </c>
      <c r="O186" s="60" t="str">
        <f t="shared" si="9"/>
        <v xml:space="preserve">    term_stake_distance: "Stake Distance (m)"</v>
      </c>
      <c r="P186" s="39" t="str">
        <f t="shared" si="10"/>
        <v xml:space="preserve">    def_stake_distance: "The distance from the camera to a stake (in metres to the nearest 0.05 m). Leave blank if not applicable."</v>
      </c>
      <c r="Q186" s="40" t="b">
        <v>1</v>
      </c>
      <c r="R186" s="83" t="b">
        <v>0</v>
      </c>
      <c r="S186" s="86" t="b">
        <v>1</v>
      </c>
      <c r="T186" s="86" t="b">
        <v>1</v>
      </c>
      <c r="U186" s="85" t="s">
        <v>895</v>
      </c>
      <c r="V186" t="s">
        <v>896</v>
      </c>
      <c r="W186" s="13" t="s">
        <v>1816</v>
      </c>
      <c r="X186" t="s">
        <v>4582</v>
      </c>
      <c r="Y186" t="str">
        <f t="shared" si="11"/>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7" spans="1:26">
      <c r="A187" s="30"/>
      <c r="B187" s="30">
        <v>153</v>
      </c>
      <c r="C187" s="30" t="s">
        <v>0</v>
      </c>
      <c r="D187" s="82" t="s">
        <v>984</v>
      </c>
      <c r="E187" s="34" t="s">
        <v>103</v>
      </c>
      <c r="F187" s="30"/>
      <c r="G187" s="30" t="s">
        <v>767</v>
      </c>
      <c r="H187" s="40" t="s">
        <v>818</v>
      </c>
      <c r="I187" s="40" t="s">
        <v>102</v>
      </c>
      <c r="J187" s="40" t="str">
        <f t="shared" si="8"/>
        <v>state_variable</v>
      </c>
      <c r="K187" s="34" t="s">
        <v>103</v>
      </c>
      <c r="L187" s="34" t="str">
        <f>IF(VLOOKUP(J187,find_replace!H:H,1,"false")=J187,"TRUE","FALSE")</f>
        <v>TRUE</v>
      </c>
      <c r="M187" s="82" t="s">
        <v>315</v>
      </c>
      <c r="N187" s="82" t="s">
        <v>850</v>
      </c>
      <c r="O187" s="60" t="str">
        <f t="shared" si="9"/>
        <v xml:space="preserve">    term_state_variable: "State variable"</v>
      </c>
      <c r="P187" s="39" t="str">
        <f t="shared" si="10"/>
        <v xml:space="preserve">    def_state_variable: "The distance from the camera to a stake (in metres to the nearest 0.05 m). Leave blank if not applicable."</v>
      </c>
      <c r="Q187" s="40"/>
      <c r="R187" s="83" t="s">
        <v>51</v>
      </c>
      <c r="S187" s="84" t="b">
        <v>0</v>
      </c>
      <c r="T187" s="86" t="b">
        <v>1</v>
      </c>
      <c r="U187" s="85" t="s">
        <v>895</v>
      </c>
      <c r="V187" t="s">
        <v>896</v>
      </c>
      <c r="W187" s="13" t="s">
        <v>1816</v>
      </c>
      <c r="X187" t="s">
        <v>4582</v>
      </c>
      <c r="Y187" t="str">
        <f t="shared" si="11"/>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8" spans="1:26">
      <c r="A188" s="30"/>
      <c r="B188" s="30"/>
      <c r="C188" s="30" t="s">
        <v>0</v>
      </c>
      <c r="D188" s="82" t="s">
        <v>984</v>
      </c>
      <c r="E188" s="40" t="s">
        <v>766</v>
      </c>
      <c r="F188" s="30"/>
      <c r="G188" s="30" t="s">
        <v>768</v>
      </c>
      <c r="H188" s="30"/>
      <c r="I188" s="40" t="s">
        <v>765</v>
      </c>
      <c r="J188" s="40" t="str">
        <f t="shared" si="8"/>
        <v>strata</v>
      </c>
      <c r="K188" s="40" t="s">
        <v>766</v>
      </c>
      <c r="L188" s="34" t="str">
        <f>IF(VLOOKUP(J188,find_replace!H:H,1,"false")=J188,"TRUE","FALSE")</f>
        <v>TRUE</v>
      </c>
      <c r="M188" s="55" t="s">
        <v>1791</v>
      </c>
      <c r="N188" s="55" t="s">
        <v>1790</v>
      </c>
      <c r="O188" s="60" t="str">
        <f t="shared" si="9"/>
        <v xml:space="preserve">    term_strata: "Strata"</v>
      </c>
      <c r="P188" s="39" t="str">
        <f t="shared" si="10"/>
        <v xml:space="preserve">    def_strata: "(plural of stratum) the 'division in an organized system based on the characteristics of that system' ({{ rtxt_morrison_et_al_2008 }})"</v>
      </c>
      <c r="Q188" s="30"/>
      <c r="R188" s="30"/>
      <c r="S188" s="30"/>
      <c r="T188" s="30"/>
      <c r="U188" s="85" t="s">
        <v>895</v>
      </c>
      <c r="V188" t="s">
        <v>896</v>
      </c>
      <c r="W188" s="13" t="s">
        <v>1816</v>
      </c>
      <c r="X188" t="s">
        <v>4582</v>
      </c>
      <c r="Y188" t="str">
        <f t="shared" si="11"/>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189" spans="1:26">
      <c r="A189" s="30"/>
      <c r="B189" s="30">
        <v>154</v>
      </c>
      <c r="C189" s="30" t="s">
        <v>0</v>
      </c>
      <c r="D189" s="82" t="s">
        <v>984</v>
      </c>
      <c r="E189" s="34" t="s">
        <v>101</v>
      </c>
      <c r="F189" s="30"/>
      <c r="G189" s="30" t="s">
        <v>767</v>
      </c>
      <c r="H189" s="30" t="s">
        <v>540</v>
      </c>
      <c r="I189" s="40" t="s">
        <v>99</v>
      </c>
      <c r="J189" s="40" t="str">
        <f t="shared" si="8"/>
        <v>sampledesign_stratified</v>
      </c>
      <c r="K189" s="34" t="s">
        <v>101</v>
      </c>
      <c r="L189" s="34" t="str">
        <f>IF(VLOOKUP(J189,find_replace!H:H,1,"false")=J189,"TRUE","FALSE")</f>
        <v>TRUE</v>
      </c>
      <c r="M189" s="82" t="s">
        <v>100</v>
      </c>
      <c r="N189" s="82" t="s">
        <v>100</v>
      </c>
      <c r="O189" s="60" t="str">
        <f t="shared" si="9"/>
        <v xml:space="preserve">    term_sampledesign_stratified: "Stratified design"</v>
      </c>
      <c r="P189" s="39" t="str">
        <f t="shared" si="10"/>
        <v xml:space="preserve">    def_sampledesign_stratified: "The area of interest is divided into smaller strata (e.g., habitat type, disturbance levels), and cameras are placed within each stratum (e.g., 15%, 35% and 50% of sites within high, medium, and low disturbance strata)."</v>
      </c>
      <c r="Q189" s="40"/>
      <c r="R189" s="83" t="s">
        <v>51</v>
      </c>
      <c r="S189" s="86" t="b">
        <v>1</v>
      </c>
      <c r="T189" s="86" t="b">
        <v>1</v>
      </c>
      <c r="U189" s="85" t="s">
        <v>895</v>
      </c>
      <c r="V189" t="s">
        <v>896</v>
      </c>
      <c r="W189" s="13" t="s">
        <v>1816</v>
      </c>
      <c r="X189" t="s">
        <v>4582</v>
      </c>
      <c r="Y189"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90" spans="1:26">
      <c r="A190" s="30"/>
      <c r="B190" s="30">
        <v>155</v>
      </c>
      <c r="C190" s="30" t="s">
        <v>0</v>
      </c>
      <c r="D190" s="82" t="s">
        <v>984</v>
      </c>
      <c r="E190" s="34" t="s">
        <v>98</v>
      </c>
      <c r="F190" s="30"/>
      <c r="G190" s="30" t="s">
        <v>767</v>
      </c>
      <c r="H190" s="30" t="s">
        <v>540</v>
      </c>
      <c r="I190" s="40" t="s">
        <v>96</v>
      </c>
      <c r="J190" s="40" t="str">
        <f t="shared" si="8"/>
        <v>sampledesign_stratified_random</v>
      </c>
      <c r="K190" s="34" t="s">
        <v>98</v>
      </c>
      <c r="L190" s="34" t="str">
        <f>IF(VLOOKUP(J190,find_replace!H:H,1,"false")=J190,"TRUE","FALSE")</f>
        <v>TRUE</v>
      </c>
      <c r="M190" s="82" t="s">
        <v>97</v>
      </c>
      <c r="N190" s="82" t="s">
        <v>97</v>
      </c>
      <c r="O190" s="60" t="str">
        <f t="shared" si="9"/>
        <v xml:space="preserve">    term_sampledesign_stratified_random: "Stratified random design "</v>
      </c>
      <c r="P190" s="39"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90" s="40"/>
      <c r="R190" s="83" t="s">
        <v>51</v>
      </c>
      <c r="S190" s="84" t="b">
        <v>0</v>
      </c>
      <c r="T190" s="86" t="b">
        <v>1</v>
      </c>
      <c r="U190" s="85" t="s">
        <v>895</v>
      </c>
      <c r="V190" t="s">
        <v>896</v>
      </c>
      <c r="W190" s="13" t="s">
        <v>1816</v>
      </c>
      <c r="X190" t="s">
        <v>4582</v>
      </c>
      <c r="Y190"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91" spans="1:26">
      <c r="A191" s="30"/>
      <c r="B191" s="30"/>
      <c r="C191" s="30" t="s">
        <v>0</v>
      </c>
      <c r="D191" s="82" t="s">
        <v>984</v>
      </c>
      <c r="E191" s="40" t="s">
        <v>766</v>
      </c>
      <c r="F191" s="30"/>
      <c r="G191" s="30" t="s">
        <v>768</v>
      </c>
      <c r="H191" s="30"/>
      <c r="I191" s="40" t="s">
        <v>1766</v>
      </c>
      <c r="J191" s="40" t="str">
        <f t="shared" si="8"/>
        <v>stratum</v>
      </c>
      <c r="K191" s="40" t="s">
        <v>1765</v>
      </c>
      <c r="L191" s="34" t="str">
        <f>IF(VLOOKUP(J191,find_replace!H:H,1,"false")=J191,"TRUE","FALSE")</f>
        <v>TRUE</v>
      </c>
      <c r="M191" s="55" t="s">
        <v>4465</v>
      </c>
      <c r="N191" s="55" t="s">
        <v>4466</v>
      </c>
      <c r="O191" s="60" t="str">
        <f t="shared" si="9"/>
        <v xml:space="preserve">    term_stratum: "Stratum"</v>
      </c>
      <c r="P191" s="39" t="str">
        <f t="shared" si="10"/>
        <v xml:space="preserve">    def_stratum: "(singular of strata) a single group or category when a system is divided 'based on the characteristics of that system' ({{ rtxt_morrison_et_al_2008 }})"</v>
      </c>
      <c r="Q191" s="30"/>
      <c r="R191" s="30"/>
      <c r="S191" s="30"/>
      <c r="T191" s="30"/>
      <c r="U191" s="85" t="s">
        <v>895</v>
      </c>
      <c r="V191" t="s">
        <v>896</v>
      </c>
      <c r="W191" s="13" t="s">
        <v>1816</v>
      </c>
      <c r="X191" t="s">
        <v>4582</v>
      </c>
      <c r="Y191" t="str">
        <f t="shared" si="11"/>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192" spans="1:26">
      <c r="A192" s="30"/>
      <c r="B192" s="30">
        <v>156</v>
      </c>
      <c r="C192" s="30" t="s">
        <v>0</v>
      </c>
      <c r="D192" s="82" t="s">
        <v>984</v>
      </c>
      <c r="E192" s="34" t="s">
        <v>95</v>
      </c>
      <c r="F192" s="30"/>
      <c r="G192" s="30" t="s">
        <v>767</v>
      </c>
      <c r="H192" s="40" t="s">
        <v>94</v>
      </c>
      <c r="I192" s="40" t="s">
        <v>94</v>
      </c>
      <c r="J192" s="40" t="str">
        <f t="shared" si="8"/>
        <v>study_area</v>
      </c>
      <c r="K192" s="34" t="s">
        <v>95</v>
      </c>
      <c r="L192" s="34" t="str">
        <f>IF(VLOOKUP(J192,find_replace!H:H,1,"false")=J192,"TRUE","FALSE")</f>
        <v>TRUE</v>
      </c>
      <c r="M192" s="82" t="s">
        <v>403</v>
      </c>
      <c r="N192" s="82" t="s">
        <v>403</v>
      </c>
      <c r="O192" s="60" t="str">
        <f t="shared" si="9"/>
        <v xml:space="preserve">    term_study_area: "Study area"</v>
      </c>
      <c r="P192" s="39" t="str">
        <f t="shared" si="10"/>
        <v xml:space="preserve">    def_study_area: "A unique research, inventory or monitoring area (spatial boundary) within a project (there may be multiple study areas within a single project) (recorded as 'Study Area Name')."</v>
      </c>
      <c r="Q192" s="40"/>
      <c r="R192" s="83" t="s">
        <v>51</v>
      </c>
      <c r="S192" s="86" t="b">
        <v>1</v>
      </c>
      <c r="T192" s="86" t="b">
        <v>1</v>
      </c>
      <c r="U192" s="85" t="s">
        <v>895</v>
      </c>
      <c r="V192" t="s">
        <v>896</v>
      </c>
      <c r="W192" s="13" t="s">
        <v>1816</v>
      </c>
      <c r="X192" t="s">
        <v>4582</v>
      </c>
      <c r="Y192" t="str">
        <f t="shared" si="11"/>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193" spans="1:25">
      <c r="A193" s="30"/>
      <c r="B193" s="30">
        <v>157</v>
      </c>
      <c r="C193" s="30" t="s">
        <v>429</v>
      </c>
      <c r="D193" s="82" t="s">
        <v>984</v>
      </c>
      <c r="E193" s="40" t="s">
        <v>252</v>
      </c>
      <c r="F193" s="30" t="s">
        <v>897</v>
      </c>
      <c r="G193" s="30" t="s">
        <v>767</v>
      </c>
      <c r="H193" s="40" t="s">
        <v>94</v>
      </c>
      <c r="I193" s="40" t="s">
        <v>250</v>
      </c>
      <c r="J193" s="40" t="str">
        <f t="shared" si="8"/>
        <v>study_area_description</v>
      </c>
      <c r="K193" s="40" t="s">
        <v>723</v>
      </c>
      <c r="L193" s="34" t="str">
        <f>IF(VLOOKUP(J193,find_replace!H:H,1,"false")=J193,"TRUE","FALSE")</f>
        <v>TRUE</v>
      </c>
      <c r="M193" s="82" t="s">
        <v>251</v>
      </c>
      <c r="N193" s="82" t="s">
        <v>251</v>
      </c>
      <c r="O193" s="60" t="str">
        <f t="shared" si="9"/>
        <v xml:space="preserve">    term_study_area_description: "Study Area Description"</v>
      </c>
      <c r="P193" s="39" t="str">
        <f t="shared" si="10"/>
        <v xml:space="preserve">    def_study_area_description: "A description for each unique research or monitoring area including its location, the habitat type(s), land use(s) and habitat disturbances (where applicable)."</v>
      </c>
      <c r="Q193" s="40"/>
      <c r="R193" s="83" t="b">
        <v>1</v>
      </c>
      <c r="S193" s="86" t="b">
        <v>1</v>
      </c>
      <c r="T193" s="84" t="b">
        <v>0</v>
      </c>
      <c r="U193" s="85" t="s">
        <v>895</v>
      </c>
      <c r="V193" t="s">
        <v>896</v>
      </c>
      <c r="W193" s="13" t="s">
        <v>1816</v>
      </c>
      <c r="X193" t="s">
        <v>4582</v>
      </c>
      <c r="Y193" t="str">
        <f t="shared" si="11"/>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194" spans="1:25">
      <c r="A194" s="30"/>
      <c r="B194" s="30">
        <v>158</v>
      </c>
      <c r="C194" s="30" t="s">
        <v>429</v>
      </c>
      <c r="D194" s="82" t="s">
        <v>984</v>
      </c>
      <c r="E194" s="40" t="s">
        <v>4631</v>
      </c>
      <c r="F194" s="30" t="s">
        <v>897</v>
      </c>
      <c r="G194" s="30" t="s">
        <v>767</v>
      </c>
      <c r="H194" s="40" t="s">
        <v>94</v>
      </c>
      <c r="I194" s="40" t="s">
        <v>249</v>
      </c>
      <c r="J194" s="40" t="str">
        <f t="shared" ref="J194:J257" si="12">IF(D194&lt;&gt;"-",I194&amp;"_"&amp;D194,I194)</f>
        <v>study_area_name</v>
      </c>
      <c r="K194" s="40" t="s">
        <v>724</v>
      </c>
      <c r="L194" s="34" t="str">
        <f>IF(VLOOKUP(J194,find_replace!H:H,1,"false")=J194,"TRUE","FALSE")</f>
        <v>TRUE</v>
      </c>
      <c r="M194" s="82" t="s">
        <v>835</v>
      </c>
      <c r="N194" s="82" t="s">
        <v>855</v>
      </c>
      <c r="O194" s="60" t="str">
        <f t="shared" ref="O194:O236" si="13">IF(M194=999,"",("    term_"&amp;J194&amp;": """&amp;K194&amp;""""))</f>
        <v xml:space="preserve">    term_study_area_name: "Study Area Name"</v>
      </c>
      <c r="P194" s="39" t="str">
        <f t="shared" ref="P194:P236" si="14">IF(M194="-","-",("    def_"&amp;J194&amp;": """&amp;M194&amp;""""))</f>
        <v xml:space="preserve">    def_study_area_name: "A unique alphanumeric identifier for each study area (e.g.,'oilsands_ref1'). If only one area was [survey](#survey)ed, the Project Name and Study Area Name should be the same."</v>
      </c>
      <c r="Q194" s="40"/>
      <c r="R194" s="83" t="b">
        <v>1</v>
      </c>
      <c r="S194" s="86" t="b">
        <v>1</v>
      </c>
      <c r="T194" s="86" t="b">
        <v>1</v>
      </c>
      <c r="U194" s="85" t="s">
        <v>895</v>
      </c>
      <c r="V194" t="s">
        <v>896</v>
      </c>
      <c r="W194" s="13" t="s">
        <v>1816</v>
      </c>
      <c r="X194" t="s">
        <v>4582</v>
      </c>
      <c r="Y194" t="str">
        <f t="shared" ref="Y194:Y257" si="15">IF(M194&lt;&gt;"-",("    "&amp;J194&amp;"_ti"&amp;": "&amp;""""&amp;"&lt;a href=\"&amp;""""&amp;"09_glossary.html#"&amp;J194&amp;V194&amp;K194&amp;": "&amp;M194&amp;W194&amp;""&amp;X194&amp;""""),"-")</f>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195" spans="1:25">
      <c r="A195" s="30"/>
      <c r="B195" s="30">
        <v>159</v>
      </c>
      <c r="C195" s="30" t="s">
        <v>430</v>
      </c>
      <c r="D195" s="82" t="s">
        <v>984</v>
      </c>
      <c r="E195" s="40" t="s">
        <v>244</v>
      </c>
      <c r="F195" s="30" t="s">
        <v>897</v>
      </c>
      <c r="G195" s="30" t="s">
        <v>767</v>
      </c>
      <c r="H195" s="40" t="s">
        <v>1249</v>
      </c>
      <c r="I195" s="40" t="s">
        <v>243</v>
      </c>
      <c r="J195" s="40" t="str">
        <f t="shared" si="12"/>
        <v>age_class_subadult</v>
      </c>
      <c r="K195" s="40" t="s">
        <v>674</v>
      </c>
      <c r="L195" s="34" t="str">
        <f>IF(VLOOKUP(J195,find_replace!H:H,1,"false")=J195,"TRUE","FALSE")</f>
        <v>TRUE</v>
      </c>
      <c r="M195" s="82" t="s">
        <v>355</v>
      </c>
      <c r="N195" s="82" t="s">
        <v>355</v>
      </c>
      <c r="O195" s="60" t="str">
        <f t="shared" si="13"/>
        <v xml:space="preserve">    term_age_class_subadult: "Subadult"</v>
      </c>
      <c r="P195" s="39" t="str">
        <f t="shared" si="14"/>
        <v xml:space="preserve">    def_age_class_subadult: "Animals older than a 'Juvenile' but not yet an 'Adult'; a 'Subadult' may be further classified into 'Young of the Year' or 'Yearling.'"</v>
      </c>
      <c r="Q195" s="40"/>
      <c r="R195" s="83" t="s">
        <v>51</v>
      </c>
      <c r="S195" s="86" t="b">
        <v>1</v>
      </c>
      <c r="T195" s="84" t="b">
        <v>0</v>
      </c>
      <c r="U195" s="85" t="s">
        <v>895</v>
      </c>
      <c r="V195" t="s">
        <v>896</v>
      </c>
      <c r="W195" s="13" t="s">
        <v>1816</v>
      </c>
      <c r="X195" t="s">
        <v>4582</v>
      </c>
      <c r="Y195" t="str">
        <f t="shared" si="15"/>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196" spans="1:25">
      <c r="A196" s="30"/>
      <c r="B196" s="30">
        <v>160</v>
      </c>
      <c r="C196" s="30" t="s">
        <v>430</v>
      </c>
      <c r="D196" s="82" t="s">
        <v>984</v>
      </c>
      <c r="E196" s="40" t="s">
        <v>248</v>
      </c>
      <c r="F196" s="30" t="s">
        <v>897</v>
      </c>
      <c r="G196" s="30" t="s">
        <v>767</v>
      </c>
      <c r="H196" s="40" t="s">
        <v>1249</v>
      </c>
      <c r="I196" s="40" t="s">
        <v>247</v>
      </c>
      <c r="J196" s="40" t="str">
        <f t="shared" si="12"/>
        <v>age_class_subadult_yearling</v>
      </c>
      <c r="K196" s="40" t="s">
        <v>675</v>
      </c>
      <c r="L196" s="34" t="str">
        <f>IF(VLOOKUP(J196,find_replace!H:H,1,"false")=J196,"TRUE","FALSE")</f>
        <v>TRUE</v>
      </c>
      <c r="M196" s="82" t="s">
        <v>356</v>
      </c>
      <c r="N196" s="82" t="s">
        <v>356</v>
      </c>
      <c r="O196" s="60" t="str">
        <f t="shared" si="13"/>
        <v xml:space="preserve">    term_age_class_subadult_yearling: "Subadult - Yearling"</v>
      </c>
      <c r="P196" s="39" t="str">
        <f t="shared" si="14"/>
        <v xml:space="preserve">    def_age_class_subadult_yearling: "Animals approximately one year old; has lived through one winter season; between 'Young of Year' and 'Adult.'"</v>
      </c>
      <c r="Q196" s="40"/>
      <c r="R196" s="83" t="s">
        <v>51</v>
      </c>
      <c r="S196" s="86" t="b">
        <v>1</v>
      </c>
      <c r="T196" s="84" t="b">
        <v>0</v>
      </c>
      <c r="U196" s="85" t="s">
        <v>895</v>
      </c>
      <c r="V196" t="s">
        <v>896</v>
      </c>
      <c r="W196" s="13" t="s">
        <v>1816</v>
      </c>
      <c r="X196" t="s">
        <v>4582</v>
      </c>
      <c r="Y196" t="str">
        <f t="shared" si="15"/>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197" spans="1:25">
      <c r="A197" s="30"/>
      <c r="B197" s="30">
        <v>161</v>
      </c>
      <c r="C197" s="30" t="s">
        <v>430</v>
      </c>
      <c r="D197" s="82" t="s">
        <v>984</v>
      </c>
      <c r="E197" s="40" t="s">
        <v>246</v>
      </c>
      <c r="F197" s="30" t="s">
        <v>897</v>
      </c>
      <c r="G197" s="30" t="s">
        <v>767</v>
      </c>
      <c r="H197" s="40" t="s">
        <v>1249</v>
      </c>
      <c r="I197" s="40" t="s">
        <v>245</v>
      </c>
      <c r="J197" s="40" t="str">
        <f t="shared" si="12"/>
        <v>age_class_subadult_youngofyear</v>
      </c>
      <c r="K197" s="40" t="s">
        <v>676</v>
      </c>
      <c r="L197" s="34" t="str">
        <f>IF(VLOOKUP(J197,find_replace!H:H,1,"false")=J197,"TRUE","FALSE")</f>
        <v>TRUE</v>
      </c>
      <c r="M197" s="82" t="s">
        <v>357</v>
      </c>
      <c r="N197" s="82" t="s">
        <v>357</v>
      </c>
      <c r="O197" s="60" t="str">
        <f t="shared" si="13"/>
        <v xml:space="preserve">    term_age_class_subadult_youngofyear: "Subadult - Young of Year"</v>
      </c>
      <c r="P197" s="39" t="str">
        <f t="shared" si="14"/>
        <v xml:space="preserve">    def_age_class_subadult_youngofyear: "Animals less than one year old; born in the previous year's spring, but has not yet lived through a winter season; between 'Juvenile' and 'Yearling.'"</v>
      </c>
      <c r="Q197" s="40"/>
      <c r="R197" s="83" t="s">
        <v>51</v>
      </c>
      <c r="S197" s="86" t="b">
        <v>1</v>
      </c>
      <c r="T197" s="84" t="b">
        <v>0</v>
      </c>
      <c r="U197" s="85" t="s">
        <v>895</v>
      </c>
      <c r="V197" t="s">
        <v>896</v>
      </c>
      <c r="W197" s="13" t="s">
        <v>1816</v>
      </c>
      <c r="X197" t="s">
        <v>4582</v>
      </c>
      <c r="Y197" t="str">
        <f t="shared" si="15"/>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98" spans="1:25">
      <c r="A198" s="30"/>
      <c r="B198" s="30">
        <v>162</v>
      </c>
      <c r="C198" s="30" t="s">
        <v>0</v>
      </c>
      <c r="D198" s="82" t="s">
        <v>984</v>
      </c>
      <c r="E198" s="34" t="s">
        <v>528</v>
      </c>
      <c r="F198" s="30"/>
      <c r="G198" s="30" t="s">
        <v>767</v>
      </c>
      <c r="H198" s="40" t="s">
        <v>513</v>
      </c>
      <c r="I198" s="40" t="s">
        <v>513</v>
      </c>
      <c r="J198" s="40" t="str">
        <f t="shared" si="12"/>
        <v>survey</v>
      </c>
      <c r="K198" s="34" t="s">
        <v>528</v>
      </c>
      <c r="L198" s="34" t="str">
        <f>IF(VLOOKUP(J198,find_replace!H:H,1,"false")=J198,"TRUE","FALSE")</f>
        <v>TRUE</v>
      </c>
      <c r="M198" s="82" t="s">
        <v>828</v>
      </c>
      <c r="N198" s="82" t="s">
        <v>888</v>
      </c>
      <c r="O198" s="60" t="str">
        <f t="shared" si="13"/>
        <v xml:space="preserve">    term_survey: "Survey"</v>
      </c>
      <c r="P198" s="39" t="str">
        <f t="shared" si="14"/>
        <v xml:space="preserve">    def_survey: "A unique deployment period (temporal extent) within a project (recorded as '[Survey Name](#survey_name)')."</v>
      </c>
      <c r="Q198" s="40"/>
      <c r="R198" s="83" t="s">
        <v>51</v>
      </c>
      <c r="S198" s="86" t="b">
        <v>1</v>
      </c>
      <c r="T198" s="86" t="b">
        <v>1</v>
      </c>
      <c r="U198" s="85" t="s">
        <v>895</v>
      </c>
      <c r="V198" t="s">
        <v>896</v>
      </c>
      <c r="W198" s="13" t="s">
        <v>1816</v>
      </c>
      <c r="X198" t="s">
        <v>4582</v>
      </c>
      <c r="Y198"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199" spans="1:25">
      <c r="A199" s="30"/>
      <c r="B199" s="30">
        <v>163</v>
      </c>
      <c r="C199" s="30" t="s">
        <v>429</v>
      </c>
      <c r="D199" s="82" t="s">
        <v>984</v>
      </c>
      <c r="E199" s="40" t="s">
        <v>523</v>
      </c>
      <c r="F199" s="30" t="s">
        <v>897</v>
      </c>
      <c r="G199" s="30" t="s">
        <v>767</v>
      </c>
      <c r="H199" s="40" t="s">
        <v>513</v>
      </c>
      <c r="I199" s="40" t="s">
        <v>514</v>
      </c>
      <c r="J199" s="40" t="str">
        <f t="shared" si="12"/>
        <v>survey_design</v>
      </c>
      <c r="K199" s="40" t="s">
        <v>725</v>
      </c>
      <c r="L199" s="34" t="str">
        <f>IF(VLOOKUP(J199,find_replace!H:H,1,"false")=J199,"TRUE","FALSE")</f>
        <v>TRUE</v>
      </c>
      <c r="M199" s="82" t="s">
        <v>836</v>
      </c>
      <c r="N199" s="82" t="s">
        <v>887</v>
      </c>
      <c r="O199" s="60" t="str">
        <f t="shared" si="13"/>
        <v xml:space="preserve">    term_survey_design: "Survey Design"</v>
      </c>
      <c r="P199" s="39"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199" s="40" t="b">
        <v>1</v>
      </c>
      <c r="R199" s="83" t="b">
        <v>1</v>
      </c>
      <c r="S199" s="86" t="b">
        <v>1</v>
      </c>
      <c r="T199" s="86" t="b">
        <v>1</v>
      </c>
      <c r="U199" s="85" t="s">
        <v>895</v>
      </c>
      <c r="V199" t="s">
        <v>896</v>
      </c>
      <c r="W199" s="13" t="s">
        <v>1816</v>
      </c>
      <c r="X199" t="s">
        <v>4582</v>
      </c>
      <c r="Y199"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00" spans="1:25">
      <c r="A200" s="30"/>
      <c r="B200" s="30">
        <v>164</v>
      </c>
      <c r="C200" s="30" t="s">
        <v>429</v>
      </c>
      <c r="D200" s="82" t="s">
        <v>984</v>
      </c>
      <c r="E200" s="40" t="s">
        <v>524</v>
      </c>
      <c r="F200" s="30" t="s">
        <v>897</v>
      </c>
      <c r="G200" s="30" t="s">
        <v>767</v>
      </c>
      <c r="H200" s="30" t="s">
        <v>513</v>
      </c>
      <c r="I200" s="40" t="s">
        <v>515</v>
      </c>
      <c r="J200" s="40" t="str">
        <f t="shared" si="12"/>
        <v>survey_design_description</v>
      </c>
      <c r="K200" s="40" t="s">
        <v>760</v>
      </c>
      <c r="L200" s="34" t="str">
        <f>IF(VLOOKUP(J200,find_replace!H:H,1,"false")=J200,"TRUE","FALSE")</f>
        <v>TRUE</v>
      </c>
      <c r="M200" s="82" t="s">
        <v>826</v>
      </c>
      <c r="N200" s="82" t="s">
        <v>886</v>
      </c>
      <c r="O200" s="60" t="str">
        <f t="shared" si="13"/>
        <v xml:space="preserve">    term_survey_design_description: "Survey Design Description"</v>
      </c>
      <c r="P200" s="39" t="str">
        <f t="shared" si="14"/>
        <v xml:space="preserve">    def_survey_design_description: "A description of any additional details about the [Survey Design](#survey_design)."</v>
      </c>
      <c r="Q200" s="40"/>
      <c r="R200" s="83" t="b">
        <v>0</v>
      </c>
      <c r="S200" s="86" t="b">
        <v>1</v>
      </c>
      <c r="T200" s="86" t="b">
        <v>1</v>
      </c>
      <c r="U200" s="85" t="s">
        <v>895</v>
      </c>
      <c r="V200" t="s">
        <v>896</v>
      </c>
      <c r="W200" s="13" t="s">
        <v>1816</v>
      </c>
      <c r="X200" t="s">
        <v>4582</v>
      </c>
      <c r="Y200"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01" spans="1:25">
      <c r="A201" s="30"/>
      <c r="B201" s="30">
        <v>165</v>
      </c>
      <c r="C201" s="30" t="s">
        <v>429</v>
      </c>
      <c r="D201" s="82" t="s">
        <v>984</v>
      </c>
      <c r="E201" s="40" t="s">
        <v>525</v>
      </c>
      <c r="F201" s="30" t="s">
        <v>897</v>
      </c>
      <c r="G201" s="30" t="s">
        <v>767</v>
      </c>
      <c r="H201" s="40" t="s">
        <v>513</v>
      </c>
      <c r="I201" s="40" t="s">
        <v>516</v>
      </c>
      <c r="J201" s="40" t="str">
        <f t="shared" si="12"/>
        <v>survey_name</v>
      </c>
      <c r="K201" s="40" t="s">
        <v>726</v>
      </c>
      <c r="L201" s="34" t="str">
        <f>IF(VLOOKUP(J201,find_replace!H:H,1,"false")=J201,"TRUE","FALSE")</f>
        <v>TRUE</v>
      </c>
      <c r="M201" s="82" t="s">
        <v>837</v>
      </c>
      <c r="N201" s="82" t="s">
        <v>856</v>
      </c>
      <c r="O201" s="60" t="str">
        <f t="shared" si="13"/>
        <v xml:space="preserve">    term_survey_name: "Survey Name"</v>
      </c>
      <c r="P201" s="39" t="str">
        <f t="shared" si="14"/>
        <v xml:space="preserve">    def_survey_name: "A unique alphanumeric identifier for each [survey](#survey) period (e.g., 'fortmc_001')."</v>
      </c>
      <c r="Q201" s="40"/>
      <c r="R201" s="83" t="b">
        <v>1</v>
      </c>
      <c r="S201" s="86" t="b">
        <v>1</v>
      </c>
      <c r="T201" s="86" t="b">
        <v>1</v>
      </c>
      <c r="U201" s="85" t="s">
        <v>895</v>
      </c>
      <c r="V201" t="s">
        <v>896</v>
      </c>
      <c r="W201" s="13" t="s">
        <v>1816</v>
      </c>
      <c r="X201" t="s">
        <v>4582</v>
      </c>
      <c r="Y201"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02" spans="1:25">
      <c r="A202" s="30"/>
      <c r="B202" s="30">
        <v>166</v>
      </c>
      <c r="C202" s="30" t="s">
        <v>429</v>
      </c>
      <c r="D202" s="82" t="s">
        <v>984</v>
      </c>
      <c r="E202" s="40" t="s">
        <v>526</v>
      </c>
      <c r="F202" s="30" t="s">
        <v>897</v>
      </c>
      <c r="G202" s="30" t="s">
        <v>767</v>
      </c>
      <c r="H202" s="40" t="s">
        <v>818</v>
      </c>
      <c r="I202" s="40" t="s">
        <v>517</v>
      </c>
      <c r="J202" s="40" t="str">
        <f t="shared" si="12"/>
        <v>survey_objectives</v>
      </c>
      <c r="K202" s="40" t="s">
        <v>727</v>
      </c>
      <c r="L202" s="34" t="str">
        <f>IF(VLOOKUP(J202,find_replace!H:H,1,"false")=J202,"TRUE","FALSE")</f>
        <v>TRUE</v>
      </c>
      <c r="M202" s="82" t="s">
        <v>838</v>
      </c>
      <c r="N202" s="82" t="s">
        <v>879</v>
      </c>
      <c r="O202" s="60" t="str">
        <f t="shared" si="13"/>
        <v xml:space="preserve">    term_survey_objectives: "Survey Objectives"</v>
      </c>
      <c r="P202" s="39"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02" s="40"/>
      <c r="R202" s="83" t="b">
        <v>1</v>
      </c>
      <c r="S202" s="86" t="b">
        <v>1</v>
      </c>
      <c r="T202" s="86" t="b">
        <v>1</v>
      </c>
      <c r="U202" s="85" t="s">
        <v>895</v>
      </c>
      <c r="V202" t="s">
        <v>896</v>
      </c>
      <c r="W202" s="13" t="s">
        <v>1816</v>
      </c>
      <c r="X202" t="s">
        <v>4582</v>
      </c>
      <c r="Y202"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03" spans="1:25">
      <c r="A203" s="30"/>
      <c r="B203" s="30">
        <v>167</v>
      </c>
      <c r="C203" s="30" t="s">
        <v>0</v>
      </c>
      <c r="D203" s="82" t="s">
        <v>984</v>
      </c>
      <c r="E203" s="34" t="s">
        <v>93</v>
      </c>
      <c r="F203" s="30"/>
      <c r="G203" s="30" t="s">
        <v>767</v>
      </c>
      <c r="H203" s="30" t="s">
        <v>540</v>
      </c>
      <c r="I203" s="40" t="s">
        <v>91</v>
      </c>
      <c r="J203" s="40" t="str">
        <f t="shared" si="12"/>
        <v>sampledesign_systematic</v>
      </c>
      <c r="K203" s="34" t="s">
        <v>93</v>
      </c>
      <c r="L203" s="34" t="str">
        <f>IF(VLOOKUP(J203,find_replace!H:H,1,"false")=J203,"TRUE","FALSE")</f>
        <v>TRUE</v>
      </c>
      <c r="M203" s="82" t="s">
        <v>92</v>
      </c>
      <c r="N203" s="82" t="s">
        <v>92</v>
      </c>
      <c r="O203" s="60" t="str">
        <f t="shared" si="13"/>
        <v xml:space="preserve">    term_sampledesign_systematic: "Systematic design"</v>
      </c>
      <c r="P203" s="39" t="str">
        <f t="shared" si="14"/>
        <v xml:space="preserve">    def_sampledesign_systematic: "Camera locations occur in a regular pattern (e.g., a grid pattern) across the study area."</v>
      </c>
      <c r="Q203" s="40"/>
      <c r="R203" s="83" t="s">
        <v>51</v>
      </c>
      <c r="S203" s="86" t="b">
        <v>1</v>
      </c>
      <c r="T203" s="86" t="b">
        <v>1</v>
      </c>
      <c r="U203" s="85" t="s">
        <v>895</v>
      </c>
      <c r="V203" t="s">
        <v>896</v>
      </c>
      <c r="W203" s="13" t="s">
        <v>1816</v>
      </c>
      <c r="X203" t="s">
        <v>4582</v>
      </c>
      <c r="Y203" t="str">
        <f t="shared" si="15"/>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204" spans="1:25">
      <c r="A204" s="30"/>
      <c r="B204" s="30">
        <v>168</v>
      </c>
      <c r="C204" s="30" t="s">
        <v>0</v>
      </c>
      <c r="D204" s="82" t="s">
        <v>984</v>
      </c>
      <c r="E204" s="34" t="s">
        <v>90</v>
      </c>
      <c r="F204" s="30"/>
      <c r="G204" s="30" t="s">
        <v>767</v>
      </c>
      <c r="H204" s="30" t="s">
        <v>540</v>
      </c>
      <c r="I204" s="40" t="s">
        <v>88</v>
      </c>
      <c r="J204" s="40" t="str">
        <f t="shared" si="12"/>
        <v>sampledesign_systematic_random</v>
      </c>
      <c r="K204" s="34" t="s">
        <v>90</v>
      </c>
      <c r="L204" s="34" t="str">
        <f>IF(VLOOKUP(J204,find_replace!H:H,1,"false")=J204,"TRUE","FALSE")</f>
        <v>TRUE</v>
      </c>
      <c r="M204" s="82" t="s">
        <v>89</v>
      </c>
      <c r="N204" s="82" t="s">
        <v>89</v>
      </c>
      <c r="O204" s="60" t="str">
        <f t="shared" si="13"/>
        <v xml:space="preserve">    term_sampledesign_systematic_random: "Systematic random design"</v>
      </c>
      <c r="P204" s="39" t="str">
        <f t="shared" si="14"/>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204" s="40"/>
      <c r="R204" s="83" t="s">
        <v>51</v>
      </c>
      <c r="S204" s="84" t="b">
        <v>0</v>
      </c>
      <c r="T204" s="86" t="b">
        <v>1</v>
      </c>
      <c r="U204" s="85" t="s">
        <v>895</v>
      </c>
      <c r="V204" t="s">
        <v>896</v>
      </c>
      <c r="W204" s="13" t="s">
        <v>1816</v>
      </c>
      <c r="X204" t="s">
        <v>4582</v>
      </c>
      <c r="Y204" t="str">
        <f t="shared" si="15"/>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205" spans="1:25">
      <c r="A205" s="30"/>
      <c r="B205" s="30">
        <v>169</v>
      </c>
      <c r="C205" s="30" t="s">
        <v>429</v>
      </c>
      <c r="D205" s="82" t="s">
        <v>984</v>
      </c>
      <c r="E205" s="40" t="s">
        <v>242</v>
      </c>
      <c r="F205" s="30"/>
      <c r="G205" s="30" t="s">
        <v>767</v>
      </c>
      <c r="H205" s="40" t="s">
        <v>1249</v>
      </c>
      <c r="I205" s="40" t="s">
        <v>241</v>
      </c>
      <c r="J205" s="40" t="str">
        <f t="shared" si="12"/>
        <v>tag</v>
      </c>
      <c r="K205" s="40" t="s">
        <v>728</v>
      </c>
      <c r="L205" s="34" t="str">
        <f>IF(VLOOKUP(J205,find_replace!H:H,1,"false")=J205,"TRUE","FALSE")</f>
        <v>TRUE</v>
      </c>
      <c r="M205" s="95" t="s">
        <v>422</v>
      </c>
      <c r="N205" s="95" t="s">
        <v>422</v>
      </c>
      <c r="O205" s="60" t="str">
        <f t="shared" si="13"/>
        <v xml:space="preserve">    term_tag: "Tag"</v>
      </c>
      <c r="P205" s="39"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05" s="40"/>
      <c r="R205" s="83" t="s">
        <v>51</v>
      </c>
      <c r="S205" s="86" t="b">
        <v>1</v>
      </c>
      <c r="T205" s="84" t="b">
        <v>0</v>
      </c>
      <c r="U205" s="85" t="s">
        <v>895</v>
      </c>
      <c r="V205" t="s">
        <v>896</v>
      </c>
      <c r="W205" s="13" t="s">
        <v>1816</v>
      </c>
      <c r="X205" t="s">
        <v>4582</v>
      </c>
      <c r="Y205"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06" spans="1:25">
      <c r="A206" s="30"/>
      <c r="B206" s="30">
        <v>170</v>
      </c>
      <c r="C206" s="30" t="s">
        <v>429</v>
      </c>
      <c r="D206" s="82" t="s">
        <v>984</v>
      </c>
      <c r="E206" s="40" t="s">
        <v>4639</v>
      </c>
      <c r="F206" s="30" t="s">
        <v>897</v>
      </c>
      <c r="G206" s="30" t="s">
        <v>767</v>
      </c>
      <c r="H206" s="40" t="s">
        <v>818</v>
      </c>
      <c r="I206" s="40" t="s">
        <v>240</v>
      </c>
      <c r="J206" s="40" t="str">
        <f t="shared" si="12"/>
        <v>target_species</v>
      </c>
      <c r="K206" s="40" t="s">
        <v>729</v>
      </c>
      <c r="L206" s="34" t="str">
        <f>IF(VLOOKUP(J206,find_replace!H:H,1,"false")=J206,"TRUE","FALSE")</f>
        <v>TRUE</v>
      </c>
      <c r="M206" s="82" t="s">
        <v>839</v>
      </c>
      <c r="N206" s="82" t="s">
        <v>857</v>
      </c>
      <c r="O206" s="60" t="str">
        <f t="shared" si="13"/>
        <v xml:space="preserve">    term_target_species: "Target Species"</v>
      </c>
      <c r="P206" s="39" t="str">
        <f t="shared" si="14"/>
        <v xml:space="preserve">    def_target_species: "The common name(s) of the species that the [survey](#survey) was designed to detect."</v>
      </c>
      <c r="Q206" s="40"/>
      <c r="R206" s="83" t="b">
        <v>1</v>
      </c>
      <c r="S206" s="86" t="b">
        <v>1</v>
      </c>
      <c r="T206" s="86" t="b">
        <v>1</v>
      </c>
      <c r="U206" s="85" t="s">
        <v>895</v>
      </c>
      <c r="V206" t="s">
        <v>896</v>
      </c>
      <c r="W206" s="13" t="s">
        <v>1816</v>
      </c>
      <c r="X206" t="s">
        <v>4582</v>
      </c>
      <c r="Y206"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07" spans="1:25">
      <c r="A207" s="30"/>
      <c r="B207" s="30">
        <v>171</v>
      </c>
      <c r="C207" s="30" t="s">
        <v>0</v>
      </c>
      <c r="D207" s="82" t="s">
        <v>984</v>
      </c>
      <c r="E207" s="34" t="s">
        <v>87</v>
      </c>
      <c r="F207" s="30"/>
      <c r="G207" s="30" t="s">
        <v>767</v>
      </c>
      <c r="H207" s="30" t="s">
        <v>540</v>
      </c>
      <c r="I207" s="40" t="s">
        <v>85</v>
      </c>
      <c r="J207" s="40" t="str">
        <f t="shared" si="12"/>
        <v>sampledesign_targeted</v>
      </c>
      <c r="K207" s="34" t="s">
        <v>87</v>
      </c>
      <c r="L207" s="34" t="str">
        <f>IF(VLOOKUP(J207,find_replace!H:H,1,"false")=J207,"TRUE","FALSE")</f>
        <v>TRUE</v>
      </c>
      <c r="M207" s="82" t="s">
        <v>86</v>
      </c>
      <c r="N207" s="82" t="s">
        <v>86</v>
      </c>
      <c r="O207" s="60" t="str">
        <f t="shared" si="13"/>
        <v xml:space="preserve">    term_sampledesign_targeted: "Targeted design"</v>
      </c>
      <c r="P207" s="39" t="str">
        <f t="shared" si="14"/>
        <v xml:space="preserve">    def_sampledesign_targeted: "Camera locations or sample stations are placed in areas that are known or suspected to have higher activity levels (e.g., game trails, mineral licks)."</v>
      </c>
      <c r="Q207" s="40"/>
      <c r="R207" s="83" t="s">
        <v>51</v>
      </c>
      <c r="S207" s="86" t="b">
        <v>1</v>
      </c>
      <c r="T207" s="86" t="b">
        <v>1</v>
      </c>
      <c r="U207" s="85" t="s">
        <v>895</v>
      </c>
      <c r="V207" t="s">
        <v>896</v>
      </c>
      <c r="W207" s="13" t="s">
        <v>1816</v>
      </c>
      <c r="X207" t="s">
        <v>4582</v>
      </c>
      <c r="Y207" t="str">
        <f t="shared" si="15"/>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row>
    <row r="208" spans="1:25">
      <c r="A208" s="30"/>
      <c r="B208" s="30">
        <v>172</v>
      </c>
      <c r="C208" s="30" t="s">
        <v>0</v>
      </c>
      <c r="D208" s="82" t="s">
        <v>984</v>
      </c>
      <c r="E208" s="34" t="s">
        <v>84</v>
      </c>
      <c r="F208" s="30"/>
      <c r="G208" s="30" t="s">
        <v>767</v>
      </c>
      <c r="H208" s="30"/>
      <c r="I208" s="40" t="s">
        <v>82</v>
      </c>
      <c r="J208" s="40" t="str">
        <f t="shared" si="12"/>
        <v>test_image</v>
      </c>
      <c r="K208" s="34" t="s">
        <v>84</v>
      </c>
      <c r="L208" s="34" t="str">
        <f>IF(VLOOKUP(J208,find_replace!H:H,1,"false")=J208,"TRUE","FALSE")</f>
        <v>TRUE</v>
      </c>
      <c r="M208" s="82" t="s">
        <v>83</v>
      </c>
      <c r="N208" s="82" t="s">
        <v>83</v>
      </c>
      <c r="O208" s="60" t="str">
        <f t="shared" si="13"/>
        <v xml:space="preserve">    term_test_image: "Test image"</v>
      </c>
      <c r="P208" s="39"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08" s="40"/>
      <c r="R208" s="83" t="s">
        <v>51</v>
      </c>
      <c r="S208" s="86" t="b">
        <v>1</v>
      </c>
      <c r="T208" s="86" t="b">
        <v>1</v>
      </c>
      <c r="U208" s="85" t="s">
        <v>895</v>
      </c>
      <c r="V208" t="s">
        <v>896</v>
      </c>
      <c r="W208" s="13" t="s">
        <v>1816</v>
      </c>
      <c r="X208" t="s">
        <v>4582</v>
      </c>
      <c r="Y208"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09" spans="1:25">
      <c r="A209" s="30"/>
      <c r="B209" s="30">
        <v>173</v>
      </c>
      <c r="C209" s="30" t="s">
        <v>429</v>
      </c>
      <c r="D209" s="82" t="s">
        <v>984</v>
      </c>
      <c r="E209" s="40" t="s">
        <v>501</v>
      </c>
      <c r="F209" s="30" t="s">
        <v>897</v>
      </c>
      <c r="G209" s="30" t="s">
        <v>767</v>
      </c>
      <c r="H209" s="30" t="s">
        <v>543</v>
      </c>
      <c r="I209" s="40" t="s">
        <v>1394</v>
      </c>
      <c r="J209" s="40" t="str">
        <f t="shared" si="12"/>
        <v>test_image_taken</v>
      </c>
      <c r="K209" s="40" t="s">
        <v>761</v>
      </c>
      <c r="L209" s="34" t="str">
        <f>IF(VLOOKUP(J209,find_replace!H:H,1,"false")=J209,"TRUE","FALSE")</f>
        <v>TRUE</v>
      </c>
      <c r="M209" s="82" t="s">
        <v>313</v>
      </c>
      <c r="N209" s="82" t="s">
        <v>313</v>
      </c>
      <c r="O209" s="60" t="str">
        <f t="shared" si="13"/>
        <v xml:space="preserve">    term_test_image_taken: "Test Image Taken"</v>
      </c>
      <c r="P209" s="39"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09" s="40"/>
      <c r="R209" s="83" t="b">
        <v>0</v>
      </c>
      <c r="S209" s="86" t="b">
        <v>1</v>
      </c>
      <c r="T209" s="86" t="b">
        <v>1</v>
      </c>
      <c r="U209" s="85" t="s">
        <v>895</v>
      </c>
      <c r="V209" t="s">
        <v>896</v>
      </c>
      <c r="W209" s="13" t="s">
        <v>1816</v>
      </c>
      <c r="X209" t="s">
        <v>4582</v>
      </c>
      <c r="Y209"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0" spans="1:25">
      <c r="A210" s="30"/>
      <c r="B210" s="30">
        <v>174</v>
      </c>
      <c r="C210" s="30" t="s">
        <v>0</v>
      </c>
      <c r="D210" s="82" t="s">
        <v>984</v>
      </c>
      <c r="E210" s="34" t="s">
        <v>81</v>
      </c>
      <c r="F210" s="30" t="s">
        <v>897</v>
      </c>
      <c r="G210" s="30" t="s">
        <v>767</v>
      </c>
      <c r="H210" s="30" t="s">
        <v>4</v>
      </c>
      <c r="I210" s="40" t="s">
        <v>12</v>
      </c>
      <c r="J210" s="40" t="str">
        <f t="shared" si="12"/>
        <v>mod_tifc</v>
      </c>
      <c r="K210" s="34" t="s">
        <v>81</v>
      </c>
      <c r="L210" s="34" t="str">
        <f>IF(VLOOKUP(J210,find_replace!H:H,1,"false")=J210,"TRUE","FALSE")</f>
        <v>TRUE</v>
      </c>
      <c r="M210" s="82" t="s">
        <v>775</v>
      </c>
      <c r="N210" s="82" t="s">
        <v>866</v>
      </c>
      <c r="O210" s="60" t="str">
        <f t="shared" si="13"/>
        <v xml:space="preserve">    term_mod_tifc: "Time in front of the camera (TIFC) (Huggard, 2018; Warbington &amp; Boyce, 2020; tested in Becker et al., 2022)"</v>
      </c>
      <c r="P210" s="39" t="str">
        <f t="shared" si="14"/>
        <v xml:space="preserve">    def_mod_tifc: "A method used to estimate [density](#density) that treats camera image data as quadrat samples (Becker et al., 2022)."</v>
      </c>
      <c r="Q210" s="40"/>
      <c r="R210" s="83" t="s">
        <v>51</v>
      </c>
      <c r="S210" s="84" t="b">
        <v>0</v>
      </c>
      <c r="T210" s="86" t="b">
        <v>1</v>
      </c>
      <c r="U210" s="85" t="s">
        <v>895</v>
      </c>
      <c r="V210" t="s">
        <v>896</v>
      </c>
      <c r="W210" s="13" t="s">
        <v>1816</v>
      </c>
      <c r="X210" t="s">
        <v>4582</v>
      </c>
      <c r="Y210" t="str">
        <f t="shared" si="15"/>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211" spans="1:25">
      <c r="A211" s="30"/>
      <c r="B211" s="30">
        <v>175</v>
      </c>
      <c r="C211" s="30" t="s">
        <v>0</v>
      </c>
      <c r="D211" s="82" t="s">
        <v>984</v>
      </c>
      <c r="E211" s="34" t="s">
        <v>80</v>
      </c>
      <c r="F211" s="30"/>
      <c r="G211" s="30" t="s">
        <v>767</v>
      </c>
      <c r="H211" s="30"/>
      <c r="I211" s="40" t="s">
        <v>79</v>
      </c>
      <c r="J211" s="40" t="str">
        <f t="shared" si="12"/>
        <v>timelapse_image</v>
      </c>
      <c r="K211" s="34" t="s">
        <v>80</v>
      </c>
      <c r="L211" s="34" t="str">
        <f>IF(VLOOKUP(J211,find_replace!H:H,1,"false")=J211,"TRUE","FALSE")</f>
        <v>TRUE</v>
      </c>
      <c r="M211" s="82" t="s">
        <v>831</v>
      </c>
      <c r="N211" s="82" t="s">
        <v>867</v>
      </c>
      <c r="O211" s="60" t="str">
        <f t="shared" si="13"/>
        <v xml:space="preserve">    term_timelapse_image: "Time-lapse image"</v>
      </c>
      <c r="P211" s="39"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1" s="40"/>
      <c r="R211" s="83" t="s">
        <v>51</v>
      </c>
      <c r="S211" s="86" t="b">
        <v>1</v>
      </c>
      <c r="T211" s="86" t="b">
        <v>1</v>
      </c>
      <c r="U211" s="85" t="s">
        <v>895</v>
      </c>
      <c r="V211" t="s">
        <v>896</v>
      </c>
      <c r="W211" s="13" t="s">
        <v>1816</v>
      </c>
      <c r="X211" t="s">
        <v>4582</v>
      </c>
      <c r="Y211"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2" spans="1:25">
      <c r="A212" s="30"/>
      <c r="B212" s="30">
        <v>176</v>
      </c>
      <c r="C212" s="30" t="s">
        <v>0</v>
      </c>
      <c r="D212" s="82" t="s">
        <v>984</v>
      </c>
      <c r="E212" s="34" t="s">
        <v>78</v>
      </c>
      <c r="F212" s="30" t="s">
        <v>897</v>
      </c>
      <c r="G212" s="30" t="s">
        <v>767</v>
      </c>
      <c r="H212" s="30" t="s">
        <v>4</v>
      </c>
      <c r="I212" s="40" t="s">
        <v>8</v>
      </c>
      <c r="J212" s="40" t="str">
        <f t="shared" si="12"/>
        <v>mod_tte</v>
      </c>
      <c r="K212" s="34" t="s">
        <v>78</v>
      </c>
      <c r="L212" s="34" t="str">
        <f>IF(VLOOKUP(J212,find_replace!H:H,1,"false")=J212,"TRUE","FALSE")</f>
        <v>TRUE</v>
      </c>
      <c r="M212" s="82" t="s">
        <v>986</v>
      </c>
      <c r="N212" s="82" t="s">
        <v>885</v>
      </c>
      <c r="O212" s="60" t="str">
        <f t="shared" si="13"/>
        <v xml:space="preserve">    term_mod_tte: "Time-to-event (TTE) model (Moeller et al., 2018)"</v>
      </c>
      <c r="P212" s="39" t="str">
        <f t="shared" si="14"/>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212" s="40"/>
      <c r="R212" s="83" t="s">
        <v>51</v>
      </c>
      <c r="S212" s="84" t="b">
        <v>0</v>
      </c>
      <c r="T212" s="86" t="b">
        <v>1</v>
      </c>
      <c r="U212" s="85" t="s">
        <v>895</v>
      </c>
      <c r="V212" t="s">
        <v>896</v>
      </c>
      <c r="W212" s="13" t="s">
        <v>1816</v>
      </c>
      <c r="X212" t="s">
        <v>4582</v>
      </c>
      <c r="Y212" t="str">
        <f t="shared" si="15"/>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213" spans="1:25">
      <c r="A213" s="30"/>
      <c r="B213" s="30">
        <v>177</v>
      </c>
      <c r="C213" s="30" t="s">
        <v>0</v>
      </c>
      <c r="D213" s="82" t="s">
        <v>984</v>
      </c>
      <c r="E213" s="34" t="s">
        <v>77</v>
      </c>
      <c r="F213" s="30"/>
      <c r="G213" s="30" t="s">
        <v>767</v>
      </c>
      <c r="H213" s="30"/>
      <c r="I213" s="40" t="s">
        <v>1246</v>
      </c>
      <c r="J213" s="40" t="str">
        <f t="shared" si="12"/>
        <v>total_number_of_cam_days</v>
      </c>
      <c r="K213" s="34" t="s">
        <v>77</v>
      </c>
      <c r="L213" s="34" t="str">
        <f>IF(VLOOKUP(J213,find_replace!H:H,1,"false")=J213,"TRUE","FALSE")</f>
        <v>TRUE</v>
      </c>
      <c r="M213" s="82" t="s">
        <v>840</v>
      </c>
      <c r="N213" s="82" t="s">
        <v>858</v>
      </c>
      <c r="O213" s="60" t="str">
        <f t="shared" si="13"/>
        <v xml:space="preserve">    term_total_number_of_cam_days: "Total number of camera days"</v>
      </c>
      <c r="P213" s="39" t="str">
        <f t="shared" si="14"/>
        <v xml:space="preserve">    def_total_number_of_cam_days: "The number of days that all cameras were active during the [survey](#survey)."</v>
      </c>
      <c r="Q213" s="40"/>
      <c r="R213" s="83" t="s">
        <v>51</v>
      </c>
      <c r="S213" s="84" t="b">
        <v>0</v>
      </c>
      <c r="T213" s="86" t="b">
        <v>1</v>
      </c>
      <c r="U213" s="85" t="s">
        <v>895</v>
      </c>
      <c r="V213" t="s">
        <v>896</v>
      </c>
      <c r="W213" s="13" t="s">
        <v>1816</v>
      </c>
      <c r="X213" t="s">
        <v>4582</v>
      </c>
      <c r="Y213"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14" spans="1:25">
      <c r="A214" s="30"/>
      <c r="B214" s="30">
        <v>178</v>
      </c>
      <c r="C214" s="30" t="s">
        <v>0</v>
      </c>
      <c r="D214" s="82" t="s">
        <v>984</v>
      </c>
      <c r="E214" s="34" t="s">
        <v>457</v>
      </c>
      <c r="F214" s="30"/>
      <c r="G214" s="30" t="s">
        <v>767</v>
      </c>
      <c r="H214" s="30"/>
      <c r="I214" s="40" t="s">
        <v>75</v>
      </c>
      <c r="J214" s="40" t="str">
        <f t="shared" si="12"/>
        <v>trigger_event</v>
      </c>
      <c r="K214" s="34" t="s">
        <v>457</v>
      </c>
      <c r="L214" s="34" t="str">
        <f>IF(VLOOKUP(J214,find_replace!H:H,1,"false")=J214,"TRUE","FALSE")</f>
        <v>TRUE</v>
      </c>
      <c r="M214" s="82" t="s">
        <v>76</v>
      </c>
      <c r="N214" s="82" t="s">
        <v>76</v>
      </c>
      <c r="O214" s="60" t="str">
        <f t="shared" si="13"/>
        <v xml:space="preserve">    term_trigger_event: "Trigger 'event'"</v>
      </c>
      <c r="P214" s="39" t="str">
        <f t="shared" si="14"/>
        <v xml:space="preserve">    def_trigger_event: "An activation of the camera detector(s) that initiates the capture of a single or multiple images, or the recording of video."</v>
      </c>
      <c r="Q214" s="40"/>
      <c r="R214" s="83" t="s">
        <v>51</v>
      </c>
      <c r="S214" s="86" t="b">
        <v>1</v>
      </c>
      <c r="T214" s="86" t="b">
        <v>1</v>
      </c>
      <c r="U214" s="85" t="s">
        <v>895</v>
      </c>
      <c r="V214" t="s">
        <v>896</v>
      </c>
      <c r="W214" s="13" t="s">
        <v>1816</v>
      </c>
      <c r="X214" t="s">
        <v>4582</v>
      </c>
      <c r="Y214"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15" spans="1:25">
      <c r="A215" s="30"/>
      <c r="B215" s="30">
        <v>179</v>
      </c>
      <c r="C215" s="30" t="s">
        <v>429</v>
      </c>
      <c r="D215" s="82" t="s">
        <v>984</v>
      </c>
      <c r="E215" s="40" t="s">
        <v>4638</v>
      </c>
      <c r="F215" s="30" t="s">
        <v>897</v>
      </c>
      <c r="G215" s="30" t="s">
        <v>767</v>
      </c>
      <c r="H215" s="30" t="s">
        <v>546</v>
      </c>
      <c r="I215" s="40" t="s">
        <v>239</v>
      </c>
      <c r="J215" s="40" t="str">
        <f t="shared" si="12"/>
        <v>settings_trigger_modes</v>
      </c>
      <c r="K215" s="40" t="s">
        <v>1776</v>
      </c>
      <c r="L215" s="34" t="str">
        <f>IF(VLOOKUP(J215,find_replace!H:H,1,"false")=J215,"TRUE","FALSE")</f>
        <v>TRUE</v>
      </c>
      <c r="M215" s="82" t="s">
        <v>419</v>
      </c>
      <c r="N215" s="82" t="s">
        <v>419</v>
      </c>
      <c r="O215" s="60" t="str">
        <f t="shared" si="13"/>
        <v xml:space="preserve">    term_settings_trigger_modes: "Trigger Mode(s) (camera settings)"</v>
      </c>
      <c r="P215" s="39" t="str">
        <f t="shared" si="14"/>
        <v xml:space="preserve">    def_settings_trigger_modes: "The camera setting(s) that determine how the camera will trigger: by motion ('Motion Image'), at set intervals ('Time-lapse image'), and*/or by video ('Video'; possible with newer camera models, such as Reconyx HP2X)."</v>
      </c>
      <c r="Q215" s="40"/>
      <c r="R215" s="83" t="b">
        <v>1</v>
      </c>
      <c r="S215" s="86" t="b">
        <v>1</v>
      </c>
      <c r="T215" s="86" t="b">
        <v>1</v>
      </c>
      <c r="U215" s="85" t="s">
        <v>895</v>
      </c>
      <c r="V215" t="s">
        <v>896</v>
      </c>
      <c r="W215" s="13" t="s">
        <v>1816</v>
      </c>
      <c r="X215" t="s">
        <v>4582</v>
      </c>
      <c r="Y215" t="str">
        <f t="shared" si="15"/>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216" spans="1:25">
      <c r="A216" s="30"/>
      <c r="B216" s="30">
        <v>180</v>
      </c>
      <c r="C216" s="30" t="s">
        <v>429</v>
      </c>
      <c r="D216" s="82" t="s">
        <v>984</v>
      </c>
      <c r="E216" s="40" t="s">
        <v>4636</v>
      </c>
      <c r="F216" s="30" t="s">
        <v>897</v>
      </c>
      <c r="G216" s="30" t="s">
        <v>767</v>
      </c>
      <c r="H216" s="30" t="s">
        <v>546</v>
      </c>
      <c r="I216" s="40" t="s">
        <v>238</v>
      </c>
      <c r="J216" s="40" t="str">
        <f t="shared" si="12"/>
        <v>settings_trigger_sensitivity</v>
      </c>
      <c r="K216" s="40" t="s">
        <v>721</v>
      </c>
      <c r="L216" s="34" t="str">
        <f>IF(VLOOKUP(J216,find_replace!H:H,1,"false")=J216,"TRUE","FALSE")</f>
        <v>TRUE</v>
      </c>
      <c r="M216" s="82" t="s">
        <v>420</v>
      </c>
      <c r="N216" s="82" t="s">
        <v>420</v>
      </c>
      <c r="O216" s="60" t="str">
        <f t="shared" si="13"/>
        <v xml:space="preserve">    term_settings_trigger_sensitivity: "Trigger Sensitivity"</v>
      </c>
      <c r="P216" s="39" t="str">
        <f t="shared" si="14"/>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216" s="40"/>
      <c r="R216" s="83" t="b">
        <v>1</v>
      </c>
      <c r="S216" s="86" t="b">
        <v>1</v>
      </c>
      <c r="T216" s="86" t="b">
        <v>1</v>
      </c>
      <c r="U216" s="85" t="s">
        <v>895</v>
      </c>
      <c r="V216" t="s">
        <v>896</v>
      </c>
      <c r="W216" s="13" t="s">
        <v>1816</v>
      </c>
      <c r="X216" t="s">
        <v>4582</v>
      </c>
      <c r="Y216" t="str">
        <f t="shared" si="15"/>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217" spans="1:25">
      <c r="A217" s="30"/>
      <c r="B217" s="30">
        <v>181</v>
      </c>
      <c r="C217" s="30" t="s">
        <v>0</v>
      </c>
      <c r="D217" s="82" t="s">
        <v>984</v>
      </c>
      <c r="E217" s="34" t="s">
        <v>74</v>
      </c>
      <c r="F217" s="30"/>
      <c r="G217" s="30" t="s">
        <v>767</v>
      </c>
      <c r="H217" s="30"/>
      <c r="I217" s="40" t="s">
        <v>73</v>
      </c>
      <c r="J217" s="40" t="str">
        <f t="shared" si="12"/>
        <v>trigger_speed</v>
      </c>
      <c r="K217" s="34" t="s">
        <v>74</v>
      </c>
      <c r="L217" s="34" t="str">
        <f>IF(VLOOKUP(J217,find_replace!H:H,1,"false")=J217,"TRUE","FALSE")</f>
        <v>TRUE</v>
      </c>
      <c r="M217" s="82" t="s">
        <v>404</v>
      </c>
      <c r="N217" s="82" t="s">
        <v>404</v>
      </c>
      <c r="O217" s="60" t="str">
        <f t="shared" si="13"/>
        <v xml:space="preserve">    term_trigger_speed: "Trigger speed"</v>
      </c>
      <c r="P217" s="39"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17" s="40"/>
      <c r="R217" s="83" t="s">
        <v>51</v>
      </c>
      <c r="S217" s="84" t="b">
        <v>0</v>
      </c>
      <c r="T217" s="86" t="b">
        <v>1</v>
      </c>
      <c r="U217" s="85" t="s">
        <v>895</v>
      </c>
      <c r="V217" t="s">
        <v>896</v>
      </c>
      <c r="W217" s="13" t="s">
        <v>1816</v>
      </c>
      <c r="X217" t="s">
        <v>4582</v>
      </c>
      <c r="Y217"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18" spans="1:25">
      <c r="A218" s="30"/>
      <c r="B218" s="30">
        <v>182</v>
      </c>
      <c r="C218" s="30" t="s">
        <v>0</v>
      </c>
      <c r="D218" s="82" t="s">
        <v>984</v>
      </c>
      <c r="E218" s="34" t="s">
        <v>72</v>
      </c>
      <c r="F218" s="30"/>
      <c r="G218" s="30" t="s">
        <v>767</v>
      </c>
      <c r="H218" s="40" t="s">
        <v>817</v>
      </c>
      <c r="I218" s="40" t="s">
        <v>71</v>
      </c>
      <c r="J218" s="40" t="str">
        <f t="shared" si="12"/>
        <v>typeid_unmarked</v>
      </c>
      <c r="K218" s="34" t="s">
        <v>1420</v>
      </c>
      <c r="L218" s="34" t="str">
        <f>IF(VLOOKUP(J218,find_replace!H:H,1,"false")=J218,"TRUE","FALSE")</f>
        <v>TRUE</v>
      </c>
      <c r="M218" s="82" t="s">
        <v>424</v>
      </c>
      <c r="N218" s="82" t="s">
        <v>424</v>
      </c>
      <c r="O218" s="60" t="str">
        <f t="shared" si="13"/>
        <v xml:space="preserve">    term_typeid_unmarked: "Unmarked individuals / populations / species"</v>
      </c>
      <c r="P218" s="39"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18" s="40"/>
      <c r="R218" s="83" t="s">
        <v>51</v>
      </c>
      <c r="S218" s="84" t="b">
        <v>0</v>
      </c>
      <c r="T218" s="86" t="b">
        <v>1</v>
      </c>
      <c r="U218" s="85" t="s">
        <v>895</v>
      </c>
      <c r="V218" t="s">
        <v>896</v>
      </c>
      <c r="W218" s="13" t="s">
        <v>1816</v>
      </c>
      <c r="X218" t="s">
        <v>4582</v>
      </c>
      <c r="Y218"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19" spans="1:25">
      <c r="A219" s="30"/>
      <c r="B219" s="30">
        <v>183</v>
      </c>
      <c r="C219" s="30" t="s">
        <v>0</v>
      </c>
      <c r="D219" s="82" t="s">
        <v>984</v>
      </c>
      <c r="E219" s="34" t="s">
        <v>70</v>
      </c>
      <c r="F219" s="30"/>
      <c r="G219" s="30" t="s">
        <v>767</v>
      </c>
      <c r="H219" s="30" t="s">
        <v>546</v>
      </c>
      <c r="I219" s="40" t="s">
        <v>69</v>
      </c>
      <c r="J219" s="40" t="str">
        <f t="shared" si="12"/>
        <v>settings_userlabel</v>
      </c>
      <c r="K219" s="34" t="s">
        <v>70</v>
      </c>
      <c r="L219" s="34" t="str">
        <f>IF(VLOOKUP(J219,find_replace!H:H,1,"false")=J219,"TRUE","FALSE")</f>
        <v>TRUE</v>
      </c>
      <c r="M219" s="82" t="s">
        <v>421</v>
      </c>
      <c r="N219" s="82" t="s">
        <v>421</v>
      </c>
      <c r="O219" s="60" t="str">
        <f t="shared" si="13"/>
        <v xml:space="preserve">    term_settings_userlabel: "User label"</v>
      </c>
      <c r="P219" s="39" t="str">
        <f t="shared" si="14"/>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219" s="40"/>
      <c r="R219" s="83" t="s">
        <v>51</v>
      </c>
      <c r="S219" s="84" t="b">
        <v>0</v>
      </c>
      <c r="T219" s="86" t="b">
        <v>1</v>
      </c>
      <c r="U219" s="85" t="s">
        <v>895</v>
      </c>
      <c r="V219" t="s">
        <v>896</v>
      </c>
      <c r="W219" s="13" t="s">
        <v>1816</v>
      </c>
      <c r="X219" t="s">
        <v>4582</v>
      </c>
      <c r="Y219" t="str">
        <f t="shared" si="15"/>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220" spans="1:25">
      <c r="A220" s="30"/>
      <c r="B220" s="30">
        <v>184</v>
      </c>
      <c r="C220" s="30" t="s">
        <v>429</v>
      </c>
      <c r="D220" s="82" t="s">
        <v>984</v>
      </c>
      <c r="E220" s="40" t="s">
        <v>4653</v>
      </c>
      <c r="F220" s="30" t="s">
        <v>897</v>
      </c>
      <c r="G220" s="30" t="s">
        <v>767</v>
      </c>
      <c r="H220" s="30" t="s">
        <v>547</v>
      </c>
      <c r="I220" s="40" t="s">
        <v>1225</v>
      </c>
      <c r="J220" s="40" t="str">
        <f t="shared" si="12"/>
        <v>utm_zone_cam_location</v>
      </c>
      <c r="K220" s="40" t="s">
        <v>732</v>
      </c>
      <c r="L220" s="34" t="str">
        <f>IF(VLOOKUP(J220,find_replace!H:H,1,"false")=J220,"TRUE","FALSE")</f>
        <v>TRUE</v>
      </c>
      <c r="M220" s="82" t="s">
        <v>405</v>
      </c>
      <c r="N220" s="82" t="s">
        <v>405</v>
      </c>
      <c r="O220" s="60" t="str">
        <f t="shared" si="13"/>
        <v xml:space="preserve">    term_utm_zone_cam_location: "UTM Zone Camera Location"</v>
      </c>
      <c r="P220" s="39"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0" s="40"/>
      <c r="R220" s="83" t="b">
        <v>1</v>
      </c>
      <c r="S220" s="86" t="b">
        <v>1</v>
      </c>
      <c r="T220" s="86" t="b">
        <v>1</v>
      </c>
      <c r="U220" s="85" t="s">
        <v>895</v>
      </c>
      <c r="V220" t="s">
        <v>896</v>
      </c>
      <c r="W220" s="13" t="s">
        <v>1816</v>
      </c>
      <c r="X220" t="s">
        <v>4582</v>
      </c>
      <c r="Y220"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1" spans="1:25">
      <c r="A221" s="30"/>
      <c r="B221" s="30"/>
      <c r="C221" s="30" t="s">
        <v>0</v>
      </c>
      <c r="D221" s="82" t="s">
        <v>984</v>
      </c>
      <c r="E221" s="30"/>
      <c r="F221" s="30"/>
      <c r="G221" s="30" t="s">
        <v>463</v>
      </c>
      <c r="H221" s="30"/>
      <c r="I221" s="30" t="s">
        <v>790</v>
      </c>
      <c r="J221" s="40" t="str">
        <f t="shared" si="12"/>
        <v>variance</v>
      </c>
      <c r="K221" s="30" t="s">
        <v>664</v>
      </c>
      <c r="L221" s="34" t="str">
        <f>IF(VLOOKUP(J221,find_replace!H:H,1,"false")=J221,"TRUE","FALSE")</f>
        <v>TRUE</v>
      </c>
      <c r="M221" s="55" t="s">
        <v>1317</v>
      </c>
      <c r="N221" s="55" t="s">
        <v>1310</v>
      </c>
      <c r="O221" s="60" t="str">
        <f t="shared" si="13"/>
        <v xml:space="preserve">    term_variance: "Variance"</v>
      </c>
      <c r="P221" s="39" t="str">
        <f t="shared" si="14"/>
        <v xml:space="preserve">    def_variance: "The spread of numbers in a dataset compared to the mean of the dataset' ({{ rtxt_clarke_et_al_2023 }})."</v>
      </c>
      <c r="Q221" s="30"/>
      <c r="R221" s="30"/>
      <c r="S221" s="30"/>
      <c r="T221" s="30"/>
      <c r="U221" s="85" t="s">
        <v>895</v>
      </c>
      <c r="V221" t="s">
        <v>896</v>
      </c>
      <c r="W221" s="13" t="s">
        <v>1816</v>
      </c>
      <c r="X221" t="s">
        <v>4582</v>
      </c>
      <c r="Y221"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22" spans="1:25">
      <c r="A222" s="30"/>
      <c r="B222" s="30">
        <v>185</v>
      </c>
      <c r="C222" s="30" t="s">
        <v>429</v>
      </c>
      <c r="D222" s="82" t="s">
        <v>984</v>
      </c>
      <c r="E222" s="40" t="s">
        <v>502</v>
      </c>
      <c r="F222" s="30" t="s">
        <v>897</v>
      </c>
      <c r="G222" s="30" t="s">
        <v>767</v>
      </c>
      <c r="H222" s="30" t="s">
        <v>543</v>
      </c>
      <c r="I222" s="40" t="s">
        <v>311</v>
      </c>
      <c r="J222" s="40" t="str">
        <f t="shared" si="12"/>
        <v>settings_video_length</v>
      </c>
      <c r="K222" s="40" t="s">
        <v>758</v>
      </c>
      <c r="L222" s="34" t="str">
        <f>IF(VLOOKUP(J222,find_replace!H:H,1,"false")=J222,"TRUE","FALSE")</f>
        <v>TRUE</v>
      </c>
      <c r="M222" s="82" t="s">
        <v>312</v>
      </c>
      <c r="N222" s="82" t="s">
        <v>312</v>
      </c>
      <c r="O222" s="60" t="str">
        <f t="shared" si="13"/>
        <v xml:space="preserve">    term_settings_video_length: "Video Length (seconds)"</v>
      </c>
      <c r="P222" s="39" t="str">
        <f t="shared" si="14"/>
        <v xml:space="preserve">    def_settings_video_length: "If applicable, describes the camera setting that specifies the minimum video duration (in seconds) that the camera will record when triggered. Leave blank if not applicable."</v>
      </c>
      <c r="Q222" s="40" t="b">
        <v>1</v>
      </c>
      <c r="R222" s="83" t="b">
        <v>0</v>
      </c>
      <c r="S222" s="86" t="b">
        <v>1</v>
      </c>
      <c r="T222" s="86" t="b">
        <v>1</v>
      </c>
      <c r="U222" s="85" t="s">
        <v>895</v>
      </c>
      <c r="V222" t="s">
        <v>896</v>
      </c>
      <c r="W222" s="13" t="s">
        <v>1816</v>
      </c>
      <c r="X222" t="s">
        <v>4582</v>
      </c>
      <c r="Y222"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223" spans="1:25">
      <c r="A223" s="30"/>
      <c r="B223" s="30">
        <v>186</v>
      </c>
      <c r="C223" s="30" t="s">
        <v>0</v>
      </c>
      <c r="D223" s="82" t="s">
        <v>984</v>
      </c>
      <c r="E223" s="40" t="s">
        <v>68</v>
      </c>
      <c r="F223" s="30"/>
      <c r="G223" s="30" t="s">
        <v>767</v>
      </c>
      <c r="H223" s="40" t="s">
        <v>542</v>
      </c>
      <c r="I223" s="40" t="s">
        <v>66</v>
      </c>
      <c r="J223" s="40" t="str">
        <f t="shared" si="12"/>
        <v>fov_viewshed</v>
      </c>
      <c r="K223" s="40" t="s">
        <v>68</v>
      </c>
      <c r="L223" s="34" t="str">
        <f>IF(VLOOKUP(J223,find_replace!H:H,1,"false")=J223,"TRUE","FALSE")</f>
        <v>TRUE</v>
      </c>
      <c r="M223" s="82" t="s">
        <v>67</v>
      </c>
      <c r="N223" s="82" t="s">
        <v>67</v>
      </c>
      <c r="O223" s="60" t="str">
        <f t="shared" si="13"/>
        <v xml:space="preserve">    term_fov_viewshed: "Viewshed"</v>
      </c>
      <c r="P223" s="39" t="str">
        <f t="shared" si="14"/>
        <v xml:space="preserve">    def_fov_viewshed: "The area visible to the camera as determined by its lens angle (in degrees) and trigger distance (Moeller et al., 2023)."</v>
      </c>
      <c r="Q223" s="40"/>
      <c r="R223" s="83" t="s">
        <v>51</v>
      </c>
      <c r="S223" s="84" t="b">
        <v>0</v>
      </c>
      <c r="T223" s="86" t="b">
        <v>1</v>
      </c>
      <c r="U223" s="85" t="s">
        <v>895</v>
      </c>
      <c r="V223" t="s">
        <v>896</v>
      </c>
      <c r="W223" s="13" t="s">
        <v>1816</v>
      </c>
      <c r="X223" t="s">
        <v>4582</v>
      </c>
      <c r="Y223" t="str">
        <f t="shared" si="15"/>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224" spans="1:25">
      <c r="A224" s="30"/>
      <c r="B224" s="30">
        <v>187</v>
      </c>
      <c r="C224" s="30" t="s">
        <v>0</v>
      </c>
      <c r="D224" s="82" t="s">
        <v>984</v>
      </c>
      <c r="E224" s="34" t="s">
        <v>522</v>
      </c>
      <c r="F224" s="30"/>
      <c r="G224" s="30" t="s">
        <v>767</v>
      </c>
      <c r="H224" s="40" t="s">
        <v>542</v>
      </c>
      <c r="I224" s="40" t="s">
        <v>521</v>
      </c>
      <c r="J224" s="40" t="str">
        <f t="shared" si="12"/>
        <v>fov_viewshed_density_estimators</v>
      </c>
      <c r="K224" s="34" t="s">
        <v>522</v>
      </c>
      <c r="L224" s="34" t="str">
        <f>IF(VLOOKUP(J224,find_replace!H:H,1,"false")=J224,"TRUE","FALSE")</f>
        <v>TRUE</v>
      </c>
      <c r="M224" s="82" t="s">
        <v>827</v>
      </c>
      <c r="N224" s="82" t="s">
        <v>868</v>
      </c>
      <c r="O224" s="60" t="str">
        <f t="shared" si="13"/>
        <v xml:space="preserve">    term_fov_viewshed_density_estimators: "Viewshed density estimators"</v>
      </c>
      <c r="P224" s="39" t="str">
        <f t="shared" si="14"/>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224" s="40"/>
      <c r="R224" s="83" t="s">
        <v>51</v>
      </c>
      <c r="S224" s="84" t="b">
        <v>0</v>
      </c>
      <c r="T224" s="86" t="b">
        <v>1</v>
      </c>
      <c r="U224" s="85" t="s">
        <v>895</v>
      </c>
      <c r="V224" t="s">
        <v>896</v>
      </c>
      <c r="W224" s="13" t="s">
        <v>1816</v>
      </c>
      <c r="X224" t="s">
        <v>4582</v>
      </c>
      <c r="Y224" t="str">
        <f t="shared" si="15"/>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225" spans="1:26">
      <c r="A225" s="30"/>
      <c r="B225" s="30">
        <v>188</v>
      </c>
      <c r="C225" s="30" t="s">
        <v>0</v>
      </c>
      <c r="D225" s="82" t="s">
        <v>984</v>
      </c>
      <c r="E225" s="34" t="s">
        <v>65</v>
      </c>
      <c r="F225" s="30"/>
      <c r="G225" s="30" t="s">
        <v>767</v>
      </c>
      <c r="H225" s="30" t="s">
        <v>541</v>
      </c>
      <c r="I225" s="40" t="s">
        <v>63</v>
      </c>
      <c r="J225" s="40" t="str">
        <f t="shared" si="12"/>
        <v>visit</v>
      </c>
      <c r="K225" s="34" t="s">
        <v>65</v>
      </c>
      <c r="L225" s="34" t="str">
        <f>IF(VLOOKUP(J225,find_replace!H:H,1,"false")=J225,"TRUE","FALSE")</f>
        <v>TRUE</v>
      </c>
      <c r="M225" s="82" t="s">
        <v>64</v>
      </c>
      <c r="N225" s="82" t="s">
        <v>64</v>
      </c>
      <c r="O225" s="60" t="str">
        <f t="shared" si="13"/>
        <v xml:space="preserve">    term_visit: "Visit"</v>
      </c>
      <c r="P225" s="39" t="str">
        <f t="shared" si="14"/>
        <v xml:space="preserve">    def_visit: "When a crew has gone to a location to deploy, service, or retrieve a remote camera."</v>
      </c>
      <c r="Q225" s="40"/>
      <c r="R225" s="83" t="s">
        <v>51</v>
      </c>
      <c r="S225" s="86" t="b">
        <v>1</v>
      </c>
      <c r="T225" s="86" t="b">
        <v>1</v>
      </c>
      <c r="U225" s="85" t="s">
        <v>895</v>
      </c>
      <c r="V225" t="s">
        <v>896</v>
      </c>
      <c r="W225" s="13" t="s">
        <v>1816</v>
      </c>
      <c r="X225" t="s">
        <v>4582</v>
      </c>
      <c r="Y225"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26" spans="1:26">
      <c r="A226" s="30"/>
      <c r="B226" s="30">
        <v>189</v>
      </c>
      <c r="C226" s="30" t="s">
        <v>429</v>
      </c>
      <c r="D226" s="82" t="s">
        <v>984</v>
      </c>
      <c r="E226" s="40" t="s">
        <v>503</v>
      </c>
      <c r="F226" s="30" t="s">
        <v>897</v>
      </c>
      <c r="G226" s="30" t="s">
        <v>767</v>
      </c>
      <c r="H226" s="30" t="s">
        <v>543</v>
      </c>
      <c r="I226" s="40" t="s">
        <v>310</v>
      </c>
      <c r="J226" s="40" t="str">
        <f t="shared" si="12"/>
        <v>visit_comments</v>
      </c>
      <c r="K226" s="40" t="s">
        <v>762</v>
      </c>
      <c r="L226" s="34" t="str">
        <f>IF(VLOOKUP(J226,find_replace!H:H,1,"false")=J226,"TRUE","FALSE")</f>
        <v>TRUE</v>
      </c>
      <c r="M226" s="82" t="s">
        <v>427</v>
      </c>
      <c r="N226" s="82" t="s">
        <v>427</v>
      </c>
      <c r="O226" s="60" t="str">
        <f t="shared" si="13"/>
        <v xml:space="preserve">    term_visit_comments: "Visit Comments"</v>
      </c>
      <c r="P226" s="39" t="str">
        <f t="shared" si="14"/>
        <v xml:space="preserve">    def_visit_comments: "Comments describing additional details about the deployment and*/or Service*/Retrieval visits."</v>
      </c>
      <c r="Q226" s="40"/>
      <c r="R226" s="83" t="b">
        <v>0</v>
      </c>
      <c r="S226" s="86" t="b">
        <v>1</v>
      </c>
      <c r="T226" s="84" t="b">
        <v>0</v>
      </c>
      <c r="U226" s="85" t="s">
        <v>895</v>
      </c>
      <c r="V226" t="s">
        <v>896</v>
      </c>
      <c r="W226" s="13" t="s">
        <v>1816</v>
      </c>
      <c r="X226" t="s">
        <v>4582</v>
      </c>
      <c r="Y226"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27" spans="1:26">
      <c r="A227" s="30"/>
      <c r="B227" s="30">
        <v>190</v>
      </c>
      <c r="C227" s="30" t="s">
        <v>0</v>
      </c>
      <c r="D227" s="82" t="s">
        <v>984</v>
      </c>
      <c r="E227" s="34" t="s">
        <v>62</v>
      </c>
      <c r="F227" s="30"/>
      <c r="G227" s="30" t="s">
        <v>767</v>
      </c>
      <c r="H227" s="30" t="s">
        <v>541</v>
      </c>
      <c r="I227" s="40" t="s">
        <v>60</v>
      </c>
      <c r="J227" s="40" t="str">
        <f t="shared" si="12"/>
        <v>visit_metadata</v>
      </c>
      <c r="K227" s="34" t="s">
        <v>62</v>
      </c>
      <c r="L227" s="34" t="str">
        <f>IF(VLOOKUP(J227,find_replace!H:H,1,"false")=J227,"TRUE","FALSE")</f>
        <v>TRUE</v>
      </c>
      <c r="M227" s="82" t="s">
        <v>61</v>
      </c>
      <c r="N227" s="82" t="s">
        <v>61</v>
      </c>
      <c r="O227" s="60" t="str">
        <f t="shared" si="13"/>
        <v xml:space="preserve">    term_visit_metadata: "Visit metadata"</v>
      </c>
      <c r="P227" s="39" t="str">
        <f t="shared" si="14"/>
        <v xml:space="preserve">    def_visit_metadata: "Metadata that should be collected each time a camera location is visited to deploy, Service*/Retrieval Field Datasheet."</v>
      </c>
      <c r="Q227" s="40"/>
      <c r="R227" s="83" t="s">
        <v>51</v>
      </c>
      <c r="S227" s="86" t="b">
        <v>1</v>
      </c>
      <c r="T227" s="86" t="b">
        <v>1</v>
      </c>
      <c r="U227" s="85" t="s">
        <v>895</v>
      </c>
      <c r="V227" t="s">
        <v>896</v>
      </c>
      <c r="W227" s="13" t="s">
        <v>1816</v>
      </c>
      <c r="X227" t="s">
        <v>4582</v>
      </c>
      <c r="Y227"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28" spans="1:26">
      <c r="A228" s="30"/>
      <c r="B228" s="30">
        <v>191</v>
      </c>
      <c r="C228" s="30" t="s">
        <v>0</v>
      </c>
      <c r="D228" s="82" t="s">
        <v>984</v>
      </c>
      <c r="E228" s="34" t="s">
        <v>59</v>
      </c>
      <c r="F228" s="30"/>
      <c r="G228" s="30" t="s">
        <v>767</v>
      </c>
      <c r="H228" s="30" t="s">
        <v>539</v>
      </c>
      <c r="I228" s="40" t="s">
        <v>58</v>
      </c>
      <c r="J228" s="40" t="str">
        <f t="shared" si="12"/>
        <v>baitlure_visual_lure</v>
      </c>
      <c r="K228" s="34" t="s">
        <v>59</v>
      </c>
      <c r="L228" s="34" t="str">
        <f>IF(VLOOKUP(J228,find_replace!H:H,1,"false")=J228,"TRUE","FALSE")</f>
        <v>TRUE</v>
      </c>
      <c r="M228" s="82" t="s">
        <v>994</v>
      </c>
      <c r="N228" s="82" t="s">
        <v>881</v>
      </c>
      <c r="O228" s="60" t="str">
        <f t="shared" si="13"/>
        <v xml:space="preserve">    term_baitlure_visual_lure: "Visual lure"</v>
      </c>
      <c r="P228" s="39" t="str">
        <f t="shared" si="14"/>
        <v xml:space="preserve">    def_baitlure_visual_lure: "Any material that draws animals closer via their sense of sight ({{ rtxt_schlexer_2008 }})."</v>
      </c>
      <c r="Q228" s="40"/>
      <c r="R228" s="83" t="s">
        <v>51</v>
      </c>
      <c r="S228" s="84" t="b">
        <v>0</v>
      </c>
      <c r="T228" s="86" t="b">
        <v>1</v>
      </c>
      <c r="U228" s="85" t="s">
        <v>895</v>
      </c>
      <c r="V228" t="s">
        <v>896</v>
      </c>
      <c r="W228" s="13" t="s">
        <v>1816</v>
      </c>
      <c r="X228" t="s">
        <v>4582</v>
      </c>
      <c r="Y228" t="str">
        <f t="shared" si="15"/>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row>
    <row r="229" spans="1:26">
      <c r="A229" s="31"/>
      <c r="B229" s="31"/>
      <c r="C229" s="31" t="s">
        <v>0</v>
      </c>
      <c r="D229" s="82" t="s">
        <v>984</v>
      </c>
      <c r="E229" s="31" t="s">
        <v>41</v>
      </c>
      <c r="F229" s="30"/>
      <c r="G229" s="30" t="s">
        <v>813</v>
      </c>
      <c r="H229" s="31" t="s">
        <v>40</v>
      </c>
      <c r="I229" s="31" t="s">
        <v>42</v>
      </c>
      <c r="J229" s="40" t="str">
        <f t="shared" si="12"/>
        <v>obj_vital_rate</v>
      </c>
      <c r="K229" s="31" t="s">
        <v>894</v>
      </c>
      <c r="L229" s="34" t="str">
        <f>IF(VLOOKUP(J229,find_replace!H:H,1,"false")=J229,"TRUE","FALSE")</f>
        <v>TRUE</v>
      </c>
      <c r="M229" s="98" t="s">
        <v>993</v>
      </c>
      <c r="N229" s="98" t="s">
        <v>880</v>
      </c>
      <c r="O229" s="60" t="str">
        <f t="shared" si="13"/>
        <v xml:space="preserve">    term_obj_vital_rate: "Vital rate"</v>
      </c>
      <c r="P229" s="39" t="str">
        <f t="shared" si="14"/>
        <v xml:space="preserve">    def_obj_vital_rate: "The species-specific factors of a population that, together, play a large role in the population's trend. These include the birth rate, recruitment rate, and probability of survival and mortality.' ({{ rtxt_nbckc_2024a }})"</v>
      </c>
      <c r="Q229" s="31"/>
      <c r="R229" s="31"/>
      <c r="S229" s="31"/>
      <c r="T229" s="31"/>
      <c r="U229" s="85" t="s">
        <v>895</v>
      </c>
      <c r="V229" t="s">
        <v>896</v>
      </c>
      <c r="W229" s="13" t="s">
        <v>1816</v>
      </c>
      <c r="X229" t="s">
        <v>4582</v>
      </c>
      <c r="Y229" t="str">
        <f t="shared" si="15"/>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230" spans="1:26">
      <c r="A230" s="30"/>
      <c r="B230" s="30">
        <v>192</v>
      </c>
      <c r="C230" s="30" t="s">
        <v>0</v>
      </c>
      <c r="D230" s="82" t="s">
        <v>984</v>
      </c>
      <c r="E230" s="34" t="s">
        <v>57</v>
      </c>
      <c r="F230" s="30"/>
      <c r="G230" s="30" t="s">
        <v>767</v>
      </c>
      <c r="H230" s="30" t="s">
        <v>548</v>
      </c>
      <c r="I230" s="40" t="s">
        <v>56</v>
      </c>
      <c r="J230" s="40" t="str">
        <f t="shared" si="12"/>
        <v>walktest</v>
      </c>
      <c r="K230" s="34" t="s">
        <v>57</v>
      </c>
      <c r="L230" s="34" t="str">
        <f>IF(VLOOKUP(J230,find_replace!H:H,1,"false")=J230,"TRUE","FALSE")</f>
        <v>TRUE</v>
      </c>
      <c r="M230" s="82" t="s">
        <v>425</v>
      </c>
      <c r="N230" s="82" t="s">
        <v>425</v>
      </c>
      <c r="O230" s="60" t="str">
        <f t="shared" si="13"/>
        <v xml:space="preserve">    term_walktest: "Walktest"</v>
      </c>
      <c r="P230" s="39"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0" s="40"/>
      <c r="R230" s="83" t="s">
        <v>51</v>
      </c>
      <c r="S230" s="86" t="b">
        <v>1</v>
      </c>
      <c r="T230" s="86" t="b">
        <v>1</v>
      </c>
      <c r="U230" s="85" t="s">
        <v>895</v>
      </c>
      <c r="V230" t="s">
        <v>896</v>
      </c>
      <c r="W230" s="13" t="s">
        <v>1816</v>
      </c>
      <c r="X230" t="s">
        <v>4582</v>
      </c>
      <c r="Y230"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1" spans="1:26">
      <c r="A231" s="30"/>
      <c r="B231" s="30">
        <v>193</v>
      </c>
      <c r="C231" s="30" t="s">
        <v>429</v>
      </c>
      <c r="D231" s="82" t="s">
        <v>984</v>
      </c>
      <c r="E231" s="40" t="s">
        <v>504</v>
      </c>
      <c r="F231" s="30" t="s">
        <v>897</v>
      </c>
      <c r="G231" s="30" t="s">
        <v>767</v>
      </c>
      <c r="H231" s="30" t="s">
        <v>548</v>
      </c>
      <c r="I231" s="40" t="s">
        <v>309</v>
      </c>
      <c r="J231" s="40" t="str">
        <f t="shared" si="12"/>
        <v>walktest_complete</v>
      </c>
      <c r="K231" s="40" t="s">
        <v>763</v>
      </c>
      <c r="L231" s="34" t="str">
        <f>IF(VLOOKUP(J231,find_replace!H:H,1,"false")=J231,"TRUE","FALSE")</f>
        <v>TRUE</v>
      </c>
      <c r="M231" s="82" t="s">
        <v>426</v>
      </c>
      <c r="N231" s="82" t="s">
        <v>426</v>
      </c>
      <c r="O231" s="60" t="str">
        <f t="shared" si="13"/>
        <v xml:space="preserve">    term_walktest_complete: "Walktest Complete"</v>
      </c>
      <c r="P231" s="39"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1" s="40"/>
      <c r="R231" s="83" t="b">
        <v>0</v>
      </c>
      <c r="S231" s="86" t="b">
        <v>1</v>
      </c>
      <c r="T231" s="86" t="b">
        <v>1</v>
      </c>
      <c r="U231" s="85" t="s">
        <v>895</v>
      </c>
      <c r="V231" t="s">
        <v>896</v>
      </c>
      <c r="W231" s="13" t="s">
        <v>1816</v>
      </c>
      <c r="X231" t="s">
        <v>4582</v>
      </c>
      <c r="Y231"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2" spans="1:26">
      <c r="A232" s="30"/>
      <c r="B232" s="30">
        <v>194</v>
      </c>
      <c r="C232" s="30" t="s">
        <v>429</v>
      </c>
      <c r="D232" s="82" t="s">
        <v>984</v>
      </c>
      <c r="E232" s="40" t="s">
        <v>1781</v>
      </c>
      <c r="F232" s="30" t="s">
        <v>897</v>
      </c>
      <c r="G232" s="30" t="s">
        <v>767</v>
      </c>
      <c r="H232" s="30" t="s">
        <v>548</v>
      </c>
      <c r="I232" s="40" t="s">
        <v>307</v>
      </c>
      <c r="J232" s="40" t="str">
        <f t="shared" si="12"/>
        <v>walktest_distance</v>
      </c>
      <c r="K232" s="40" t="s">
        <v>1373</v>
      </c>
      <c r="L232" s="34" t="str">
        <f>IF(VLOOKUP(J232,find_replace!H:H,1,"false")=J232,"TRUE","FALSE")</f>
        <v>TRUE</v>
      </c>
      <c r="M232" s="82" t="s">
        <v>308</v>
      </c>
      <c r="N232" s="82" t="s">
        <v>308</v>
      </c>
      <c r="O232" s="60" t="str">
        <f t="shared" si="13"/>
        <v xml:space="preserve">    term_walktest_distance: "Walktest Distance (m)"</v>
      </c>
      <c r="P232" s="39" t="str">
        <f t="shared" si="14"/>
        <v xml:space="preserve">    def_walktest_distance: "The horizontal distance from the camera at which the crew performs the walktest (metres; to the nearest 0.05 m). Leave blank if not applicable."</v>
      </c>
      <c r="Q232" s="40" t="b">
        <v>1</v>
      </c>
      <c r="R232" s="83" t="b">
        <v>0</v>
      </c>
      <c r="S232" s="86" t="b">
        <v>1</v>
      </c>
      <c r="T232" s="86" t="b">
        <v>1</v>
      </c>
      <c r="U232" s="85" t="s">
        <v>895</v>
      </c>
      <c r="V232" t="s">
        <v>896</v>
      </c>
      <c r="W232" s="13" t="s">
        <v>1816</v>
      </c>
      <c r="X232" t="s">
        <v>4582</v>
      </c>
      <c r="Y232"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3" spans="1:26">
      <c r="A233" s="30"/>
      <c r="B233" s="30">
        <v>195</v>
      </c>
      <c r="C233" s="30" t="s">
        <v>429</v>
      </c>
      <c r="D233" s="82" t="s">
        <v>984</v>
      </c>
      <c r="E233" s="40" t="s">
        <v>505</v>
      </c>
      <c r="F233" s="30" t="s">
        <v>897</v>
      </c>
      <c r="G233" s="30" t="s">
        <v>767</v>
      </c>
      <c r="H233" s="30" t="s">
        <v>548</v>
      </c>
      <c r="I233" s="40" t="s">
        <v>305</v>
      </c>
      <c r="J233" s="40" t="str">
        <f t="shared" si="12"/>
        <v>walktest_height</v>
      </c>
      <c r="K233" s="40" t="s">
        <v>764</v>
      </c>
      <c r="L233" s="34" t="str">
        <f>IF(VLOOKUP(J233,find_replace!H:H,1,"false")=J233,"TRUE","FALSE")</f>
        <v>TRUE</v>
      </c>
      <c r="M233" s="82" t="s">
        <v>306</v>
      </c>
      <c r="N233" s="82" t="s">
        <v>306</v>
      </c>
      <c r="O233" s="60" t="str">
        <f t="shared" si="13"/>
        <v xml:space="preserve">    term_walktest_height: "Walktest Height (m)"</v>
      </c>
      <c r="P233" s="39" t="str">
        <f t="shared" si="14"/>
        <v xml:space="preserve">    def_walktest_height: "The vertical distance from the camera at which the crew performs the walktest (metres; to the nearest 0.05 m). Leave blank if not applicable."</v>
      </c>
      <c r="Q233" s="40" t="b">
        <v>1</v>
      </c>
      <c r="R233" s="83" t="b">
        <v>0</v>
      </c>
      <c r="S233" s="86" t="b">
        <v>1</v>
      </c>
      <c r="T233" s="86" t="b">
        <v>1</v>
      </c>
      <c r="U233" s="85" t="s">
        <v>895</v>
      </c>
      <c r="V233" t="s">
        <v>896</v>
      </c>
      <c r="W233" s="13" t="s">
        <v>1816</v>
      </c>
      <c r="X233" t="s">
        <v>4582</v>
      </c>
      <c r="Y233"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4" spans="1:26" s="2" customFormat="1">
      <c r="A234" s="30"/>
      <c r="B234" s="30">
        <v>196</v>
      </c>
      <c r="C234" s="30" t="s">
        <v>0</v>
      </c>
      <c r="D234" s="82" t="s">
        <v>984</v>
      </c>
      <c r="E234" s="34" t="s">
        <v>55</v>
      </c>
      <c r="F234" s="30" t="s">
        <v>897</v>
      </c>
      <c r="G234" s="30" t="s">
        <v>767</v>
      </c>
      <c r="H234" s="30" t="s">
        <v>4</v>
      </c>
      <c r="I234" s="40" t="s">
        <v>447</v>
      </c>
      <c r="J234" s="40" t="str">
        <f t="shared" si="12"/>
        <v>mod_rai_zinb</v>
      </c>
      <c r="K234" s="34" t="s">
        <v>55</v>
      </c>
      <c r="L234" s="34" t="str">
        <f>IF(VLOOKUP(J234,find_replace!H:H,1,"false")=J234,"TRUE","FALSE")</f>
        <v>TRUE</v>
      </c>
      <c r="M234" s="82" t="s">
        <v>388</v>
      </c>
      <c r="N234" s="82" t="s">
        <v>388</v>
      </c>
      <c r="O234" s="60" t="str">
        <f t="shared" si="13"/>
        <v xml:space="preserve">    term_mod_rai_zinb: "Zero-inflated negative binomial (ZINB) regression (McCullagh &amp; Nelder, 1989)"</v>
      </c>
      <c r="P234" s="39" t="str">
        <f t="shared" si="14"/>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234" s="40"/>
      <c r="R234" s="83" t="s">
        <v>51</v>
      </c>
      <c r="S234" s="84" t="b">
        <v>0</v>
      </c>
      <c r="T234" s="86" t="b">
        <v>1</v>
      </c>
      <c r="U234" s="85" t="s">
        <v>895</v>
      </c>
      <c r="V234" t="s">
        <v>896</v>
      </c>
      <c r="W234" s="13" t="s">
        <v>1816</v>
      </c>
      <c r="X234" t="s">
        <v>4582</v>
      </c>
      <c r="Y234" t="str">
        <f t="shared" si="15"/>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c r="Z234"/>
    </row>
    <row r="235" spans="1:26">
      <c r="A235" s="30"/>
      <c r="B235" s="30">
        <v>197</v>
      </c>
      <c r="C235" s="30" t="s">
        <v>0</v>
      </c>
      <c r="D235" s="82" t="s">
        <v>984</v>
      </c>
      <c r="E235" s="34" t="s">
        <v>54</v>
      </c>
      <c r="F235" s="30" t="s">
        <v>897</v>
      </c>
      <c r="G235" s="30" t="s">
        <v>767</v>
      </c>
      <c r="H235" s="30" t="s">
        <v>4</v>
      </c>
      <c r="I235" s="40" t="s">
        <v>450</v>
      </c>
      <c r="J235" s="40" t="str">
        <f t="shared" si="12"/>
        <v>mod_rai_zip</v>
      </c>
      <c r="K235" s="34" t="s">
        <v>54</v>
      </c>
      <c r="L235" s="34" t="str">
        <f>IF(VLOOKUP(J235,find_replace!H:H,1,"false")=J235,"TRUE","FALSE")</f>
        <v>TRUE</v>
      </c>
      <c r="M235" s="82" t="s">
        <v>53</v>
      </c>
      <c r="N235" s="82" t="s">
        <v>53</v>
      </c>
      <c r="O235" s="60" t="str">
        <f t="shared" si="13"/>
        <v xml:space="preserve">    term_mod_rai_zip: "Zero-inflated Poisson (ZIP) regression (Lambert, 1992)"</v>
      </c>
      <c r="P235" s="39" t="str">
        <f t="shared" si="14"/>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235" s="40"/>
      <c r="R235" s="83" t="s">
        <v>51</v>
      </c>
      <c r="S235" s="84" t="b">
        <v>0</v>
      </c>
      <c r="T235" s="86" t="b">
        <v>1</v>
      </c>
      <c r="U235" s="85" t="s">
        <v>895</v>
      </c>
      <c r="V235" t="s">
        <v>896</v>
      </c>
      <c r="W235" s="13" t="s">
        <v>1816</v>
      </c>
      <c r="X235" t="s">
        <v>4582</v>
      </c>
      <c r="Y235" t="str">
        <f t="shared" si="15"/>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236" spans="1:26">
      <c r="A236" s="30"/>
      <c r="B236" s="30">
        <v>198</v>
      </c>
      <c r="C236" s="30" t="s">
        <v>0</v>
      </c>
      <c r="D236" s="82" t="s">
        <v>984</v>
      </c>
      <c r="E236" s="40" t="s">
        <v>52</v>
      </c>
      <c r="F236" s="31"/>
      <c r="G236" s="30" t="s">
        <v>767</v>
      </c>
      <c r="H236" s="30" t="s">
        <v>4</v>
      </c>
      <c r="I236" s="40" t="s">
        <v>462</v>
      </c>
      <c r="J236" s="40" t="str">
        <f t="shared" si="12"/>
        <v>mod_zero_inflation</v>
      </c>
      <c r="K236" s="40" t="s">
        <v>52</v>
      </c>
      <c r="L236" s="34" t="str">
        <f>IF(VLOOKUP(J236,find_replace!H:H,1,"false")=J236,"TRUE","FALSE")</f>
        <v>TRUE</v>
      </c>
      <c r="M236" s="82" t="s">
        <v>387</v>
      </c>
      <c r="N236" s="82" t="s">
        <v>387</v>
      </c>
      <c r="O236" s="60" t="str">
        <f t="shared" si="13"/>
        <v xml:space="preserve">    term_mod_zero_inflation: "Zero-inflation"</v>
      </c>
      <c r="P236" s="39" t="str">
        <f t="shared" si="14"/>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236" s="40"/>
      <c r="R236" s="83" t="s">
        <v>51</v>
      </c>
      <c r="S236" s="84" t="b">
        <v>0</v>
      </c>
      <c r="T236" s="86" t="b">
        <v>1</v>
      </c>
      <c r="U236" s="85" t="s">
        <v>895</v>
      </c>
      <c r="V236" t="s">
        <v>896</v>
      </c>
      <c r="W236" s="13" t="s">
        <v>1816</v>
      </c>
      <c r="X236" t="s">
        <v>4582</v>
      </c>
      <c r="Y236" t="str">
        <f t="shared" si="15"/>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237" spans="1:26">
      <c r="D237" s="82" t="s">
        <v>984</v>
      </c>
      <c r="U237" s="85" t="s">
        <v>895</v>
      </c>
    </row>
  </sheetData>
  <autoFilter ref="A1:Z233" xr:uid="{B9597082-29CB-45FC-A241-16B4E33864A2}">
    <sortState xmlns:xlrd2="http://schemas.microsoft.com/office/spreadsheetml/2017/richdata2" ref="A2:Z237">
      <sortCondition ref="K1:K233"/>
    </sortState>
  </autoFilter>
  <conditionalFormatting sqref="D2:D237">
    <cfRule type="containsText" dxfId="45" priority="2" operator="containsText" text="&quot;">
      <formula>NOT(ISERROR(SEARCH("""",D2)))</formula>
    </cfRule>
  </conditionalFormatting>
  <conditionalFormatting sqref="I1:I1048576">
    <cfRule type="duplicateValues" dxfId="44" priority="1"/>
  </conditionalFormatting>
  <conditionalFormatting sqref="J1:J1048576">
    <cfRule type="duplicateValues" dxfId="43" priority="8"/>
  </conditionalFormatting>
  <conditionalFormatting sqref="K1:L1 K2:K232">
    <cfRule type="duplicateValues" dxfId="42" priority="54"/>
  </conditionalFormatting>
  <conditionalFormatting sqref="M1:M5 M2:N6 M7:M233 M237:M1048576">
    <cfRule type="containsText" dxfId="41" priority="9" operator="containsText" text="&quot;">
      <formula>NOT(ISERROR(SEARCH("""",M1)))</formula>
    </cfRule>
  </conditionalFormatting>
  <conditionalFormatting sqref="M236">
    <cfRule type="containsText" dxfId="40" priority="3" operator="containsText" text="(english)">
      <formula>NOT(ISERROR(SEARCH("(english)",M236)))</formula>
    </cfRule>
    <cfRule type="containsText" dxfId="39" priority="4" operator="containsText" text="References">
      <formula>NOT(ISERROR(SEARCH("References",M236)))</formula>
    </cfRule>
  </conditionalFormatting>
  <conditionalFormatting sqref="N7">
    <cfRule type="containsText" dxfId="38" priority="5" operator="containsText" text="&quot;">
      <formula>NOT(ISERROR(SEARCH("""",N7)))</formula>
    </cfRule>
  </conditionalFormatting>
  <conditionalFormatting sqref="N31">
    <cfRule type="containsText" dxfId="37"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45"/>
  <sheetViews>
    <sheetView workbookViewId="0">
      <pane ySplit="1" topLeftCell="A122" activePane="bottomLeft" state="frozen"/>
      <selection pane="bottomLeft" activeCell="D140" sqref="D140"/>
    </sheetView>
  </sheetViews>
  <sheetFormatPr defaultRowHeight="15"/>
  <cols>
    <col min="1" max="1" width="20.625" customWidth="1"/>
    <col min="2" max="2" width="20.125" bestFit="1" customWidth="1"/>
    <col min="3" max="3" width="18.125" bestFit="1" customWidth="1"/>
    <col min="4" max="4" width="18.375" customWidth="1"/>
    <col min="5" max="5" width="18.375" style="36" customWidth="1"/>
    <col min="6" max="6" width="26.375" customWidth="1"/>
    <col min="7" max="7" width="39.625" customWidth="1"/>
    <col min="8" max="8" width="24.625" customWidth="1"/>
  </cols>
  <sheetData>
    <row r="1" spans="1:8">
      <c r="A1" s="36" t="s">
        <v>5664</v>
      </c>
      <c r="B1" s="36" t="s">
        <v>5663</v>
      </c>
      <c r="C1" s="36" t="s">
        <v>5662</v>
      </c>
      <c r="D1" s="36" t="s">
        <v>5661</v>
      </c>
      <c r="E1" s="1" t="s">
        <v>5660</v>
      </c>
      <c r="F1" s="1" t="s">
        <v>5659</v>
      </c>
      <c r="G1" s="36" t="s">
        <v>5658</v>
      </c>
      <c r="H1" s="36" t="s">
        <v>1063</v>
      </c>
    </row>
    <row r="2" spans="1:8">
      <c r="A2" t="s">
        <v>5373</v>
      </c>
      <c r="B2" t="s">
        <v>5655</v>
      </c>
      <c r="C2" t="b">
        <v>0</v>
      </c>
      <c r="D2" t="s">
        <v>5375</v>
      </c>
      <c r="F2" t="s">
        <v>5657</v>
      </c>
      <c r="G2" t="s">
        <v>5655</v>
      </c>
    </row>
    <row r="3" spans="1:8">
      <c r="A3" t="s">
        <v>5373</v>
      </c>
      <c r="B3" t="s">
        <v>5655</v>
      </c>
      <c r="C3" t="b">
        <v>1</v>
      </c>
      <c r="D3" t="s">
        <v>5371</v>
      </c>
      <c r="F3" t="s">
        <v>5656</v>
      </c>
      <c r="G3" t="s">
        <v>5655</v>
      </c>
    </row>
    <row r="4" spans="1:8">
      <c r="A4" t="s">
        <v>5373</v>
      </c>
      <c r="B4" t="s">
        <v>5653</v>
      </c>
      <c r="C4" t="b">
        <v>0</v>
      </c>
      <c r="D4" t="s">
        <v>5375</v>
      </c>
      <c r="F4" t="s">
        <v>5654</v>
      </c>
      <c r="G4" t="s">
        <v>5651</v>
      </c>
    </row>
    <row r="5" spans="1:8">
      <c r="A5" t="s">
        <v>5373</v>
      </c>
      <c r="B5" t="s">
        <v>5653</v>
      </c>
      <c r="C5" t="b">
        <v>1</v>
      </c>
      <c r="D5" t="s">
        <v>5371</v>
      </c>
      <c r="F5" t="s">
        <v>5652</v>
      </c>
      <c r="G5" t="s">
        <v>5651</v>
      </c>
    </row>
    <row r="6" spans="1:8">
      <c r="A6" t="s">
        <v>5373</v>
      </c>
      <c r="B6" t="s">
        <v>5635</v>
      </c>
      <c r="C6" t="s">
        <v>5650</v>
      </c>
      <c r="D6" t="s">
        <v>5649</v>
      </c>
      <c r="F6" t="s">
        <v>5648</v>
      </c>
      <c r="G6" t="s">
        <v>5648</v>
      </c>
    </row>
    <row r="7" spans="1:8">
      <c r="A7" t="s">
        <v>5373</v>
      </c>
      <c r="B7" t="s">
        <v>5635</v>
      </c>
      <c r="C7" t="s">
        <v>5647</v>
      </c>
      <c r="D7" t="s">
        <v>5646</v>
      </c>
      <c r="F7" t="s">
        <v>5645</v>
      </c>
      <c r="G7" t="s">
        <v>5645</v>
      </c>
    </row>
    <row r="8" spans="1:8">
      <c r="A8" t="s">
        <v>5373</v>
      </c>
      <c r="B8" t="s">
        <v>5635</v>
      </c>
      <c r="C8" t="s">
        <v>5644</v>
      </c>
      <c r="D8" t="s">
        <v>5643</v>
      </c>
      <c r="F8" t="s">
        <v>5642</v>
      </c>
      <c r="G8" t="s">
        <v>5642</v>
      </c>
    </row>
    <row r="9" spans="1:8">
      <c r="A9" t="s">
        <v>5373</v>
      </c>
      <c r="B9" t="s">
        <v>5635</v>
      </c>
      <c r="C9" t="s">
        <v>5641</v>
      </c>
      <c r="D9" t="s">
        <v>5640</v>
      </c>
      <c r="F9" t="s">
        <v>5639</v>
      </c>
      <c r="G9" t="s">
        <v>5639</v>
      </c>
    </row>
    <row r="10" spans="1:8">
      <c r="A10" t="s">
        <v>5373</v>
      </c>
      <c r="B10" t="s">
        <v>5635</v>
      </c>
      <c r="C10" t="s">
        <v>5638</v>
      </c>
      <c r="D10" t="s">
        <v>5637</v>
      </c>
      <c r="F10" t="s">
        <v>5636</v>
      </c>
      <c r="G10" t="s">
        <v>5636</v>
      </c>
    </row>
    <row r="11" spans="1:8">
      <c r="A11" t="s">
        <v>5373</v>
      </c>
      <c r="B11" t="s">
        <v>5635</v>
      </c>
      <c r="C11" t="s">
        <v>5632</v>
      </c>
      <c r="D11" t="s">
        <v>5634</v>
      </c>
      <c r="F11" t="s">
        <v>5633</v>
      </c>
      <c r="G11" t="s">
        <v>5633</v>
      </c>
    </row>
    <row r="12" spans="1:8">
      <c r="A12" t="s">
        <v>5373</v>
      </c>
      <c r="B12" t="s">
        <v>5626</v>
      </c>
      <c r="C12" t="s">
        <v>5632</v>
      </c>
      <c r="D12" t="s">
        <v>5631</v>
      </c>
      <c r="F12" t="s">
        <v>5630</v>
      </c>
      <c r="G12" t="s">
        <v>5630</v>
      </c>
    </row>
    <row r="13" spans="1:8">
      <c r="A13" t="s">
        <v>5373</v>
      </c>
      <c r="B13" t="s">
        <v>5626</v>
      </c>
      <c r="C13" t="s">
        <v>5629</v>
      </c>
      <c r="D13" t="s">
        <v>5628</v>
      </c>
      <c r="F13" t="s">
        <v>5627</v>
      </c>
      <c r="G13" t="s">
        <v>5627</v>
      </c>
    </row>
    <row r="14" spans="1:8">
      <c r="A14" t="s">
        <v>5373</v>
      </c>
      <c r="B14" t="s">
        <v>5626</v>
      </c>
      <c r="C14" t="s">
        <v>5625</v>
      </c>
      <c r="D14" t="s">
        <v>5624</v>
      </c>
      <c r="F14" t="s">
        <v>5623</v>
      </c>
      <c r="G14" t="s">
        <v>5623</v>
      </c>
    </row>
    <row r="15" spans="1:8">
      <c r="A15" t="s">
        <v>5373</v>
      </c>
      <c r="B15" t="s">
        <v>5619</v>
      </c>
      <c r="C15" t="s">
        <v>5622</v>
      </c>
      <c r="D15" t="s">
        <v>5621</v>
      </c>
      <c r="F15" t="s">
        <v>5620</v>
      </c>
      <c r="G15" t="s">
        <v>5620</v>
      </c>
    </row>
    <row r="16" spans="1:8">
      <c r="A16" t="s">
        <v>5373</v>
      </c>
      <c r="B16" t="s">
        <v>5619</v>
      </c>
      <c r="C16" t="s">
        <v>5618</v>
      </c>
      <c r="D16" t="s">
        <v>5617</v>
      </c>
      <c r="F16" t="s">
        <v>5616</v>
      </c>
      <c r="G16" t="s">
        <v>5616</v>
      </c>
    </row>
    <row r="17" spans="1:7">
      <c r="A17" t="s">
        <v>5373</v>
      </c>
      <c r="B17" t="s">
        <v>5614</v>
      </c>
      <c r="C17" t="b">
        <v>0</v>
      </c>
      <c r="D17" t="s">
        <v>5375</v>
      </c>
      <c r="E17" s="36">
        <v>2</v>
      </c>
      <c r="F17" t="s">
        <v>5615</v>
      </c>
      <c r="G17" t="s">
        <v>5615</v>
      </c>
    </row>
    <row r="18" spans="1:7">
      <c r="A18" t="s">
        <v>5373</v>
      </c>
      <c r="B18" t="s">
        <v>5614</v>
      </c>
      <c r="C18" t="b">
        <v>1</v>
      </c>
      <c r="D18" t="s">
        <v>5371</v>
      </c>
      <c r="E18" s="36">
        <v>1</v>
      </c>
      <c r="F18" t="s">
        <v>5613</v>
      </c>
      <c r="G18" t="s">
        <v>5613</v>
      </c>
    </row>
    <row r="19" spans="1:7">
      <c r="A19" t="s">
        <v>5373</v>
      </c>
      <c r="B19" t="s">
        <v>5611</v>
      </c>
      <c r="C19" t="b">
        <v>0</v>
      </c>
      <c r="D19" t="s">
        <v>5375</v>
      </c>
      <c r="E19" s="36">
        <v>2</v>
      </c>
      <c r="F19" t="s">
        <v>5612</v>
      </c>
      <c r="G19" t="s">
        <v>5612</v>
      </c>
    </row>
    <row r="20" spans="1:7">
      <c r="A20" t="s">
        <v>5373</v>
      </c>
      <c r="B20" t="s">
        <v>5611</v>
      </c>
      <c r="C20" t="b">
        <v>1</v>
      </c>
      <c r="D20" t="s">
        <v>5371</v>
      </c>
      <c r="E20" s="36">
        <v>1</v>
      </c>
      <c r="F20" t="s">
        <v>5610</v>
      </c>
      <c r="G20" t="s">
        <v>5610</v>
      </c>
    </row>
    <row r="21" spans="1:7">
      <c r="A21" t="s">
        <v>5373</v>
      </c>
      <c r="B21" t="s">
        <v>5608</v>
      </c>
      <c r="C21" t="b">
        <v>0</v>
      </c>
      <c r="D21" t="s">
        <v>5375</v>
      </c>
      <c r="E21" s="36">
        <v>2</v>
      </c>
      <c r="F21" t="s">
        <v>5609</v>
      </c>
      <c r="G21" t="s">
        <v>5609</v>
      </c>
    </row>
    <row r="22" spans="1:7">
      <c r="A22" t="s">
        <v>5373</v>
      </c>
      <c r="B22" t="s">
        <v>5608</v>
      </c>
      <c r="C22" t="b">
        <v>1</v>
      </c>
      <c r="D22" t="s">
        <v>5371</v>
      </c>
      <c r="E22" s="36">
        <v>1</v>
      </c>
      <c r="F22" t="s">
        <v>5607</v>
      </c>
      <c r="G22" t="s">
        <v>5607</v>
      </c>
    </row>
    <row r="23" spans="1:7">
      <c r="A23" t="s">
        <v>5373</v>
      </c>
      <c r="B23" t="s">
        <v>5605</v>
      </c>
      <c r="C23" t="b">
        <v>0</v>
      </c>
      <c r="D23" t="s">
        <v>5375</v>
      </c>
      <c r="E23" s="36">
        <v>2</v>
      </c>
      <c r="F23" t="s">
        <v>5606</v>
      </c>
      <c r="G23" t="s">
        <v>5606</v>
      </c>
    </row>
    <row r="24" spans="1:7">
      <c r="A24" t="s">
        <v>5373</v>
      </c>
      <c r="B24" t="s">
        <v>5605</v>
      </c>
      <c r="C24" t="b">
        <v>1</v>
      </c>
      <c r="D24" t="s">
        <v>5371</v>
      </c>
      <c r="E24" s="36">
        <v>1</v>
      </c>
      <c r="F24" t="s">
        <v>5604</v>
      </c>
      <c r="G24" t="s">
        <v>5604</v>
      </c>
    </row>
    <row r="25" spans="1:7">
      <c r="A25" t="s">
        <v>5373</v>
      </c>
      <c r="B25" t="s">
        <v>5602</v>
      </c>
      <c r="C25" t="b">
        <v>0</v>
      </c>
      <c r="D25" t="s">
        <v>5375</v>
      </c>
      <c r="E25" s="36">
        <v>2</v>
      </c>
      <c r="F25" t="s">
        <v>5603</v>
      </c>
      <c r="G25" t="s">
        <v>5603</v>
      </c>
    </row>
    <row r="26" spans="1:7">
      <c r="A26" t="s">
        <v>5373</v>
      </c>
      <c r="B26" t="s">
        <v>5602</v>
      </c>
      <c r="C26" t="b">
        <v>1</v>
      </c>
      <c r="D26" t="s">
        <v>5371</v>
      </c>
      <c r="E26" s="36">
        <v>1</v>
      </c>
      <c r="F26" t="s">
        <v>5601</v>
      </c>
      <c r="G26" t="s">
        <v>5601</v>
      </c>
    </row>
    <row r="27" spans="1:7">
      <c r="A27" t="s">
        <v>5373</v>
      </c>
      <c r="B27" t="s">
        <v>5598</v>
      </c>
      <c r="C27" t="s">
        <v>5600</v>
      </c>
      <c r="D27" t="s">
        <v>5600</v>
      </c>
      <c r="F27" t="s">
        <v>5599</v>
      </c>
      <c r="G27" t="s">
        <v>5599</v>
      </c>
    </row>
    <row r="28" spans="1:7">
      <c r="A28" t="s">
        <v>5373</v>
      </c>
      <c r="B28" t="s">
        <v>5598</v>
      </c>
      <c r="C28" t="s">
        <v>5522</v>
      </c>
      <c r="D28" t="s">
        <v>5522</v>
      </c>
      <c r="F28" t="s">
        <v>5597</v>
      </c>
      <c r="G28" t="s">
        <v>5597</v>
      </c>
    </row>
    <row r="29" spans="1:7">
      <c r="A29" t="s">
        <v>5373</v>
      </c>
      <c r="B29" t="s">
        <v>5595</v>
      </c>
      <c r="C29" t="b">
        <v>0</v>
      </c>
      <c r="D29" t="s">
        <v>5375</v>
      </c>
      <c r="E29" s="36">
        <v>2</v>
      </c>
      <c r="F29" t="s">
        <v>5596</v>
      </c>
      <c r="G29" t="s">
        <v>5596</v>
      </c>
    </row>
    <row r="30" spans="1:7">
      <c r="A30" t="s">
        <v>5373</v>
      </c>
      <c r="B30" t="s">
        <v>5595</v>
      </c>
      <c r="C30" t="b">
        <v>1</v>
      </c>
      <c r="D30" t="s">
        <v>5371</v>
      </c>
      <c r="E30" s="36">
        <v>1</v>
      </c>
      <c r="F30" t="s">
        <v>5594</v>
      </c>
      <c r="G30" t="s">
        <v>5594</v>
      </c>
    </row>
    <row r="31" spans="1:7">
      <c r="A31" t="s">
        <v>5407</v>
      </c>
      <c r="B31" t="s">
        <v>5592</v>
      </c>
      <c r="C31" t="b">
        <v>0</v>
      </c>
      <c r="D31" t="s">
        <v>5375</v>
      </c>
      <c r="E31" s="36">
        <v>2</v>
      </c>
      <c r="F31" t="s">
        <v>5593</v>
      </c>
      <c r="G31" t="s">
        <v>5593</v>
      </c>
    </row>
    <row r="32" spans="1:7">
      <c r="A32" t="s">
        <v>5407</v>
      </c>
      <c r="B32" t="s">
        <v>5592</v>
      </c>
      <c r="C32" t="b">
        <v>1</v>
      </c>
      <c r="D32" t="s">
        <v>5371</v>
      </c>
      <c r="E32" s="36">
        <v>1</v>
      </c>
      <c r="F32" t="s">
        <v>5591</v>
      </c>
      <c r="G32" t="s">
        <v>5591</v>
      </c>
    </row>
    <row r="33" spans="1:7">
      <c r="A33" t="s">
        <v>5373</v>
      </c>
      <c r="B33" t="s">
        <v>5589</v>
      </c>
      <c r="C33" t="b">
        <v>0</v>
      </c>
      <c r="D33" t="s">
        <v>5375</v>
      </c>
      <c r="E33" s="36">
        <v>2</v>
      </c>
      <c r="F33" t="s">
        <v>5590</v>
      </c>
      <c r="G33" t="s">
        <v>5590</v>
      </c>
    </row>
    <row r="34" spans="1:7">
      <c r="A34" t="s">
        <v>5373</v>
      </c>
      <c r="B34" t="s">
        <v>5589</v>
      </c>
      <c r="C34" t="b">
        <v>1</v>
      </c>
      <c r="D34" t="s">
        <v>5371</v>
      </c>
      <c r="E34" s="36">
        <v>1</v>
      </c>
      <c r="F34" t="s">
        <v>5588</v>
      </c>
      <c r="G34" t="s">
        <v>5588</v>
      </c>
    </row>
    <row r="35" spans="1:7">
      <c r="A35" t="s">
        <v>5373</v>
      </c>
      <c r="B35" t="s">
        <v>5586</v>
      </c>
      <c r="C35" t="b">
        <v>0</v>
      </c>
      <c r="D35" t="s">
        <v>5375</v>
      </c>
      <c r="E35" s="36">
        <v>2</v>
      </c>
      <c r="F35" t="s">
        <v>5587</v>
      </c>
      <c r="G35" t="s">
        <v>5587</v>
      </c>
    </row>
    <row r="36" spans="1:7">
      <c r="A36" t="s">
        <v>5373</v>
      </c>
      <c r="B36" t="s">
        <v>5586</v>
      </c>
      <c r="C36" t="b">
        <v>1</v>
      </c>
      <c r="D36" t="s">
        <v>5371</v>
      </c>
      <c r="E36" s="36">
        <v>1</v>
      </c>
      <c r="F36" t="s">
        <v>5585</v>
      </c>
      <c r="G36" t="s">
        <v>5585</v>
      </c>
    </row>
    <row r="37" spans="1:7">
      <c r="A37" t="s">
        <v>5407</v>
      </c>
      <c r="B37" t="s">
        <v>5582</v>
      </c>
      <c r="C37" t="s">
        <v>5584</v>
      </c>
      <c r="D37" t="s">
        <v>5375</v>
      </c>
      <c r="F37" t="s">
        <v>5583</v>
      </c>
      <c r="G37" t="s">
        <v>5583</v>
      </c>
    </row>
    <row r="38" spans="1:7">
      <c r="A38" t="s">
        <v>5407</v>
      </c>
      <c r="B38" t="s">
        <v>5582</v>
      </c>
      <c r="C38" t="s">
        <v>5581</v>
      </c>
      <c r="D38" t="s">
        <v>5371</v>
      </c>
      <c r="F38" t="s">
        <v>5580</v>
      </c>
      <c r="G38" t="s">
        <v>5580</v>
      </c>
    </row>
    <row r="39" spans="1:7">
      <c r="A39" t="s">
        <v>5373</v>
      </c>
      <c r="B39" t="s">
        <v>5577</v>
      </c>
      <c r="C39" t="s">
        <v>5579</v>
      </c>
      <c r="D39" t="s">
        <v>5579</v>
      </c>
      <c r="F39" t="s">
        <v>5578</v>
      </c>
      <c r="G39" t="s">
        <v>5578</v>
      </c>
    </row>
    <row r="40" spans="1:7">
      <c r="A40" t="s">
        <v>5373</v>
      </c>
      <c r="B40" t="s">
        <v>5577</v>
      </c>
      <c r="C40" t="s">
        <v>5576</v>
      </c>
      <c r="D40" t="s">
        <v>5576</v>
      </c>
      <c r="F40" t="s">
        <v>5575</v>
      </c>
      <c r="G40" t="s">
        <v>5575</v>
      </c>
    </row>
    <row r="41" spans="1:7">
      <c r="A41" t="s">
        <v>5373</v>
      </c>
      <c r="B41" t="s">
        <v>5572</v>
      </c>
      <c r="C41" t="s">
        <v>5574</v>
      </c>
      <c r="D41" t="s">
        <v>5574</v>
      </c>
      <c r="F41" t="s">
        <v>5573</v>
      </c>
      <c r="G41" t="s">
        <v>5573</v>
      </c>
    </row>
    <row r="42" spans="1:7">
      <c r="A42" t="s">
        <v>5373</v>
      </c>
      <c r="B42" t="s">
        <v>5572</v>
      </c>
      <c r="C42" t="s">
        <v>5571</v>
      </c>
      <c r="D42" t="s">
        <v>5571</v>
      </c>
      <c r="F42" t="s">
        <v>5570</v>
      </c>
      <c r="G42" t="s">
        <v>5570</v>
      </c>
    </row>
    <row r="43" spans="1:7">
      <c r="A43" t="s">
        <v>5373</v>
      </c>
      <c r="B43" t="s">
        <v>5567</v>
      </c>
      <c r="C43" t="s">
        <v>1432</v>
      </c>
      <c r="D43" t="s">
        <v>1432</v>
      </c>
      <c r="F43" t="s">
        <v>5569</v>
      </c>
      <c r="G43" t="s">
        <v>5569</v>
      </c>
    </row>
    <row r="44" spans="1:7">
      <c r="A44" t="s">
        <v>5373</v>
      </c>
      <c r="B44" t="s">
        <v>5567</v>
      </c>
      <c r="C44" t="s">
        <v>1424</v>
      </c>
      <c r="D44" t="s">
        <v>1424</v>
      </c>
      <c r="F44" t="s">
        <v>5568</v>
      </c>
      <c r="G44" t="s">
        <v>5568</v>
      </c>
    </row>
    <row r="45" spans="1:7">
      <c r="A45" t="s">
        <v>5373</v>
      </c>
      <c r="B45" t="s">
        <v>5567</v>
      </c>
      <c r="C45" t="s">
        <v>1416</v>
      </c>
      <c r="D45" t="s">
        <v>1416</v>
      </c>
      <c r="F45" t="s">
        <v>5566</v>
      </c>
      <c r="G45" t="s">
        <v>5566</v>
      </c>
    </row>
    <row r="46" spans="1:7">
      <c r="A46" t="s">
        <v>5373</v>
      </c>
      <c r="B46" t="s">
        <v>5564</v>
      </c>
      <c r="C46" t="b">
        <v>0</v>
      </c>
      <c r="D46" t="s">
        <v>5375</v>
      </c>
      <c r="F46" t="s">
        <v>5565</v>
      </c>
      <c r="G46" t="s">
        <v>5565</v>
      </c>
    </row>
    <row r="47" spans="1:7">
      <c r="A47" t="s">
        <v>5373</v>
      </c>
      <c r="B47" t="s">
        <v>5564</v>
      </c>
      <c r="C47" t="b">
        <v>1</v>
      </c>
      <c r="D47" t="s">
        <v>5371</v>
      </c>
      <c r="F47" t="s">
        <v>5563</v>
      </c>
      <c r="G47" t="s">
        <v>5563</v>
      </c>
    </row>
    <row r="48" spans="1:7">
      <c r="A48" t="s">
        <v>5373</v>
      </c>
      <c r="B48" t="s">
        <v>5561</v>
      </c>
      <c r="C48" t="b">
        <v>0</v>
      </c>
      <c r="D48" t="s">
        <v>5375</v>
      </c>
      <c r="F48" t="s">
        <v>5562</v>
      </c>
      <c r="G48" t="s">
        <v>5562</v>
      </c>
    </row>
    <row r="49" spans="1:8">
      <c r="A49" t="s">
        <v>5373</v>
      </c>
      <c r="B49" t="s">
        <v>5561</v>
      </c>
      <c r="C49" t="b">
        <v>1</v>
      </c>
      <c r="D49" t="s">
        <v>5371</v>
      </c>
      <c r="F49" t="s">
        <v>5560</v>
      </c>
      <c r="G49" t="s">
        <v>5560</v>
      </c>
    </row>
    <row r="50" spans="1:8">
      <c r="A50" t="s">
        <v>5407</v>
      </c>
      <c r="B50" t="s">
        <v>5558</v>
      </c>
      <c r="C50" t="b">
        <v>0</v>
      </c>
      <c r="D50" t="s">
        <v>5375</v>
      </c>
      <c r="F50" t="s">
        <v>5559</v>
      </c>
      <c r="G50" t="s">
        <v>5559</v>
      </c>
    </row>
    <row r="51" spans="1:8">
      <c r="A51" t="s">
        <v>5407</v>
      </c>
      <c r="B51" t="s">
        <v>5558</v>
      </c>
      <c r="C51" t="b">
        <v>1</v>
      </c>
      <c r="D51" t="s">
        <v>5371</v>
      </c>
      <c r="F51" t="s">
        <v>5557</v>
      </c>
      <c r="G51" t="s">
        <v>5557</v>
      </c>
    </row>
    <row r="52" spans="1:8">
      <c r="A52" t="s">
        <v>5407</v>
      </c>
      <c r="B52" t="s">
        <v>5555</v>
      </c>
      <c r="C52" t="s">
        <v>5422</v>
      </c>
      <c r="D52" t="s">
        <v>5421</v>
      </c>
      <c r="E52" s="36">
        <v>2</v>
      </c>
      <c r="F52" t="s">
        <v>5556</v>
      </c>
      <c r="G52" t="s">
        <v>5556</v>
      </c>
      <c r="H52" t="s">
        <v>5420</v>
      </c>
    </row>
    <row r="53" spans="1:8">
      <c r="A53" t="s">
        <v>5407</v>
      </c>
      <c r="B53" t="s">
        <v>5555</v>
      </c>
      <c r="C53" t="s">
        <v>5554</v>
      </c>
      <c r="D53" t="s">
        <v>5553</v>
      </c>
      <c r="E53" s="36">
        <v>1</v>
      </c>
      <c r="F53" t="s">
        <v>5552</v>
      </c>
      <c r="G53" t="s">
        <v>5552</v>
      </c>
      <c r="H53" t="s">
        <v>5551</v>
      </c>
    </row>
    <row r="54" spans="1:8">
      <c r="A54" t="s">
        <v>5407</v>
      </c>
      <c r="B54" t="s">
        <v>40</v>
      </c>
      <c r="C54" t="s">
        <v>43</v>
      </c>
      <c r="D54" t="s">
        <v>564</v>
      </c>
      <c r="F54" t="s">
        <v>43</v>
      </c>
      <c r="G54" t="s">
        <v>43</v>
      </c>
      <c r="H54" t="s">
        <v>1008</v>
      </c>
    </row>
    <row r="55" spans="1:8">
      <c r="A55" t="s">
        <v>5407</v>
      </c>
      <c r="B55" t="s">
        <v>40</v>
      </c>
      <c r="C55" t="s">
        <v>39</v>
      </c>
      <c r="D55" t="s">
        <v>30</v>
      </c>
      <c r="F55" t="s">
        <v>39</v>
      </c>
      <c r="G55" t="s">
        <v>39</v>
      </c>
      <c r="H55" t="s">
        <v>5550</v>
      </c>
    </row>
    <row r="56" spans="1:8">
      <c r="A56" t="s">
        <v>5407</v>
      </c>
      <c r="B56" t="s">
        <v>40</v>
      </c>
      <c r="C56" t="s">
        <v>537</v>
      </c>
      <c r="D56" t="s">
        <v>527</v>
      </c>
      <c r="F56" t="s">
        <v>537</v>
      </c>
      <c r="G56" t="s">
        <v>537</v>
      </c>
      <c r="H56" t="s">
        <v>1003</v>
      </c>
    </row>
    <row r="57" spans="1:8">
      <c r="A57" t="s">
        <v>5407</v>
      </c>
      <c r="B57" t="s">
        <v>40</v>
      </c>
      <c r="C57" t="s">
        <v>47</v>
      </c>
      <c r="D57" t="s">
        <v>46</v>
      </c>
      <c r="F57" t="s">
        <v>47</v>
      </c>
      <c r="G57" t="s">
        <v>47</v>
      </c>
      <c r="H57" t="s">
        <v>875</v>
      </c>
    </row>
    <row r="58" spans="1:8">
      <c r="A58" t="s">
        <v>5407</v>
      </c>
      <c r="B58" t="s">
        <v>40</v>
      </c>
      <c r="C58" t="s">
        <v>45</v>
      </c>
      <c r="D58" t="s">
        <v>44</v>
      </c>
      <c r="F58" t="s">
        <v>45</v>
      </c>
      <c r="G58" t="s">
        <v>45</v>
      </c>
      <c r="H58" t="s">
        <v>816</v>
      </c>
    </row>
    <row r="59" spans="1:8">
      <c r="A59" t="s">
        <v>5407</v>
      </c>
      <c r="B59" t="s">
        <v>40</v>
      </c>
      <c r="C59" t="s">
        <v>48</v>
      </c>
      <c r="D59" t="s">
        <v>35</v>
      </c>
      <c r="F59" t="s">
        <v>48</v>
      </c>
      <c r="G59" t="s">
        <v>48</v>
      </c>
      <c r="H59" t="s">
        <v>4583</v>
      </c>
    </row>
    <row r="60" spans="1:8">
      <c r="A60" t="s">
        <v>5407</v>
      </c>
      <c r="B60" t="s">
        <v>40</v>
      </c>
      <c r="C60" t="s">
        <v>49</v>
      </c>
      <c r="D60" t="s">
        <v>37</v>
      </c>
      <c r="F60" t="s">
        <v>49</v>
      </c>
      <c r="G60" t="s">
        <v>49</v>
      </c>
      <c r="H60" t="s">
        <v>5549</v>
      </c>
    </row>
    <row r="61" spans="1:8">
      <c r="A61" t="s">
        <v>5407</v>
      </c>
      <c r="B61" t="s">
        <v>40</v>
      </c>
      <c r="C61" t="s">
        <v>5548</v>
      </c>
      <c r="D61" t="s">
        <v>5438</v>
      </c>
      <c r="F61" t="s">
        <v>5548</v>
      </c>
      <c r="G61" t="s">
        <v>5548</v>
      </c>
      <c r="H61" t="s">
        <v>5435</v>
      </c>
    </row>
    <row r="62" spans="1:8">
      <c r="A62" t="s">
        <v>5407</v>
      </c>
      <c r="B62" t="s">
        <v>40</v>
      </c>
      <c r="C62" t="s">
        <v>42</v>
      </c>
      <c r="D62" t="s">
        <v>41</v>
      </c>
      <c r="F62" t="s">
        <v>42</v>
      </c>
      <c r="G62" t="s">
        <v>42</v>
      </c>
      <c r="H62" t="s">
        <v>880</v>
      </c>
    </row>
    <row r="63" spans="1:8">
      <c r="A63" t="s">
        <v>5373</v>
      </c>
      <c r="B63" t="s">
        <v>464</v>
      </c>
      <c r="C63" t="b">
        <v>0</v>
      </c>
      <c r="D63" t="s">
        <v>5375</v>
      </c>
      <c r="F63" t="s">
        <v>5547</v>
      </c>
      <c r="G63" t="s">
        <v>5547</v>
      </c>
    </row>
    <row r="64" spans="1:8">
      <c r="A64" t="s">
        <v>5373</v>
      </c>
      <c r="B64" t="s">
        <v>464</v>
      </c>
      <c r="C64" t="b">
        <v>1</v>
      </c>
      <c r="D64" t="s">
        <v>5371</v>
      </c>
      <c r="F64" t="s">
        <v>5546</v>
      </c>
      <c r="G64" t="s">
        <v>5546</v>
      </c>
    </row>
    <row r="65" spans="1:7">
      <c r="A65" t="s">
        <v>5407</v>
      </c>
      <c r="B65" t="s">
        <v>5543</v>
      </c>
      <c r="C65" t="s">
        <v>5439</v>
      </c>
      <c r="D65" t="s">
        <v>5476</v>
      </c>
      <c r="F65" t="s">
        <v>5545</v>
      </c>
      <c r="G65" t="s">
        <v>5545</v>
      </c>
    </row>
    <row r="66" spans="1:7">
      <c r="A66" t="s">
        <v>5407</v>
      </c>
      <c r="B66" t="s">
        <v>5543</v>
      </c>
      <c r="C66" t="s">
        <v>5474</v>
      </c>
      <c r="D66" t="s">
        <v>5375</v>
      </c>
      <c r="F66" t="s">
        <v>5544</v>
      </c>
      <c r="G66" t="s">
        <v>5544</v>
      </c>
    </row>
    <row r="67" spans="1:7">
      <c r="A67" t="s">
        <v>5407</v>
      </c>
      <c r="B67" t="s">
        <v>5543</v>
      </c>
      <c r="C67" t="s">
        <v>5471</v>
      </c>
      <c r="D67" t="s">
        <v>5371</v>
      </c>
      <c r="F67" t="s">
        <v>5542</v>
      </c>
      <c r="G67" t="s">
        <v>5542</v>
      </c>
    </row>
    <row r="68" spans="1:7">
      <c r="A68" t="s">
        <v>5373</v>
      </c>
      <c r="B68" t="s">
        <v>5538</v>
      </c>
      <c r="C68" t="s">
        <v>5536</v>
      </c>
      <c r="D68" t="s">
        <v>5541</v>
      </c>
      <c r="F68" t="s">
        <v>5533</v>
      </c>
      <c r="G68" t="s">
        <v>5533</v>
      </c>
    </row>
    <row r="69" spans="1:7">
      <c r="A69" t="s">
        <v>5373</v>
      </c>
      <c r="B69" t="s">
        <v>5538</v>
      </c>
      <c r="C69" t="s">
        <v>5532</v>
      </c>
      <c r="D69" t="s">
        <v>5540</v>
      </c>
      <c r="F69" t="s">
        <v>5529</v>
      </c>
      <c r="G69" t="s">
        <v>5529</v>
      </c>
    </row>
    <row r="70" spans="1:7">
      <c r="A70" t="s">
        <v>5373</v>
      </c>
      <c r="B70" t="s">
        <v>5538</v>
      </c>
      <c r="C70" t="s">
        <v>5439</v>
      </c>
      <c r="D70" t="s">
        <v>5476</v>
      </c>
      <c r="F70" t="s">
        <v>5539</v>
      </c>
      <c r="G70" t="s">
        <v>5539</v>
      </c>
    </row>
    <row r="71" spans="1:7">
      <c r="A71" t="s">
        <v>5373</v>
      </c>
      <c r="B71" t="s">
        <v>5538</v>
      </c>
      <c r="C71" t="s">
        <v>5528</v>
      </c>
      <c r="D71" t="s">
        <v>5537</v>
      </c>
      <c r="F71" t="s">
        <v>5525</v>
      </c>
      <c r="G71" t="s">
        <v>5525</v>
      </c>
    </row>
    <row r="72" spans="1:7">
      <c r="A72" t="s">
        <v>5373</v>
      </c>
      <c r="B72" t="s">
        <v>5524</v>
      </c>
      <c r="C72" t="s">
        <v>5536</v>
      </c>
      <c r="D72" t="s">
        <v>5535</v>
      </c>
      <c r="F72" t="s">
        <v>5534</v>
      </c>
      <c r="G72" t="s">
        <v>5533</v>
      </c>
    </row>
    <row r="73" spans="1:7">
      <c r="A73" t="s">
        <v>5373</v>
      </c>
      <c r="B73" t="s">
        <v>5524</v>
      </c>
      <c r="C73" t="s">
        <v>5532</v>
      </c>
      <c r="D73" t="s">
        <v>5531</v>
      </c>
      <c r="F73" t="s">
        <v>5530</v>
      </c>
      <c r="G73" t="s">
        <v>5529</v>
      </c>
    </row>
    <row r="74" spans="1:7">
      <c r="A74" t="s">
        <v>5373</v>
      </c>
      <c r="B74" t="s">
        <v>5524</v>
      </c>
      <c r="C74" t="s">
        <v>5528</v>
      </c>
      <c r="D74" t="s">
        <v>5527</v>
      </c>
      <c r="F74" t="s">
        <v>5526</v>
      </c>
      <c r="G74" t="s">
        <v>5525</v>
      </c>
    </row>
    <row r="75" spans="1:7">
      <c r="A75" t="s">
        <v>5373</v>
      </c>
      <c r="B75" t="s">
        <v>5524</v>
      </c>
      <c r="C75" t="s">
        <v>5523</v>
      </c>
      <c r="D75" t="s">
        <v>5522</v>
      </c>
      <c r="F75" t="s">
        <v>5521</v>
      </c>
      <c r="G75" t="s">
        <v>5520</v>
      </c>
    </row>
    <row r="76" spans="1:7">
      <c r="A76" t="s">
        <v>5373</v>
      </c>
      <c r="B76" t="s">
        <v>5517</v>
      </c>
      <c r="C76" t="s">
        <v>5439</v>
      </c>
      <c r="D76" t="s">
        <v>5476</v>
      </c>
      <c r="F76" t="s">
        <v>5519</v>
      </c>
      <c r="G76" t="s">
        <v>5519</v>
      </c>
    </row>
    <row r="77" spans="1:7">
      <c r="A77" t="s">
        <v>5373</v>
      </c>
      <c r="B77" t="s">
        <v>5517</v>
      </c>
      <c r="C77" t="s">
        <v>5474</v>
      </c>
      <c r="D77" t="s">
        <v>5375</v>
      </c>
      <c r="F77" t="s">
        <v>5518</v>
      </c>
      <c r="G77" t="s">
        <v>5518</v>
      </c>
    </row>
    <row r="78" spans="1:7">
      <c r="A78" t="s">
        <v>5373</v>
      </c>
      <c r="B78" t="s">
        <v>5517</v>
      </c>
      <c r="C78" t="s">
        <v>5471</v>
      </c>
      <c r="D78" t="s">
        <v>5371</v>
      </c>
      <c r="F78" t="s">
        <v>5516</v>
      </c>
      <c r="G78" t="s">
        <v>5516</v>
      </c>
    </row>
    <row r="79" spans="1:7">
      <c r="A79" t="s">
        <v>5373</v>
      </c>
      <c r="B79" t="s">
        <v>5514</v>
      </c>
      <c r="C79" t="b">
        <v>0</v>
      </c>
      <c r="D79" t="s">
        <v>5375</v>
      </c>
      <c r="F79" t="s">
        <v>5515</v>
      </c>
      <c r="G79" t="s">
        <v>5515</v>
      </c>
    </row>
    <row r="80" spans="1:7">
      <c r="A80" t="s">
        <v>5373</v>
      </c>
      <c r="B80" t="s">
        <v>5514</v>
      </c>
      <c r="C80" t="b">
        <v>1</v>
      </c>
      <c r="D80" t="s">
        <v>5371</v>
      </c>
      <c r="F80" t="s">
        <v>5513</v>
      </c>
      <c r="G80" t="s">
        <v>5513</v>
      </c>
    </row>
    <row r="81" spans="1:8">
      <c r="A81" t="s">
        <v>5373</v>
      </c>
      <c r="B81" t="s">
        <v>5510</v>
      </c>
      <c r="C81" t="s">
        <v>5439</v>
      </c>
      <c r="D81" t="s">
        <v>5476</v>
      </c>
      <c r="F81" t="s">
        <v>5512</v>
      </c>
      <c r="G81" t="s">
        <v>5512</v>
      </c>
    </row>
    <row r="82" spans="1:8">
      <c r="A82" t="s">
        <v>5373</v>
      </c>
      <c r="B82" t="s">
        <v>5510</v>
      </c>
      <c r="C82" t="s">
        <v>5474</v>
      </c>
      <c r="D82" t="s">
        <v>5375</v>
      </c>
      <c r="F82" t="s">
        <v>5511</v>
      </c>
      <c r="G82" t="s">
        <v>5511</v>
      </c>
    </row>
    <row r="83" spans="1:8">
      <c r="A83" t="s">
        <v>5373</v>
      </c>
      <c r="B83" t="s">
        <v>5510</v>
      </c>
      <c r="C83" t="s">
        <v>5471</v>
      </c>
      <c r="D83" t="s">
        <v>5371</v>
      </c>
      <c r="F83" t="s">
        <v>5509</v>
      </c>
      <c r="G83" t="s">
        <v>5509</v>
      </c>
    </row>
    <row r="84" spans="1:8">
      <c r="A84" t="s">
        <v>5407</v>
      </c>
      <c r="B84" t="s">
        <v>5508</v>
      </c>
      <c r="C84" t="s">
        <v>5501</v>
      </c>
      <c r="D84" t="s">
        <v>5500</v>
      </c>
      <c r="F84" t="s">
        <v>5498</v>
      </c>
      <c r="G84" t="s">
        <v>5498</v>
      </c>
      <c r="H84" t="s">
        <v>5497</v>
      </c>
    </row>
    <row r="85" spans="1:8">
      <c r="A85" t="s">
        <v>5407</v>
      </c>
      <c r="B85" t="s">
        <v>5508</v>
      </c>
      <c r="C85" t="s">
        <v>5496</v>
      </c>
      <c r="D85" t="s">
        <v>5495</v>
      </c>
      <c r="F85" t="s">
        <v>5493</v>
      </c>
      <c r="G85" t="s">
        <v>5493</v>
      </c>
      <c r="H85" t="s">
        <v>5492</v>
      </c>
    </row>
    <row r="86" spans="1:8">
      <c r="A86" t="s">
        <v>5407</v>
      </c>
      <c r="B86" t="s">
        <v>5508</v>
      </c>
      <c r="C86" t="s">
        <v>5425</v>
      </c>
      <c r="D86" t="s">
        <v>5424</v>
      </c>
      <c r="F86" t="s">
        <v>5490</v>
      </c>
      <c r="G86" t="s">
        <v>5490</v>
      </c>
      <c r="H86" t="s">
        <v>5423</v>
      </c>
    </row>
    <row r="87" spans="1:8">
      <c r="A87" t="s">
        <v>5407</v>
      </c>
      <c r="B87" t="s">
        <v>5508</v>
      </c>
      <c r="C87" t="s">
        <v>5422</v>
      </c>
      <c r="D87" t="s">
        <v>5421</v>
      </c>
      <c r="F87" t="s">
        <v>5488</v>
      </c>
      <c r="G87" t="s">
        <v>5488</v>
      </c>
      <c r="H87" t="s">
        <v>5420</v>
      </c>
    </row>
    <row r="88" spans="1:8">
      <c r="A88" t="s">
        <v>5407</v>
      </c>
      <c r="B88" t="s">
        <v>5508</v>
      </c>
      <c r="C88" t="s">
        <v>5439</v>
      </c>
      <c r="D88" t="s">
        <v>5438</v>
      </c>
      <c r="F88" t="s">
        <v>5485</v>
      </c>
      <c r="G88" t="s">
        <v>5485</v>
      </c>
      <c r="H88" t="s">
        <v>5435</v>
      </c>
    </row>
    <row r="89" spans="1:8">
      <c r="A89" t="s">
        <v>5407</v>
      </c>
      <c r="B89" t="s">
        <v>5503</v>
      </c>
      <c r="C89" t="s">
        <v>5501</v>
      </c>
      <c r="D89" t="s">
        <v>5500</v>
      </c>
      <c r="F89" t="s">
        <v>5507</v>
      </c>
      <c r="G89" t="s">
        <v>5498</v>
      </c>
      <c r="H89" t="s">
        <v>5497</v>
      </c>
    </row>
    <row r="90" spans="1:8">
      <c r="A90" t="s">
        <v>5407</v>
      </c>
      <c r="B90" t="s">
        <v>5503</v>
      </c>
      <c r="C90" t="s">
        <v>5496</v>
      </c>
      <c r="D90" t="s">
        <v>5495</v>
      </c>
      <c r="F90" t="s">
        <v>5506</v>
      </c>
      <c r="G90" t="s">
        <v>5493</v>
      </c>
      <c r="H90" t="s">
        <v>5492</v>
      </c>
    </row>
    <row r="91" spans="1:8">
      <c r="A91" t="s">
        <v>5407</v>
      </c>
      <c r="B91" t="s">
        <v>5503</v>
      </c>
      <c r="C91" t="s">
        <v>5425</v>
      </c>
      <c r="D91" t="s">
        <v>5424</v>
      </c>
      <c r="F91" t="s">
        <v>5505</v>
      </c>
      <c r="G91" t="s">
        <v>5490</v>
      </c>
      <c r="H91" t="s">
        <v>5423</v>
      </c>
    </row>
    <row r="92" spans="1:8">
      <c r="A92" t="s">
        <v>5407</v>
      </c>
      <c r="B92" t="s">
        <v>5503</v>
      </c>
      <c r="C92" t="s">
        <v>5422</v>
      </c>
      <c r="D92" t="s">
        <v>5421</v>
      </c>
      <c r="F92" t="s">
        <v>5504</v>
      </c>
      <c r="G92" t="s">
        <v>5488</v>
      </c>
      <c r="H92" t="s">
        <v>5420</v>
      </c>
    </row>
    <row r="93" spans="1:8">
      <c r="A93" t="s">
        <v>5407</v>
      </c>
      <c r="B93" t="s">
        <v>5503</v>
      </c>
      <c r="C93" t="s">
        <v>5439</v>
      </c>
      <c r="D93" t="s">
        <v>5438</v>
      </c>
      <c r="F93" t="s">
        <v>5502</v>
      </c>
      <c r="G93" t="s">
        <v>5485</v>
      </c>
      <c r="H93" t="s">
        <v>5435</v>
      </c>
    </row>
    <row r="94" spans="1:8">
      <c r="A94" t="s">
        <v>5407</v>
      </c>
      <c r="B94" t="s">
        <v>5487</v>
      </c>
      <c r="C94" t="s">
        <v>5501</v>
      </c>
      <c r="D94" t="s">
        <v>5500</v>
      </c>
      <c r="F94" t="s">
        <v>5499</v>
      </c>
      <c r="G94" t="s">
        <v>5498</v>
      </c>
      <c r="H94" t="s">
        <v>5497</v>
      </c>
    </row>
    <row r="95" spans="1:8">
      <c r="A95" t="s">
        <v>5407</v>
      </c>
      <c r="B95" t="s">
        <v>5487</v>
      </c>
      <c r="C95" t="s">
        <v>5496</v>
      </c>
      <c r="D95" t="s">
        <v>5495</v>
      </c>
      <c r="F95" t="s">
        <v>5494</v>
      </c>
      <c r="G95" t="s">
        <v>5493</v>
      </c>
      <c r="H95" t="s">
        <v>5492</v>
      </c>
    </row>
    <row r="96" spans="1:8">
      <c r="A96" t="s">
        <v>5407</v>
      </c>
      <c r="B96" t="s">
        <v>5487</v>
      </c>
      <c r="C96" t="s">
        <v>5425</v>
      </c>
      <c r="D96" t="s">
        <v>5424</v>
      </c>
      <c r="F96" t="s">
        <v>5491</v>
      </c>
      <c r="G96" t="s">
        <v>5490</v>
      </c>
      <c r="H96" t="s">
        <v>5423</v>
      </c>
    </row>
    <row r="97" spans="1:8">
      <c r="A97" t="s">
        <v>5407</v>
      </c>
      <c r="B97" t="s">
        <v>5487</v>
      </c>
      <c r="C97" t="s">
        <v>5422</v>
      </c>
      <c r="D97" t="s">
        <v>5421</v>
      </c>
      <c r="F97" t="s">
        <v>5489</v>
      </c>
      <c r="G97" t="s">
        <v>5488</v>
      </c>
      <c r="H97" t="s">
        <v>5420</v>
      </c>
    </row>
    <row r="98" spans="1:8">
      <c r="A98" t="s">
        <v>5407</v>
      </c>
      <c r="B98" t="s">
        <v>5487</v>
      </c>
      <c r="C98" t="s">
        <v>5439</v>
      </c>
      <c r="D98" t="s">
        <v>5438</v>
      </c>
      <c r="F98" t="s">
        <v>5486</v>
      </c>
      <c r="G98" t="s">
        <v>5485</v>
      </c>
      <c r="H98" t="s">
        <v>5435</v>
      </c>
    </row>
    <row r="99" spans="1:8">
      <c r="A99" t="s">
        <v>5407</v>
      </c>
      <c r="B99" t="s">
        <v>5480</v>
      </c>
      <c r="C99" t="s">
        <v>5439</v>
      </c>
      <c r="D99" t="s">
        <v>5476</v>
      </c>
      <c r="F99" t="s">
        <v>5484</v>
      </c>
      <c r="G99" t="s">
        <v>5484</v>
      </c>
    </row>
    <row r="100" spans="1:8">
      <c r="A100" t="s">
        <v>5407</v>
      </c>
      <c r="B100" t="s">
        <v>5480</v>
      </c>
      <c r="C100" t="s">
        <v>5483</v>
      </c>
      <c r="D100" t="s">
        <v>5482</v>
      </c>
      <c r="F100" t="s">
        <v>5481</v>
      </c>
      <c r="G100" t="s">
        <v>5481</v>
      </c>
    </row>
    <row r="101" spans="1:8">
      <c r="A101" t="s">
        <v>5407</v>
      </c>
      <c r="B101" t="s">
        <v>5480</v>
      </c>
      <c r="C101" t="s">
        <v>5479</v>
      </c>
      <c r="D101" t="s">
        <v>5478</v>
      </c>
      <c r="F101" t="s">
        <v>5477</v>
      </c>
      <c r="G101" t="s">
        <v>5477</v>
      </c>
    </row>
    <row r="102" spans="1:8">
      <c r="A102" t="s">
        <v>5373</v>
      </c>
      <c r="B102" t="s">
        <v>5472</v>
      </c>
      <c r="C102" t="s">
        <v>5439</v>
      </c>
      <c r="D102" t="s">
        <v>5476</v>
      </c>
      <c r="F102" t="s">
        <v>5475</v>
      </c>
      <c r="G102" t="s">
        <v>5475</v>
      </c>
    </row>
    <row r="103" spans="1:8">
      <c r="A103" t="s">
        <v>5373</v>
      </c>
      <c r="B103" t="s">
        <v>5472</v>
      </c>
      <c r="C103" t="s">
        <v>5474</v>
      </c>
      <c r="D103" t="s">
        <v>5375</v>
      </c>
      <c r="F103" t="s">
        <v>5473</v>
      </c>
      <c r="G103" t="s">
        <v>5473</v>
      </c>
    </row>
    <row r="104" spans="1:8">
      <c r="A104" t="s">
        <v>5373</v>
      </c>
      <c r="B104" t="s">
        <v>5472</v>
      </c>
      <c r="C104" t="s">
        <v>5471</v>
      </c>
      <c r="D104" t="s">
        <v>5371</v>
      </c>
      <c r="F104" t="s">
        <v>5470</v>
      </c>
      <c r="G104" t="s">
        <v>5470</v>
      </c>
    </row>
    <row r="105" spans="1:8">
      <c r="A105" t="s">
        <v>5407</v>
      </c>
      <c r="B105" t="s">
        <v>458</v>
      </c>
      <c r="C105" t="s">
        <v>5456</v>
      </c>
      <c r="D105" t="s">
        <v>5455</v>
      </c>
      <c r="E105" s="36">
        <v>1</v>
      </c>
      <c r="F105" t="s">
        <v>5469</v>
      </c>
      <c r="G105" t="s">
        <v>5469</v>
      </c>
      <c r="H105" t="s">
        <v>5452</v>
      </c>
    </row>
    <row r="106" spans="1:8">
      <c r="A106" t="s">
        <v>5407</v>
      </c>
      <c r="B106" t="s">
        <v>458</v>
      </c>
      <c r="C106" t="s">
        <v>5451</v>
      </c>
      <c r="D106" t="s">
        <v>5450</v>
      </c>
      <c r="E106" s="36">
        <v>2</v>
      </c>
      <c r="F106" t="s">
        <v>5468</v>
      </c>
      <c r="G106" t="s">
        <v>5468</v>
      </c>
      <c r="H106" t="s">
        <v>5447</v>
      </c>
    </row>
    <row r="107" spans="1:8">
      <c r="A107" t="s">
        <v>5407</v>
      </c>
      <c r="B107" t="s">
        <v>458</v>
      </c>
      <c r="C107" t="s">
        <v>5422</v>
      </c>
      <c r="D107" t="s">
        <v>5421</v>
      </c>
      <c r="E107" s="36">
        <v>5</v>
      </c>
      <c r="F107" t="s">
        <v>5467</v>
      </c>
      <c r="G107" t="s">
        <v>5467</v>
      </c>
      <c r="H107" t="s">
        <v>5420</v>
      </c>
    </row>
    <row r="108" spans="1:8">
      <c r="A108" t="s">
        <v>5407</v>
      </c>
      <c r="B108" t="s">
        <v>458</v>
      </c>
      <c r="C108" t="s">
        <v>5444</v>
      </c>
      <c r="D108" t="s">
        <v>5443</v>
      </c>
      <c r="E108" s="36">
        <v>3</v>
      </c>
      <c r="F108" t="s">
        <v>5466</v>
      </c>
      <c r="G108" t="s">
        <v>5466</v>
      </c>
      <c r="H108" t="s">
        <v>5440</v>
      </c>
    </row>
    <row r="109" spans="1:8">
      <c r="A109" t="s">
        <v>5407</v>
      </c>
      <c r="B109" t="s">
        <v>458</v>
      </c>
      <c r="C109" t="s">
        <v>5439</v>
      </c>
      <c r="D109" t="s">
        <v>5438</v>
      </c>
      <c r="E109" s="36">
        <v>6</v>
      </c>
      <c r="F109" t="s">
        <v>5465</v>
      </c>
      <c r="G109" t="s">
        <v>5465</v>
      </c>
      <c r="H109" t="s">
        <v>5435</v>
      </c>
    </row>
    <row r="110" spans="1:8">
      <c r="A110" t="s">
        <v>5407</v>
      </c>
      <c r="B110" t="s">
        <v>458</v>
      </c>
      <c r="C110" t="s">
        <v>5433</v>
      </c>
      <c r="D110" t="s">
        <v>5432</v>
      </c>
      <c r="E110" s="36">
        <v>4</v>
      </c>
      <c r="F110" t="s">
        <v>5464</v>
      </c>
      <c r="G110" t="s">
        <v>5464</v>
      </c>
      <c r="H110" t="s">
        <v>5429</v>
      </c>
    </row>
    <row r="111" spans="1:8">
      <c r="A111" t="s">
        <v>5407</v>
      </c>
      <c r="B111" t="s">
        <v>5458</v>
      </c>
      <c r="C111" t="s">
        <v>5456</v>
      </c>
      <c r="D111" t="s">
        <v>5455</v>
      </c>
      <c r="F111" t="s">
        <v>5463</v>
      </c>
      <c r="G111" t="s">
        <v>5453</v>
      </c>
      <c r="H111" t="s">
        <v>5452</v>
      </c>
    </row>
    <row r="112" spans="1:8">
      <c r="A112" t="s">
        <v>5407</v>
      </c>
      <c r="B112" t="s">
        <v>5458</v>
      </c>
      <c r="C112" t="s">
        <v>5451</v>
      </c>
      <c r="D112" t="s">
        <v>5450</v>
      </c>
      <c r="F112" t="s">
        <v>5462</v>
      </c>
      <c r="G112" t="s">
        <v>5448</v>
      </c>
      <c r="H112" t="s">
        <v>5447</v>
      </c>
    </row>
    <row r="113" spans="1:8">
      <c r="A113" t="s">
        <v>5407</v>
      </c>
      <c r="B113" t="s">
        <v>5458</v>
      </c>
      <c r="C113" t="s">
        <v>5422</v>
      </c>
      <c r="D113" t="s">
        <v>5421</v>
      </c>
      <c r="F113" t="s">
        <v>5461</v>
      </c>
      <c r="G113" t="s">
        <v>5445</v>
      </c>
      <c r="H113" t="s">
        <v>5420</v>
      </c>
    </row>
    <row r="114" spans="1:8">
      <c r="A114" t="s">
        <v>5407</v>
      </c>
      <c r="B114" t="s">
        <v>5458</v>
      </c>
      <c r="C114" t="s">
        <v>5444</v>
      </c>
      <c r="D114" t="s">
        <v>5443</v>
      </c>
      <c r="F114" t="s">
        <v>5460</v>
      </c>
      <c r="G114" t="s">
        <v>5441</v>
      </c>
      <c r="H114" t="s">
        <v>5440</v>
      </c>
    </row>
    <row r="115" spans="1:8">
      <c r="A115" t="s">
        <v>5407</v>
      </c>
      <c r="B115" t="s">
        <v>5458</v>
      </c>
      <c r="C115" t="s">
        <v>5439</v>
      </c>
      <c r="D115" t="s">
        <v>5438</v>
      </c>
      <c r="F115" t="s">
        <v>5459</v>
      </c>
      <c r="G115" t="s">
        <v>5436</v>
      </c>
      <c r="H115" t="s">
        <v>5435</v>
      </c>
    </row>
    <row r="116" spans="1:8">
      <c r="A116" t="s">
        <v>5407</v>
      </c>
      <c r="B116" t="s">
        <v>5458</v>
      </c>
      <c r="C116" t="s">
        <v>5433</v>
      </c>
      <c r="D116" t="s">
        <v>5432</v>
      </c>
      <c r="F116" t="s">
        <v>5457</v>
      </c>
      <c r="G116" t="s">
        <v>5430</v>
      </c>
      <c r="H116" t="s">
        <v>5429</v>
      </c>
    </row>
    <row r="117" spans="1:8">
      <c r="A117" t="s">
        <v>5407</v>
      </c>
      <c r="B117" t="s">
        <v>5434</v>
      </c>
      <c r="C117" t="s">
        <v>5456</v>
      </c>
      <c r="D117" t="s">
        <v>5455</v>
      </c>
      <c r="F117" t="s">
        <v>5454</v>
      </c>
      <c r="G117" t="s">
        <v>5453</v>
      </c>
      <c r="H117" t="s">
        <v>5452</v>
      </c>
    </row>
    <row r="118" spans="1:8">
      <c r="A118" t="s">
        <v>5407</v>
      </c>
      <c r="B118" t="s">
        <v>5434</v>
      </c>
      <c r="C118" t="s">
        <v>5451</v>
      </c>
      <c r="D118" t="s">
        <v>5450</v>
      </c>
      <c r="F118" t="s">
        <v>5449</v>
      </c>
      <c r="G118" t="s">
        <v>5448</v>
      </c>
      <c r="H118" t="s">
        <v>5447</v>
      </c>
    </row>
    <row r="119" spans="1:8">
      <c r="A119" t="s">
        <v>5407</v>
      </c>
      <c r="B119" t="s">
        <v>5434</v>
      </c>
      <c r="C119" t="s">
        <v>5422</v>
      </c>
      <c r="D119" t="s">
        <v>5421</v>
      </c>
      <c r="F119" t="s">
        <v>5446</v>
      </c>
      <c r="G119" t="s">
        <v>5445</v>
      </c>
      <c r="H119" t="s">
        <v>5420</v>
      </c>
    </row>
    <row r="120" spans="1:8">
      <c r="A120" t="s">
        <v>5407</v>
      </c>
      <c r="B120" t="s">
        <v>5434</v>
      </c>
      <c r="C120" t="s">
        <v>5444</v>
      </c>
      <c r="D120" t="s">
        <v>5443</v>
      </c>
      <c r="F120" t="s">
        <v>5442</v>
      </c>
      <c r="G120" t="s">
        <v>5441</v>
      </c>
      <c r="H120" t="s">
        <v>5440</v>
      </c>
    </row>
    <row r="121" spans="1:8">
      <c r="A121" t="s">
        <v>5407</v>
      </c>
      <c r="B121" t="s">
        <v>5434</v>
      </c>
      <c r="C121" t="s">
        <v>5439</v>
      </c>
      <c r="D121" t="s">
        <v>5438</v>
      </c>
      <c r="F121" t="s">
        <v>5437</v>
      </c>
      <c r="G121" t="s">
        <v>5436</v>
      </c>
      <c r="H121" t="s">
        <v>5435</v>
      </c>
    </row>
    <row r="122" spans="1:8">
      <c r="A122" t="s">
        <v>5407</v>
      </c>
      <c r="B122" t="s">
        <v>5434</v>
      </c>
      <c r="C122" t="s">
        <v>5433</v>
      </c>
      <c r="D122" t="s">
        <v>5432</v>
      </c>
      <c r="F122" t="s">
        <v>5431</v>
      </c>
      <c r="G122" t="s">
        <v>5430</v>
      </c>
      <c r="H122" t="s">
        <v>5429</v>
      </c>
    </row>
    <row r="123" spans="1:8">
      <c r="A123" t="s">
        <v>5407</v>
      </c>
      <c r="B123" t="s">
        <v>5419</v>
      </c>
      <c r="C123" t="s">
        <v>5428</v>
      </c>
      <c r="D123" t="s">
        <v>5427</v>
      </c>
      <c r="F123" t="s">
        <v>5426</v>
      </c>
      <c r="G123" t="s">
        <v>5426</v>
      </c>
      <c r="H123" t="s">
        <v>5665</v>
      </c>
    </row>
    <row r="124" spans="1:8">
      <c r="A124" t="s">
        <v>5407</v>
      </c>
      <c r="B124" t="s">
        <v>5419</v>
      </c>
      <c r="C124" t="s">
        <v>5425</v>
      </c>
      <c r="D124" t="s">
        <v>5424</v>
      </c>
      <c r="F124" t="s">
        <v>5666</v>
      </c>
      <c r="G124" t="s">
        <v>5666</v>
      </c>
      <c r="H124" t="s">
        <v>5423</v>
      </c>
    </row>
    <row r="125" spans="1:8">
      <c r="A125" t="s">
        <v>5407</v>
      </c>
      <c r="B125" t="s">
        <v>5419</v>
      </c>
      <c r="C125" t="s">
        <v>5422</v>
      </c>
      <c r="D125" t="s">
        <v>5421</v>
      </c>
      <c r="F125" t="s">
        <v>5667</v>
      </c>
      <c r="G125" t="s">
        <v>5667</v>
      </c>
      <c r="H125" t="s">
        <v>5420</v>
      </c>
    </row>
    <row r="126" spans="1:8">
      <c r="A126" t="s">
        <v>5407</v>
      </c>
      <c r="B126" t="s">
        <v>5419</v>
      </c>
      <c r="C126" t="s">
        <v>5418</v>
      </c>
      <c r="D126" t="s">
        <v>5417</v>
      </c>
      <c r="F126" t="s">
        <v>5416</v>
      </c>
      <c r="G126" t="s">
        <v>5416</v>
      </c>
      <c r="H126" t="s">
        <v>5415</v>
      </c>
    </row>
    <row r="127" spans="1:8">
      <c r="A127" t="s">
        <v>5407</v>
      </c>
      <c r="B127" t="s">
        <v>5406</v>
      </c>
      <c r="C127" t="s">
        <v>5414</v>
      </c>
      <c r="D127" t="s">
        <v>5413</v>
      </c>
      <c r="F127" t="s">
        <v>5412</v>
      </c>
      <c r="G127" t="s">
        <v>5412</v>
      </c>
      <c r="H127" t="s">
        <v>5411</v>
      </c>
    </row>
    <row r="128" spans="1:8">
      <c r="A128" t="s">
        <v>5407</v>
      </c>
      <c r="B128" t="s">
        <v>5406</v>
      </c>
      <c r="C128" t="s">
        <v>768</v>
      </c>
      <c r="D128" t="s">
        <v>5410</v>
      </c>
      <c r="F128" t="s">
        <v>5409</v>
      </c>
      <c r="G128" t="s">
        <v>5409</v>
      </c>
      <c r="H128" t="s">
        <v>5408</v>
      </c>
    </row>
    <row r="129" spans="1:8">
      <c r="A129" t="s">
        <v>5407</v>
      </c>
      <c r="B129" t="s">
        <v>5406</v>
      </c>
      <c r="C129" t="s">
        <v>5405</v>
      </c>
      <c r="D129" t="s">
        <v>5404</v>
      </c>
      <c r="F129" t="s">
        <v>5403</v>
      </c>
      <c r="G129" t="s">
        <v>5403</v>
      </c>
      <c r="H129" t="s">
        <v>5402</v>
      </c>
    </row>
    <row r="130" spans="1:8">
      <c r="A130" t="s">
        <v>5373</v>
      </c>
      <c r="B130" t="s">
        <v>5400</v>
      </c>
      <c r="C130" t="b">
        <v>0</v>
      </c>
      <c r="D130" t="s">
        <v>5375</v>
      </c>
      <c r="F130" t="s">
        <v>5401</v>
      </c>
      <c r="G130" t="s">
        <v>5401</v>
      </c>
    </row>
    <row r="131" spans="1:8">
      <c r="A131" t="s">
        <v>5373</v>
      </c>
      <c r="B131" t="s">
        <v>5400</v>
      </c>
      <c r="C131" t="b">
        <v>1</v>
      </c>
      <c r="D131" t="s">
        <v>5371</v>
      </c>
      <c r="F131" t="s">
        <v>5399</v>
      </c>
      <c r="G131" t="s">
        <v>5399</v>
      </c>
    </row>
    <row r="132" spans="1:8">
      <c r="A132" t="s">
        <v>5373</v>
      </c>
      <c r="B132" t="s">
        <v>5397</v>
      </c>
      <c r="C132" t="b">
        <v>0</v>
      </c>
      <c r="D132" t="s">
        <v>5375</v>
      </c>
      <c r="F132" t="s">
        <v>5398</v>
      </c>
      <c r="G132" t="s">
        <v>5398</v>
      </c>
    </row>
    <row r="133" spans="1:8">
      <c r="A133" t="s">
        <v>5373</v>
      </c>
      <c r="B133" t="s">
        <v>5397</v>
      </c>
      <c r="C133" t="b">
        <v>1</v>
      </c>
      <c r="D133" t="s">
        <v>5371</v>
      </c>
      <c r="F133" t="s">
        <v>5396</v>
      </c>
      <c r="G133" t="s">
        <v>5396</v>
      </c>
    </row>
    <row r="134" spans="1:8">
      <c r="A134" t="s">
        <v>5373</v>
      </c>
      <c r="B134" t="s">
        <v>5394</v>
      </c>
      <c r="C134" t="b">
        <v>0</v>
      </c>
      <c r="D134" t="s">
        <v>5375</v>
      </c>
      <c r="F134" t="s">
        <v>5395</v>
      </c>
      <c r="G134" t="s">
        <v>5395</v>
      </c>
    </row>
    <row r="135" spans="1:8">
      <c r="A135" t="s">
        <v>5373</v>
      </c>
      <c r="B135" t="s">
        <v>5394</v>
      </c>
      <c r="C135" t="b">
        <v>1</v>
      </c>
      <c r="D135" t="s">
        <v>5371</v>
      </c>
      <c r="F135" t="s">
        <v>5393</v>
      </c>
      <c r="G135" t="s">
        <v>5393</v>
      </c>
    </row>
    <row r="136" spans="1:8">
      <c r="A136" t="s">
        <v>5389</v>
      </c>
      <c r="B136" t="s">
        <v>5388</v>
      </c>
      <c r="C136" t="s">
        <v>5392</v>
      </c>
      <c r="D136" t="s">
        <v>5391</v>
      </c>
      <c r="F136" t="s">
        <v>5390</v>
      </c>
      <c r="G136" t="s">
        <v>5390</v>
      </c>
      <c r="H136" t="s">
        <v>984</v>
      </c>
    </row>
    <row r="137" spans="1:8">
      <c r="A137" t="s">
        <v>5389</v>
      </c>
      <c r="B137" t="s">
        <v>5388</v>
      </c>
      <c r="C137" t="s">
        <v>5387</v>
      </c>
      <c r="D137" t="s">
        <v>5386</v>
      </c>
      <c r="F137" t="s">
        <v>5385</v>
      </c>
      <c r="G137" t="s">
        <v>5385</v>
      </c>
      <c r="H137" t="s">
        <v>984</v>
      </c>
    </row>
    <row r="138" spans="1:8">
      <c r="A138" t="s">
        <v>5373</v>
      </c>
      <c r="B138" t="s">
        <v>5383</v>
      </c>
      <c r="C138" t="b">
        <v>0</v>
      </c>
      <c r="D138" t="s">
        <v>5375</v>
      </c>
      <c r="F138" t="s">
        <v>5384</v>
      </c>
      <c r="G138" t="s">
        <v>5384</v>
      </c>
    </row>
    <row r="139" spans="1:8">
      <c r="A139" t="s">
        <v>5373</v>
      </c>
      <c r="B139" t="s">
        <v>5383</v>
      </c>
      <c r="C139" t="b">
        <v>1</v>
      </c>
      <c r="D139" t="s">
        <v>5371</v>
      </c>
      <c r="F139" t="s">
        <v>5382</v>
      </c>
      <c r="G139" t="s">
        <v>5382</v>
      </c>
    </row>
    <row r="140" spans="1:8">
      <c r="A140" t="s">
        <v>5373</v>
      </c>
      <c r="B140" t="s">
        <v>5380</v>
      </c>
      <c r="C140" t="b">
        <v>0</v>
      </c>
      <c r="D140" t="s">
        <v>5375</v>
      </c>
      <c r="F140" t="s">
        <v>5381</v>
      </c>
      <c r="G140" t="s">
        <v>5381</v>
      </c>
    </row>
    <row r="141" spans="1:8">
      <c r="A141" t="s">
        <v>5373</v>
      </c>
      <c r="B141" t="s">
        <v>5380</v>
      </c>
      <c r="C141" t="b">
        <v>1</v>
      </c>
      <c r="D141" t="s">
        <v>5371</v>
      </c>
      <c r="F141" t="s">
        <v>5379</v>
      </c>
      <c r="G141" t="s">
        <v>5379</v>
      </c>
    </row>
    <row r="142" spans="1:8">
      <c r="A142" t="s">
        <v>5373</v>
      </c>
      <c r="B142" t="s">
        <v>5377</v>
      </c>
      <c r="C142" t="b">
        <v>0</v>
      </c>
      <c r="D142" t="s">
        <v>5375</v>
      </c>
      <c r="F142" t="s">
        <v>5378</v>
      </c>
      <c r="G142" t="s">
        <v>5378</v>
      </c>
    </row>
    <row r="143" spans="1:8">
      <c r="A143" t="s">
        <v>5373</v>
      </c>
      <c r="B143" t="s">
        <v>5377</v>
      </c>
      <c r="C143" t="b">
        <v>1</v>
      </c>
      <c r="D143" t="s">
        <v>5371</v>
      </c>
      <c r="F143" t="s">
        <v>5376</v>
      </c>
      <c r="G143" t="s">
        <v>5376</v>
      </c>
    </row>
    <row r="144" spans="1:8">
      <c r="A144" t="s">
        <v>5373</v>
      </c>
      <c r="B144" t="s">
        <v>5372</v>
      </c>
      <c r="C144" t="b">
        <v>0</v>
      </c>
      <c r="D144" t="s">
        <v>5375</v>
      </c>
      <c r="F144" t="s">
        <v>5374</v>
      </c>
      <c r="G144" t="s">
        <v>5374</v>
      </c>
    </row>
    <row r="145" spans="1:7">
      <c r="A145" t="s">
        <v>5373</v>
      </c>
      <c r="B145" t="s">
        <v>5372</v>
      </c>
      <c r="C145" t="b">
        <v>1</v>
      </c>
      <c r="D145" t="s">
        <v>5371</v>
      </c>
      <c r="F145" t="s">
        <v>5370</v>
      </c>
      <c r="G145" t="s">
        <v>5370</v>
      </c>
    </row>
  </sheetData>
  <autoFilter ref="A1:H145" xr:uid="{84B1E0CE-382E-4DA0-A29F-8FCDC95F128F}"/>
  <conditionalFormatting sqref="G63:G67">
    <cfRule type="duplicateValues" dxfId="36" priority="3"/>
  </conditionalFormatting>
  <conditionalFormatting sqref="G68:G71">
    <cfRule type="duplicateValues" dxfId="35" priority="2"/>
  </conditionalFormatting>
  <conditionalFormatting sqref="G75:G83">
    <cfRule type="duplicateValues" dxfId="34"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theme="6" tint="0.79998168889431442"/>
  </sheetPr>
  <dimension ref="A1:G88"/>
  <sheetViews>
    <sheetView workbookViewId="0">
      <selection activeCell="C71" sqref="C71"/>
    </sheetView>
  </sheetViews>
  <sheetFormatPr defaultRowHeight="14.25"/>
  <cols>
    <col min="1" max="1" width="90.375" customWidth="1"/>
    <col min="4" max="5" width="31.625" customWidth="1"/>
    <col min="6" max="6" width="43.875" customWidth="1"/>
  </cols>
  <sheetData>
    <row r="1" spans="1:7">
      <c r="A1" t="s">
        <v>5188</v>
      </c>
      <c r="B1" t="s">
        <v>5189</v>
      </c>
      <c r="C1" t="s">
        <v>5190</v>
      </c>
      <c r="D1" t="s">
        <v>5188</v>
      </c>
      <c r="E1" t="s">
        <v>5188</v>
      </c>
    </row>
    <row r="2" spans="1:7">
      <c r="A2" t="s">
        <v>1840</v>
      </c>
      <c r="D2" t="s">
        <v>5194</v>
      </c>
      <c r="E2" t="s">
        <v>5317</v>
      </c>
      <c r="F2" t="s">
        <v>536</v>
      </c>
      <c r="G2" t="e">
        <v>#N/A</v>
      </c>
    </row>
    <row r="3" spans="1:7">
      <c r="A3" t="s">
        <v>1841</v>
      </c>
      <c r="D3" t="s">
        <v>5195</v>
      </c>
      <c r="E3" t="s">
        <v>5318</v>
      </c>
      <c r="F3" t="s">
        <v>30</v>
      </c>
      <c r="G3" t="e">
        <v>#N/A</v>
      </c>
    </row>
    <row r="4" spans="1:7">
      <c r="A4" t="s">
        <v>1842</v>
      </c>
      <c r="D4" t="s">
        <v>5196</v>
      </c>
      <c r="E4" t="s">
        <v>5319</v>
      </c>
      <c r="F4" t="s">
        <v>536</v>
      </c>
      <c r="G4" t="e">
        <v>#N/A</v>
      </c>
    </row>
    <row r="5" spans="1:7">
      <c r="A5" t="s">
        <v>1843</v>
      </c>
      <c r="D5" t="s">
        <v>5197</v>
      </c>
      <c r="E5" t="s">
        <v>5320</v>
      </c>
      <c r="F5" t="s">
        <v>533</v>
      </c>
      <c r="G5" t="e">
        <v>#N/A</v>
      </c>
    </row>
    <row r="6" spans="1:7">
      <c r="A6" t="s">
        <v>1844</v>
      </c>
      <c r="D6" t="s">
        <v>5198</v>
      </c>
      <c r="E6" t="s">
        <v>5321</v>
      </c>
      <c r="F6" t="s">
        <v>621</v>
      </c>
      <c r="G6" t="e">
        <v>#N/A</v>
      </c>
    </row>
    <row r="7" spans="1:7">
      <c r="A7" t="s">
        <v>1845</v>
      </c>
      <c r="D7" t="s">
        <v>5199</v>
      </c>
      <c r="E7" t="s">
        <v>5322</v>
      </c>
      <c r="F7" t="s">
        <v>620</v>
      </c>
      <c r="G7" t="e">
        <v>#N/A</v>
      </c>
    </row>
    <row r="8" spans="1:7">
      <c r="A8" t="s">
        <v>1846</v>
      </c>
      <c r="D8" t="s">
        <v>5200</v>
      </c>
      <c r="E8" t="s">
        <v>5323</v>
      </c>
      <c r="F8" t="s">
        <v>443</v>
      </c>
      <c r="G8" t="e">
        <v>#N/A</v>
      </c>
    </row>
    <row r="9" spans="1:7">
      <c r="A9" t="s">
        <v>1847</v>
      </c>
      <c r="D9" t="s">
        <v>5201</v>
      </c>
      <c r="E9" t="s">
        <v>5324</v>
      </c>
      <c r="F9" t="s">
        <v>619</v>
      </c>
      <c r="G9" t="e">
        <v>#N/A</v>
      </c>
    </row>
    <row r="10" spans="1:7">
      <c r="A10" t="s">
        <v>1848</v>
      </c>
      <c r="D10" t="s">
        <v>5202</v>
      </c>
      <c r="E10" t="s">
        <v>5325</v>
      </c>
      <c r="F10" t="s">
        <v>442</v>
      </c>
      <c r="G10" t="e">
        <v>#N/A</v>
      </c>
    </row>
    <row r="11" spans="1:7">
      <c r="A11" t="s">
        <v>1849</v>
      </c>
      <c r="D11" t="s">
        <v>5203</v>
      </c>
      <c r="E11" t="s">
        <v>5326</v>
      </c>
      <c r="F11" t="s">
        <v>532</v>
      </c>
      <c r="G11" t="e">
        <v>#N/A</v>
      </c>
    </row>
    <row r="12" spans="1:7">
      <c r="A12" t="s">
        <v>1850</v>
      </c>
      <c r="D12" t="s">
        <v>5204</v>
      </c>
      <c r="E12" t="s">
        <v>5327</v>
      </c>
      <c r="F12" t="s">
        <v>452</v>
      </c>
      <c r="G12" t="e">
        <v>#N/A</v>
      </c>
    </row>
    <row r="13" spans="1:7">
      <c r="A13" t="s">
        <v>1851</v>
      </c>
      <c r="D13" t="s">
        <v>5205</v>
      </c>
      <c r="E13" t="s">
        <v>5328</v>
      </c>
      <c r="F13" t="s">
        <v>532</v>
      </c>
      <c r="G13" t="e">
        <v>#N/A</v>
      </c>
    </row>
    <row r="14" spans="1:7">
      <c r="A14" t="s">
        <v>1852</v>
      </c>
      <c r="D14" t="s">
        <v>5206</v>
      </c>
      <c r="E14" t="s">
        <v>5329</v>
      </c>
      <c r="F14" t="s">
        <v>46</v>
      </c>
      <c r="G14" t="e">
        <v>#N/A</v>
      </c>
    </row>
    <row r="15" spans="1:7">
      <c r="A15" t="s">
        <v>1854</v>
      </c>
      <c r="D15" t="s">
        <v>5207</v>
      </c>
      <c r="E15" t="s">
        <v>5330</v>
      </c>
      <c r="F15" t="s">
        <v>44</v>
      </c>
      <c r="G15" t="e">
        <v>#N/A</v>
      </c>
    </row>
    <row r="16" spans="1:7">
      <c r="A16" t="s">
        <v>1855</v>
      </c>
      <c r="D16" t="s">
        <v>5208</v>
      </c>
      <c r="E16" t="s">
        <v>5331</v>
      </c>
      <c r="F16" t="s">
        <v>44</v>
      </c>
      <c r="G16" t="e">
        <v>#N/A</v>
      </c>
    </row>
    <row r="17" spans="1:7">
      <c r="A17" t="s">
        <v>1853</v>
      </c>
      <c r="D17" t="s">
        <v>5209</v>
      </c>
      <c r="E17" t="s">
        <v>5332</v>
      </c>
      <c r="F17" t="s">
        <v>44</v>
      </c>
      <c r="G17" t="e">
        <v>#N/A</v>
      </c>
    </row>
    <row r="18" spans="1:7">
      <c r="A18" t="s">
        <v>1856</v>
      </c>
      <c r="D18" t="s">
        <v>5210</v>
      </c>
      <c r="E18" t="s">
        <v>5333</v>
      </c>
      <c r="F18" t="s">
        <v>44</v>
      </c>
      <c r="G18" t="e">
        <v>#N/A</v>
      </c>
    </row>
    <row r="19" spans="1:7">
      <c r="A19" t="s">
        <v>1857</v>
      </c>
      <c r="D19" t="s">
        <v>5211</v>
      </c>
      <c r="E19" t="s">
        <v>5334</v>
      </c>
      <c r="F19" t="s">
        <v>44</v>
      </c>
      <c r="G19" t="e">
        <v>#N/A</v>
      </c>
    </row>
    <row r="20" spans="1:7">
      <c r="A20" t="s">
        <v>1858</v>
      </c>
      <c r="D20" t="s">
        <v>5212</v>
      </c>
      <c r="E20" t="s">
        <v>5335</v>
      </c>
      <c r="F20" t="s">
        <v>532</v>
      </c>
      <c r="G20" t="e">
        <v>#N/A</v>
      </c>
    </row>
    <row r="21" spans="1:7">
      <c r="A21" t="s">
        <v>1859</v>
      </c>
      <c r="D21" t="s">
        <v>5213</v>
      </c>
      <c r="E21" t="s">
        <v>5336</v>
      </c>
      <c r="F21" t="s">
        <v>532</v>
      </c>
      <c r="G21" t="e">
        <v>#N/A</v>
      </c>
    </row>
    <row r="22" spans="1:7">
      <c r="A22" t="s">
        <v>1860</v>
      </c>
      <c r="D22" t="s">
        <v>5214</v>
      </c>
      <c r="E22" t="s">
        <v>5337</v>
      </c>
      <c r="F22" t="s">
        <v>532</v>
      </c>
      <c r="G22" t="e">
        <v>#N/A</v>
      </c>
    </row>
    <row r="23" spans="1:7">
      <c r="A23" t="s">
        <v>1861</v>
      </c>
      <c r="D23" t="s">
        <v>5215</v>
      </c>
      <c r="E23" t="s">
        <v>5338</v>
      </c>
      <c r="F23" t="s">
        <v>534</v>
      </c>
      <c r="G23" t="e">
        <v>#N/A</v>
      </c>
    </row>
    <row r="24" spans="1:7">
      <c r="A24" t="s">
        <v>1862</v>
      </c>
      <c r="D24" t="s">
        <v>5216</v>
      </c>
      <c r="E24" t="s">
        <v>5339</v>
      </c>
      <c r="F24" t="s">
        <v>535</v>
      </c>
      <c r="G24" t="e">
        <v>#N/A</v>
      </c>
    </row>
    <row r="25" spans="1:7">
      <c r="A25" t="s">
        <v>1863</v>
      </c>
      <c r="D25" t="s">
        <v>5217</v>
      </c>
      <c r="E25" t="s">
        <v>5340</v>
      </c>
      <c r="F25" t="s">
        <v>532</v>
      </c>
      <c r="G25" t="e">
        <v>#N/A</v>
      </c>
    </row>
    <row r="26" spans="1:7">
      <c r="A26" t="s">
        <v>1864</v>
      </c>
      <c r="D26" t="s">
        <v>5218</v>
      </c>
      <c r="E26" t="s">
        <v>5341</v>
      </c>
      <c r="F26" t="s">
        <v>532</v>
      </c>
      <c r="G26" t="e">
        <v>#N/A</v>
      </c>
    </row>
    <row r="27" spans="1:7">
      <c r="A27" t="s">
        <v>1865</v>
      </c>
      <c r="D27" t="s">
        <v>5219</v>
      </c>
      <c r="E27" t="s">
        <v>5342</v>
      </c>
      <c r="F27" t="s">
        <v>532</v>
      </c>
      <c r="G27" t="e">
        <v>#N/A</v>
      </c>
    </row>
    <row r="28" spans="1:7">
      <c r="A28" t="s">
        <v>1866</v>
      </c>
      <c r="D28" t="s">
        <v>5220</v>
      </c>
      <c r="E28" t="s">
        <v>21</v>
      </c>
      <c r="F28" t="s">
        <v>5281</v>
      </c>
      <c r="G28" t="s">
        <v>5343</v>
      </c>
    </row>
    <row r="29" spans="1:7">
      <c r="A29" t="s">
        <v>1867</v>
      </c>
      <c r="D29" t="s">
        <v>5221</v>
      </c>
      <c r="E29" t="s">
        <v>31</v>
      </c>
      <c r="F29" t="s">
        <v>30</v>
      </c>
      <c r="G29" t="s">
        <v>5344</v>
      </c>
    </row>
    <row r="30" spans="1:7">
      <c r="A30" t="s">
        <v>1868</v>
      </c>
      <c r="D30" t="s">
        <v>5222</v>
      </c>
      <c r="E30" t="s">
        <v>22</v>
      </c>
      <c r="F30" t="s">
        <v>5282</v>
      </c>
      <c r="G30" t="s">
        <v>5345</v>
      </c>
    </row>
    <row r="31" spans="1:7">
      <c r="A31" t="s">
        <v>1869</v>
      </c>
      <c r="D31" t="s">
        <v>5223</v>
      </c>
      <c r="E31" t="s">
        <v>29</v>
      </c>
      <c r="F31" t="s">
        <v>438</v>
      </c>
      <c r="G31" t="s">
        <v>5346</v>
      </c>
    </row>
    <row r="32" spans="1:7">
      <c r="A32" t="s">
        <v>1870</v>
      </c>
      <c r="D32" t="s">
        <v>5224</v>
      </c>
      <c r="E32" t="s">
        <v>36</v>
      </c>
      <c r="F32" t="s">
        <v>35</v>
      </c>
      <c r="G32" t="s">
        <v>5347</v>
      </c>
    </row>
    <row r="33" spans="1:7">
      <c r="A33" t="s">
        <v>1871</v>
      </c>
      <c r="D33" t="s">
        <v>5225</v>
      </c>
      <c r="E33" t="s">
        <v>10</v>
      </c>
      <c r="F33" t="s">
        <v>9</v>
      </c>
      <c r="G33" t="s">
        <v>5348</v>
      </c>
    </row>
    <row r="34" spans="1:7">
      <c r="A34" t="s">
        <v>1872</v>
      </c>
      <c r="D34" t="s">
        <v>5226</v>
      </c>
      <c r="E34" t="s">
        <v>38</v>
      </c>
      <c r="F34" t="s">
        <v>37</v>
      </c>
      <c r="G34" t="s">
        <v>5349</v>
      </c>
    </row>
    <row r="35" spans="1:7">
      <c r="A35" t="s">
        <v>1873</v>
      </c>
      <c r="D35" t="s">
        <v>5227</v>
      </c>
      <c r="E35" t="s">
        <v>3</v>
      </c>
      <c r="F35" t="s">
        <v>2</v>
      </c>
      <c r="G35" t="s">
        <v>5350</v>
      </c>
    </row>
    <row r="36" spans="1:7">
      <c r="A36" t="s">
        <v>1874</v>
      </c>
      <c r="D36" t="s">
        <v>5228</v>
      </c>
      <c r="E36" t="s">
        <v>34</v>
      </c>
      <c r="F36" t="s">
        <v>46</v>
      </c>
      <c r="G36" t="s">
        <v>5351</v>
      </c>
    </row>
    <row r="37" spans="1:7">
      <c r="A37" t="s">
        <v>1876</v>
      </c>
      <c r="D37" t="s">
        <v>5229</v>
      </c>
      <c r="E37" t="s">
        <v>446</v>
      </c>
      <c r="F37" t="s">
        <v>445</v>
      </c>
      <c r="G37" t="s">
        <v>5352</v>
      </c>
    </row>
    <row r="38" spans="1:7">
      <c r="A38" t="s">
        <v>1877</v>
      </c>
      <c r="D38" t="s">
        <v>5230</v>
      </c>
      <c r="E38" t="s">
        <v>449</v>
      </c>
      <c r="F38" t="s">
        <v>448</v>
      </c>
      <c r="G38" t="s">
        <v>5353</v>
      </c>
    </row>
    <row r="39" spans="1:7">
      <c r="A39" t="s">
        <v>1875</v>
      </c>
      <c r="D39" t="s">
        <v>5231</v>
      </c>
      <c r="E39" t="s">
        <v>33</v>
      </c>
      <c r="F39" t="s">
        <v>32</v>
      </c>
      <c r="G39" t="s">
        <v>5354</v>
      </c>
    </row>
    <row r="40" spans="1:7">
      <c r="A40" t="s">
        <v>1878</v>
      </c>
      <c r="D40" t="s">
        <v>5232</v>
      </c>
      <c r="E40" t="s">
        <v>447</v>
      </c>
      <c r="F40" t="s">
        <v>551</v>
      </c>
      <c r="G40" t="s">
        <v>5355</v>
      </c>
    </row>
    <row r="41" spans="1:7">
      <c r="A41" t="s">
        <v>1879</v>
      </c>
      <c r="D41" t="s">
        <v>5233</v>
      </c>
      <c r="E41" t="s">
        <v>450</v>
      </c>
      <c r="F41" t="s">
        <v>552</v>
      </c>
      <c r="G41" t="s">
        <v>5356</v>
      </c>
    </row>
    <row r="42" spans="1:7">
      <c r="A42" t="s">
        <v>1880</v>
      </c>
      <c r="D42" t="s">
        <v>5234</v>
      </c>
      <c r="E42" t="s">
        <v>16</v>
      </c>
      <c r="F42" t="s">
        <v>15</v>
      </c>
      <c r="G42" t="s">
        <v>5357</v>
      </c>
    </row>
    <row r="43" spans="1:7">
      <c r="A43" t="s">
        <v>1881</v>
      </c>
      <c r="D43" t="s">
        <v>5235</v>
      </c>
      <c r="E43" t="s">
        <v>14</v>
      </c>
      <c r="F43" t="s">
        <v>13</v>
      </c>
      <c r="G43" t="s">
        <v>5358</v>
      </c>
    </row>
    <row r="44" spans="1:7">
      <c r="A44" t="s">
        <v>1882</v>
      </c>
      <c r="D44" t="s">
        <v>5236</v>
      </c>
      <c r="E44" t="s">
        <v>23</v>
      </c>
      <c r="F44" t="s">
        <v>440</v>
      </c>
      <c r="G44" t="s">
        <v>5359</v>
      </c>
    </row>
    <row r="45" spans="1:7">
      <c r="A45" t="s">
        <v>1883</v>
      </c>
      <c r="D45" t="s">
        <v>5237</v>
      </c>
      <c r="E45" t="s">
        <v>28</v>
      </c>
      <c r="F45" t="s">
        <v>439</v>
      </c>
      <c r="G45" t="s">
        <v>5360</v>
      </c>
    </row>
    <row r="46" spans="1:7">
      <c r="A46" t="s">
        <v>1884</v>
      </c>
      <c r="D46" t="s">
        <v>5238</v>
      </c>
      <c r="E46" t="s">
        <v>25</v>
      </c>
      <c r="F46" t="s">
        <v>24</v>
      </c>
      <c r="G46" t="s">
        <v>5361</v>
      </c>
    </row>
    <row r="47" spans="1:7">
      <c r="A47" t="s">
        <v>1885</v>
      </c>
      <c r="D47" t="s">
        <v>5239</v>
      </c>
      <c r="E47" t="s">
        <v>6</v>
      </c>
      <c r="F47" t="s">
        <v>5</v>
      </c>
      <c r="G47" t="s">
        <v>5362</v>
      </c>
    </row>
    <row r="48" spans="1:7">
      <c r="A48" t="s">
        <v>1886</v>
      </c>
      <c r="D48" t="s">
        <v>5240</v>
      </c>
      <c r="E48" t="s">
        <v>12</v>
      </c>
      <c r="F48" t="s">
        <v>11</v>
      </c>
      <c r="G48" t="s">
        <v>5363</v>
      </c>
    </row>
    <row r="49" spans="1:7">
      <c r="A49" t="s">
        <v>1887</v>
      </c>
      <c r="D49" t="s">
        <v>5241</v>
      </c>
      <c r="E49" t="s">
        <v>8</v>
      </c>
      <c r="F49" t="s">
        <v>7</v>
      </c>
      <c r="G49" t="s">
        <v>5364</v>
      </c>
    </row>
    <row r="50" spans="1:7">
      <c r="A50" t="s">
        <v>1888</v>
      </c>
      <c r="D50" t="s">
        <v>5242</v>
      </c>
      <c r="E50" t="s">
        <v>43</v>
      </c>
      <c r="F50" t="s">
        <v>564</v>
      </c>
      <c r="G50" t="e">
        <v>#N/A</v>
      </c>
    </row>
    <row r="51" spans="1:7">
      <c r="A51" t="s">
        <v>1889</v>
      </c>
      <c r="D51" t="s">
        <v>5243</v>
      </c>
      <c r="E51" t="s">
        <v>39</v>
      </c>
      <c r="F51" t="s">
        <v>30</v>
      </c>
      <c r="G51" t="e">
        <v>#N/A</v>
      </c>
    </row>
    <row r="52" spans="1:7">
      <c r="A52" t="s">
        <v>1890</v>
      </c>
      <c r="D52" t="s">
        <v>5244</v>
      </c>
      <c r="E52" t="s">
        <v>537</v>
      </c>
      <c r="F52" t="s">
        <v>527</v>
      </c>
      <c r="G52" t="e">
        <v>#N/A</v>
      </c>
    </row>
    <row r="53" spans="1:7">
      <c r="A53" t="s">
        <v>1891</v>
      </c>
      <c r="D53" t="s">
        <v>5245</v>
      </c>
      <c r="E53" t="s">
        <v>48</v>
      </c>
      <c r="F53" t="s">
        <v>35</v>
      </c>
      <c r="G53" t="e">
        <v>#N/A</v>
      </c>
    </row>
    <row r="54" spans="1:7">
      <c r="A54" t="s">
        <v>1892</v>
      </c>
      <c r="D54" t="s">
        <v>5246</v>
      </c>
      <c r="E54" t="s">
        <v>49</v>
      </c>
      <c r="F54" t="s">
        <v>37</v>
      </c>
      <c r="G54" t="e">
        <v>#N/A</v>
      </c>
    </row>
    <row r="55" spans="1:7">
      <c r="A55" t="s">
        <v>1893</v>
      </c>
      <c r="D55" t="s">
        <v>5247</v>
      </c>
      <c r="E55" t="s">
        <v>47</v>
      </c>
      <c r="F55" t="s">
        <v>46</v>
      </c>
      <c r="G55" t="e">
        <v>#N/A</v>
      </c>
    </row>
    <row r="56" spans="1:7">
      <c r="A56" t="s">
        <v>1894</v>
      </c>
      <c r="D56" t="s">
        <v>5248</v>
      </c>
      <c r="E56" t="s">
        <v>45</v>
      </c>
      <c r="F56" t="s">
        <v>44</v>
      </c>
      <c r="G56" t="e">
        <v>#N/A</v>
      </c>
    </row>
    <row r="57" spans="1:7">
      <c r="A57" t="s">
        <v>1895</v>
      </c>
      <c r="D57" t="s">
        <v>5249</v>
      </c>
      <c r="E57" t="s">
        <v>42</v>
      </c>
      <c r="F57" t="s">
        <v>41</v>
      </c>
      <c r="G57" t="e">
        <v>#N/A</v>
      </c>
    </row>
    <row r="58" spans="1:7">
      <c r="A58" t="s">
        <v>4584</v>
      </c>
      <c r="D58" t="s">
        <v>5250</v>
      </c>
      <c r="E58" t="s">
        <v>21</v>
      </c>
      <c r="F58" t="s">
        <v>5281</v>
      </c>
      <c r="G58" t="s">
        <v>5343</v>
      </c>
    </row>
    <row r="59" spans="1:7">
      <c r="A59" s="61" t="s">
        <v>4585</v>
      </c>
      <c r="D59" s="61" t="s">
        <v>5251</v>
      </c>
      <c r="E59" s="61" t="s">
        <v>31</v>
      </c>
      <c r="F59" t="s">
        <v>30</v>
      </c>
      <c r="G59" t="s">
        <v>5344</v>
      </c>
    </row>
    <row r="60" spans="1:7">
      <c r="A60" s="61" t="s">
        <v>4586</v>
      </c>
      <c r="D60" s="61" t="s">
        <v>5252</v>
      </c>
      <c r="E60" s="61" t="s">
        <v>22</v>
      </c>
      <c r="F60" t="s">
        <v>5282</v>
      </c>
      <c r="G60" t="s">
        <v>5345</v>
      </c>
    </row>
    <row r="61" spans="1:7">
      <c r="A61" t="s">
        <v>4587</v>
      </c>
      <c r="D61" t="s">
        <v>5253</v>
      </c>
      <c r="E61" t="s">
        <v>29</v>
      </c>
      <c r="F61" t="s">
        <v>438</v>
      </c>
      <c r="G61" t="s">
        <v>5346</v>
      </c>
    </row>
    <row r="62" spans="1:7">
      <c r="A62" t="s">
        <v>4588</v>
      </c>
      <c r="D62" t="s">
        <v>5254</v>
      </c>
      <c r="E62" t="s">
        <v>36</v>
      </c>
      <c r="F62" t="s">
        <v>35</v>
      </c>
      <c r="G62" t="s">
        <v>5347</v>
      </c>
    </row>
    <row r="63" spans="1:7">
      <c r="A63" t="s">
        <v>4589</v>
      </c>
      <c r="D63" t="s">
        <v>5255</v>
      </c>
      <c r="E63" t="s">
        <v>10</v>
      </c>
      <c r="F63" t="s">
        <v>9</v>
      </c>
      <c r="G63" t="s">
        <v>5348</v>
      </c>
    </row>
    <row r="64" spans="1:7">
      <c r="A64" t="s">
        <v>4590</v>
      </c>
      <c r="D64" t="s">
        <v>5256</v>
      </c>
      <c r="E64" t="s">
        <v>38</v>
      </c>
      <c r="F64" t="s">
        <v>37</v>
      </c>
      <c r="G64" t="s">
        <v>5349</v>
      </c>
    </row>
    <row r="65" spans="1:7">
      <c r="A65" t="s">
        <v>4591</v>
      </c>
      <c r="D65" t="s">
        <v>5257</v>
      </c>
      <c r="E65" t="s">
        <v>3</v>
      </c>
      <c r="F65" t="s">
        <v>2</v>
      </c>
      <c r="G65" t="s">
        <v>5350</v>
      </c>
    </row>
    <row r="66" spans="1:7">
      <c r="A66" t="s">
        <v>4592</v>
      </c>
      <c r="D66" t="s">
        <v>5258</v>
      </c>
      <c r="E66" t="s">
        <v>34</v>
      </c>
      <c r="F66" t="s">
        <v>5283</v>
      </c>
      <c r="G66" t="s">
        <v>5351</v>
      </c>
    </row>
    <row r="67" spans="1:7">
      <c r="A67" t="s">
        <v>4593</v>
      </c>
      <c r="D67" t="s">
        <v>5259</v>
      </c>
      <c r="E67" t="s">
        <v>33</v>
      </c>
      <c r="F67" t="s">
        <v>32</v>
      </c>
      <c r="G67" t="s">
        <v>5354</v>
      </c>
    </row>
    <row r="68" spans="1:7">
      <c r="A68" t="s">
        <v>4594</v>
      </c>
      <c r="D68" t="s">
        <v>5260</v>
      </c>
      <c r="E68" t="s">
        <v>446</v>
      </c>
      <c r="F68" t="s">
        <v>5284</v>
      </c>
      <c r="G68" t="s">
        <v>5352</v>
      </c>
    </row>
    <row r="69" spans="1:7">
      <c r="A69" t="s">
        <v>4595</v>
      </c>
      <c r="D69" t="s">
        <v>5261</v>
      </c>
      <c r="E69" t="s">
        <v>449</v>
      </c>
      <c r="F69" t="s">
        <v>5285</v>
      </c>
      <c r="G69" t="s">
        <v>5353</v>
      </c>
    </row>
    <row r="70" spans="1:7">
      <c r="A70" t="s">
        <v>4596</v>
      </c>
      <c r="D70" t="s">
        <v>5262</v>
      </c>
      <c r="E70" t="s">
        <v>432</v>
      </c>
      <c r="F70" t="s">
        <v>5286</v>
      </c>
      <c r="G70" t="s">
        <v>5365</v>
      </c>
    </row>
    <row r="71" spans="1:7">
      <c r="A71" t="s">
        <v>4597</v>
      </c>
      <c r="D71" t="s">
        <v>5263</v>
      </c>
      <c r="E71" t="s">
        <v>447</v>
      </c>
      <c r="F71" t="s">
        <v>5287</v>
      </c>
      <c r="G71" t="s">
        <v>5355</v>
      </c>
    </row>
    <row r="72" spans="1:7">
      <c r="A72" t="s">
        <v>4598</v>
      </c>
      <c r="D72" t="s">
        <v>5264</v>
      </c>
      <c r="E72" t="s">
        <v>450</v>
      </c>
      <c r="F72" t="s">
        <v>5288</v>
      </c>
      <c r="G72" t="s">
        <v>5356</v>
      </c>
    </row>
    <row r="73" spans="1:7">
      <c r="A73" t="s">
        <v>4599</v>
      </c>
      <c r="D73" t="s">
        <v>5265</v>
      </c>
      <c r="E73" t="s">
        <v>16</v>
      </c>
      <c r="F73" t="s">
        <v>15</v>
      </c>
      <c r="G73" t="s">
        <v>5357</v>
      </c>
    </row>
    <row r="74" spans="1:7">
      <c r="A74" t="s">
        <v>4600</v>
      </c>
      <c r="D74" t="s">
        <v>5266</v>
      </c>
      <c r="E74" t="s">
        <v>14</v>
      </c>
      <c r="F74" t="s">
        <v>13</v>
      </c>
      <c r="G74" t="s">
        <v>5358</v>
      </c>
    </row>
    <row r="75" spans="1:7">
      <c r="A75" t="s">
        <v>4601</v>
      </c>
      <c r="D75" t="s">
        <v>5267</v>
      </c>
      <c r="E75" t="s">
        <v>23</v>
      </c>
      <c r="F75" t="s">
        <v>440</v>
      </c>
      <c r="G75" t="s">
        <v>5359</v>
      </c>
    </row>
    <row r="76" spans="1:7">
      <c r="A76" t="s">
        <v>4602</v>
      </c>
      <c r="D76" t="s">
        <v>5268</v>
      </c>
      <c r="E76" t="s">
        <v>28</v>
      </c>
      <c r="F76" t="s">
        <v>439</v>
      </c>
      <c r="G76" t="s">
        <v>5360</v>
      </c>
    </row>
    <row r="77" spans="1:7">
      <c r="A77" t="s">
        <v>4603</v>
      </c>
      <c r="D77" t="s">
        <v>5269</v>
      </c>
      <c r="E77" t="s">
        <v>25</v>
      </c>
      <c r="F77" t="s">
        <v>24</v>
      </c>
      <c r="G77" t="s">
        <v>5361</v>
      </c>
    </row>
    <row r="78" spans="1:7">
      <c r="A78" t="s">
        <v>4604</v>
      </c>
      <c r="D78" t="s">
        <v>5270</v>
      </c>
      <c r="E78" t="s">
        <v>6</v>
      </c>
      <c r="F78" t="s">
        <v>5</v>
      </c>
      <c r="G78" t="s">
        <v>5362</v>
      </c>
    </row>
    <row r="79" spans="1:7">
      <c r="A79" t="s">
        <v>4605</v>
      </c>
      <c r="D79" t="s">
        <v>5271</v>
      </c>
      <c r="E79" t="s">
        <v>12</v>
      </c>
      <c r="F79" t="s">
        <v>11</v>
      </c>
      <c r="G79" t="s">
        <v>5363</v>
      </c>
    </row>
    <row r="80" spans="1:7">
      <c r="A80" t="s">
        <v>4606</v>
      </c>
      <c r="D80" t="s">
        <v>5272</v>
      </c>
      <c r="E80" t="s">
        <v>8</v>
      </c>
      <c r="F80" t="s">
        <v>7</v>
      </c>
      <c r="G80" t="s">
        <v>5364</v>
      </c>
    </row>
    <row r="81" spans="1:7">
      <c r="A81" t="s">
        <v>4665</v>
      </c>
      <c r="D81" t="s">
        <v>5273</v>
      </c>
      <c r="E81" t="s">
        <v>5309</v>
      </c>
      <c r="F81" t="s">
        <v>5289</v>
      </c>
      <c r="G81" t="e">
        <v>#N/A</v>
      </c>
    </row>
    <row r="82" spans="1:7">
      <c r="A82" t="s">
        <v>4666</v>
      </c>
      <c r="D82" t="s">
        <v>5274</v>
      </c>
      <c r="E82" t="s">
        <v>5310</v>
      </c>
      <c r="F82" t="s">
        <v>5290</v>
      </c>
      <c r="G82" t="e">
        <v>#N/A</v>
      </c>
    </row>
    <row r="83" spans="1:7">
      <c r="A83" t="s">
        <v>4667</v>
      </c>
      <c r="D83" t="s">
        <v>5275</v>
      </c>
      <c r="E83" t="s">
        <v>5311</v>
      </c>
      <c r="F83" t="s">
        <v>5291</v>
      </c>
      <c r="G83" t="e">
        <v>#N/A</v>
      </c>
    </row>
    <row r="84" spans="1:7">
      <c r="A84" t="s">
        <v>4668</v>
      </c>
      <c r="D84" t="s">
        <v>5276</v>
      </c>
      <c r="E84" t="s">
        <v>5312</v>
      </c>
      <c r="F84" t="s">
        <v>5292</v>
      </c>
      <c r="G84" t="e">
        <v>#N/A</v>
      </c>
    </row>
    <row r="85" spans="1:7">
      <c r="A85" t="s">
        <v>4669</v>
      </c>
      <c r="D85" t="s">
        <v>5277</v>
      </c>
      <c r="E85" t="s">
        <v>5313</v>
      </c>
      <c r="F85" t="s">
        <v>5293</v>
      </c>
      <c r="G85" t="e">
        <v>#N/A</v>
      </c>
    </row>
    <row r="86" spans="1:7">
      <c r="A86" t="s">
        <v>4670</v>
      </c>
      <c r="D86" t="s">
        <v>5278</v>
      </c>
      <c r="E86" t="s">
        <v>5314</v>
      </c>
      <c r="F86" t="s">
        <v>5294</v>
      </c>
      <c r="G86" t="e">
        <v>#N/A</v>
      </c>
    </row>
    <row r="87" spans="1:7">
      <c r="A87" t="s">
        <v>4671</v>
      </c>
      <c r="D87" t="s">
        <v>5279</v>
      </c>
      <c r="E87" t="s">
        <v>5315</v>
      </c>
      <c r="F87" t="s">
        <v>5295</v>
      </c>
      <c r="G87" t="e">
        <v>#N/A</v>
      </c>
    </row>
    <row r="88" spans="1:7">
      <c r="A88" t="s">
        <v>4672</v>
      </c>
      <c r="D88" t="s">
        <v>5280</v>
      </c>
      <c r="E88" t="s">
        <v>5316</v>
      </c>
      <c r="F88" t="s">
        <v>5296</v>
      </c>
      <c r="G88" t="e">
        <v>#N/A</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D40C-5D0B-430F-839C-D21931F81CE6}">
  <sheetPr codeName="Sheet6">
    <tabColor theme="6" tint="0.79998168889431442"/>
  </sheetPr>
  <dimension ref="A1:I147"/>
  <sheetViews>
    <sheetView workbookViewId="0">
      <selection activeCell="G15" sqref="G15"/>
    </sheetView>
  </sheetViews>
  <sheetFormatPr defaultRowHeight="14.25"/>
  <cols>
    <col min="1" max="1" width="15.875" style="4" bestFit="1" customWidth="1"/>
    <col min="2" max="3" width="20.875" style="4" customWidth="1"/>
    <col min="4" max="4" width="29.125" style="4" customWidth="1"/>
    <col min="5" max="5" width="48.75" style="4" customWidth="1"/>
    <col min="6" max="6" width="13.125" customWidth="1"/>
    <col min="7" max="7" width="34.125" style="11" customWidth="1"/>
    <col min="8" max="8" width="65" style="4" hidden="1" customWidth="1"/>
    <col min="9" max="9" width="47.375" style="4" customWidth="1"/>
  </cols>
  <sheetData>
    <row r="1" spans="1:9" ht="15">
      <c r="A1" s="5" t="s">
        <v>436</v>
      </c>
      <c r="B1" s="1" t="s">
        <v>428</v>
      </c>
      <c r="C1" s="5" t="s">
        <v>428</v>
      </c>
      <c r="D1" s="5" t="s">
        <v>347</v>
      </c>
      <c r="E1" s="5" t="s">
        <v>431</v>
      </c>
      <c r="F1" t="s">
        <v>977</v>
      </c>
      <c r="G1" s="9" t="s">
        <v>625</v>
      </c>
      <c r="H1" s="5" t="s">
        <v>454</v>
      </c>
      <c r="I1" s="20" t="s">
        <v>976</v>
      </c>
    </row>
    <row r="2" spans="1:9" ht="15">
      <c r="A2" s="5"/>
      <c r="B2" s="1" t="s">
        <v>768</v>
      </c>
      <c r="C2" s="5"/>
      <c r="D2" s="5"/>
      <c r="E2" s="5" t="s">
        <v>1248</v>
      </c>
      <c r="G2" s="9"/>
      <c r="H2" s="5"/>
      <c r="I2" s="20"/>
    </row>
    <row r="3" spans="1:9" ht="15">
      <c r="A3" s="5"/>
      <c r="B3" s="1" t="s">
        <v>768</v>
      </c>
      <c r="C3" s="5"/>
      <c r="D3" s="5"/>
      <c r="E3" s="5"/>
      <c r="G3" s="9"/>
      <c r="H3" s="5"/>
      <c r="I3" s="20"/>
    </row>
    <row r="4" spans="1:9">
      <c r="A4" s="4" t="s">
        <v>767</v>
      </c>
      <c r="B4" t="s">
        <v>4</v>
      </c>
      <c r="C4" t="s">
        <v>1</v>
      </c>
      <c r="D4" t="s">
        <v>21</v>
      </c>
      <c r="E4" t="s">
        <v>898</v>
      </c>
      <c r="F4" t="s">
        <v>897</v>
      </c>
      <c r="G4" s="10" t="s">
        <v>565</v>
      </c>
      <c r="I4" s="4" t="str">
        <f t="shared" ref="I4:I56" si="0">"    "&amp;C4&amp;"_"&amp;D4&amp;": """&amp;E4&amp;""""</f>
        <v xml:space="preserve">    name_mod_2flankspim: "Spatial partial identity model (2-flank SPIM)"</v>
      </c>
    </row>
    <row r="5" spans="1:9">
      <c r="A5" s="4" t="s">
        <v>767</v>
      </c>
      <c r="B5" t="s">
        <v>4</v>
      </c>
      <c r="C5" t="s">
        <v>1</v>
      </c>
      <c r="D5" t="s">
        <v>31</v>
      </c>
      <c r="E5" t="s">
        <v>30</v>
      </c>
      <c r="G5" s="10" t="s">
        <v>566</v>
      </c>
      <c r="I5" s="4" t="str">
        <f t="shared" si="0"/>
        <v xml:space="preserve">    name_mod_behaviour: "Behaviour"</v>
      </c>
    </row>
    <row r="6" spans="1:9">
      <c r="A6" s="4" t="s">
        <v>767</v>
      </c>
      <c r="B6" t="s">
        <v>4</v>
      </c>
      <c r="C6" t="s">
        <v>1</v>
      </c>
      <c r="D6" t="s">
        <v>22</v>
      </c>
      <c r="E6" t="s">
        <v>979</v>
      </c>
      <c r="F6" t="s">
        <v>897</v>
      </c>
      <c r="G6" s="10" t="s">
        <v>567</v>
      </c>
      <c r="I6" s="4" t="str">
        <f t="shared" si="0"/>
        <v xml:space="preserve">    name_mod_catspim: "Categorical partial identity model (Categorical SPIM; catSPIM)"</v>
      </c>
    </row>
    <row r="7" spans="1:9">
      <c r="A7" s="4" t="s">
        <v>767</v>
      </c>
      <c r="B7" t="s">
        <v>4</v>
      </c>
      <c r="C7" t="s">
        <v>1</v>
      </c>
      <c r="D7" t="s">
        <v>29</v>
      </c>
      <c r="E7" t="s">
        <v>438</v>
      </c>
      <c r="F7" t="s">
        <v>897</v>
      </c>
      <c r="G7" s="10" t="s">
        <v>568</v>
      </c>
      <c r="I7" s="4" t="str">
        <f t="shared" si="0"/>
        <v xml:space="preserve">    name_mod_cr_cmr: "Capture-recapture (CR) / Capture-mark-recapture (CMR)"</v>
      </c>
    </row>
    <row r="8" spans="1:9">
      <c r="A8" s="4" t="s">
        <v>767</v>
      </c>
      <c r="B8" t="s">
        <v>4</v>
      </c>
      <c r="C8" t="s">
        <v>1</v>
      </c>
      <c r="D8" t="s">
        <v>36</v>
      </c>
      <c r="E8" t="s">
        <v>35</v>
      </c>
      <c r="G8" s="10" t="s">
        <v>587</v>
      </c>
      <c r="I8" s="4" t="str">
        <f t="shared" si="0"/>
        <v xml:space="preserve">    name_mod_divers_rich: "Species diversity &amp; richness"</v>
      </c>
    </row>
    <row r="9" spans="1:9">
      <c r="A9" s="4" t="s">
        <v>767</v>
      </c>
      <c r="B9" t="s">
        <v>4</v>
      </c>
      <c r="C9" t="s">
        <v>1</v>
      </c>
      <c r="D9" t="s">
        <v>10</v>
      </c>
      <c r="E9" t="s">
        <v>9</v>
      </c>
      <c r="F9" t="s">
        <v>897</v>
      </c>
      <c r="G9" s="10" t="s">
        <v>569</v>
      </c>
      <c r="I9" s="4" t="str">
        <f t="shared" si="0"/>
        <v xml:space="preserve">    name_mod_ds: "Distance sampling (DS)"</v>
      </c>
    </row>
    <row r="10" spans="1:9">
      <c r="A10" s="4" t="s">
        <v>767</v>
      </c>
      <c r="B10" t="s">
        <v>4</v>
      </c>
      <c r="C10" t="s">
        <v>1</v>
      </c>
      <c r="D10" t="s">
        <v>38</v>
      </c>
      <c r="E10" t="s">
        <v>37</v>
      </c>
      <c r="G10" s="10" t="s">
        <v>570</v>
      </c>
      <c r="I10" s="4" t="str">
        <f t="shared" si="0"/>
        <v xml:space="preserve">    name_mod_inventory: "Species inventory"</v>
      </c>
    </row>
    <row r="11" spans="1:9">
      <c r="A11" s="4" t="s">
        <v>767</v>
      </c>
      <c r="B11" t="s">
        <v>4</v>
      </c>
      <c r="C11" t="s">
        <v>1</v>
      </c>
      <c r="D11" t="s">
        <v>3</v>
      </c>
      <c r="E11" t="s">
        <v>2</v>
      </c>
      <c r="F11" t="s">
        <v>897</v>
      </c>
      <c r="G11" s="10" t="s">
        <v>571</v>
      </c>
      <c r="I11" s="4" t="str">
        <f t="shared" si="0"/>
        <v xml:space="preserve">    name_mod_is: "Instantaneous sampling (IS)"</v>
      </c>
    </row>
    <row r="12" spans="1:9">
      <c r="A12" s="4" t="s">
        <v>767</v>
      </c>
      <c r="B12" t="s">
        <v>4</v>
      </c>
      <c r="C12" t="s">
        <v>1</v>
      </c>
      <c r="D12" t="s">
        <v>27</v>
      </c>
      <c r="E12" t="s">
        <v>26</v>
      </c>
      <c r="F12" t="s">
        <v>897</v>
      </c>
      <c r="G12" s="10" t="s">
        <v>588</v>
      </c>
      <c r="I12" s="4" t="str">
        <f t="shared" si="0"/>
        <v xml:space="preserve">    name_mod_mr: "Mark-resight (MR)"</v>
      </c>
    </row>
    <row r="13" spans="1:9">
      <c r="A13" s="4" t="s">
        <v>767</v>
      </c>
      <c r="B13" t="s">
        <v>4</v>
      </c>
      <c r="C13" t="s">
        <v>1</v>
      </c>
      <c r="D13" t="s">
        <v>18</v>
      </c>
      <c r="E13" t="s">
        <v>17</v>
      </c>
      <c r="G13" s="10" t="s">
        <v>589</v>
      </c>
      <c r="I13" s="4" t="str">
        <f t="shared" si="0"/>
        <v xml:space="preserve">    name_mod_nmixture: "N-mixture"</v>
      </c>
    </row>
    <row r="14" spans="1:9">
      <c r="A14" s="4" t="s">
        <v>767</v>
      </c>
      <c r="B14" t="s">
        <v>4</v>
      </c>
      <c r="C14" t="s">
        <v>1</v>
      </c>
      <c r="D14" t="s">
        <v>34</v>
      </c>
      <c r="E14" t="s">
        <v>821</v>
      </c>
      <c r="G14" s="10" t="s">
        <v>572</v>
      </c>
      <c r="I14" s="4" t="str">
        <f t="shared" si="0"/>
        <v xml:space="preserve">    name_mod_occupancy: "Occupancy model"</v>
      </c>
    </row>
    <row r="15" spans="1:9">
      <c r="A15" s="4" t="s">
        <v>767</v>
      </c>
      <c r="B15" t="s">
        <v>4</v>
      </c>
      <c r="C15" t="s">
        <v>1</v>
      </c>
      <c r="D15" t="s">
        <v>33</v>
      </c>
      <c r="E15" t="s">
        <v>32</v>
      </c>
      <c r="G15" s="10" t="s">
        <v>573</v>
      </c>
      <c r="I15" s="4" t="str">
        <f t="shared" si="0"/>
        <v xml:space="preserve">    name_mod_rai: "Relative abundance indices"</v>
      </c>
    </row>
    <row r="16" spans="1:9">
      <c r="A16" s="4" t="s">
        <v>767</v>
      </c>
      <c r="B16" s="4" t="s">
        <v>4</v>
      </c>
      <c r="C16" t="s">
        <v>1</v>
      </c>
      <c r="D16" s="6" t="s">
        <v>446</v>
      </c>
      <c r="E16" s="7" t="s">
        <v>445</v>
      </c>
      <c r="F16" t="s">
        <v>897</v>
      </c>
      <c r="G16" s="10" t="s">
        <v>574</v>
      </c>
      <c r="H16" s="7" t="str">
        <f>"(#"&amp;D16&amp;")=@{{ "&amp;C16&amp;"_"&amp;D16&amp;" }}@@: {{ "&amp;C16&amp;"_def_"&amp;D16&amp;" }}@@"</f>
        <v>(#mod_rai_hurdle)=@{{ name_mod_rai_hurdle }}@@: {{ name_def_mod_rai_hurdle }}@@</v>
      </c>
      <c r="I16" s="4" t="str">
        <f t="shared" si="0"/>
        <v xml:space="preserve">    name_mod_rai_hurdle: "Hurdle"</v>
      </c>
    </row>
    <row r="17" spans="1:9">
      <c r="A17" s="4" t="s">
        <v>767</v>
      </c>
      <c r="B17" s="4" t="s">
        <v>4</v>
      </c>
      <c r="C17" t="s">
        <v>1</v>
      </c>
      <c r="D17" s="6" t="s">
        <v>449</v>
      </c>
      <c r="E17" s="7" t="s">
        <v>448</v>
      </c>
      <c r="F17" t="s">
        <v>897</v>
      </c>
      <c r="G17" s="10" t="s">
        <v>575</v>
      </c>
      <c r="H17" s="7" t="str">
        <f>"(#"&amp;D17&amp;")=@{{ "&amp;C17&amp;"_"&amp;D17&amp;" }}@@: {{ "&amp;C17&amp;"_def_"&amp;D17&amp;" }}@@"</f>
        <v>(#mod_rai_nb)=@{{ name_mod_rai_nb }}@@: {{ name_def_mod_rai_nb }}@@</v>
      </c>
      <c r="I17" s="4" t="str">
        <f t="shared" si="0"/>
        <v xml:space="preserve">    name_mod_rai_nb: "Negative binomial (NB)"</v>
      </c>
    </row>
    <row r="18" spans="1:9">
      <c r="A18" s="4" t="s">
        <v>767</v>
      </c>
      <c r="B18" s="4" t="s">
        <v>4</v>
      </c>
      <c r="C18" t="s">
        <v>1</v>
      </c>
      <c r="D18" s="6" t="s">
        <v>432</v>
      </c>
      <c r="E18" s="7" t="s">
        <v>444</v>
      </c>
      <c r="G18" s="10" t="s">
        <v>576</v>
      </c>
      <c r="H18" s="7" t="str">
        <f>"(#"&amp;D18&amp;")=@{{ "&amp;C18&amp;"_"&amp;D18&amp;" }}@@: {{ "&amp;C18&amp;"_def_"&amp;D18&amp;" }}@@"</f>
        <v>(#mod_rai_poisson)=@{{ name_mod_rai_poisson }}@@: {{ name_def_mod_rai_poisson }}@@</v>
      </c>
      <c r="I18" s="4" t="str">
        <f t="shared" si="0"/>
        <v xml:space="preserve">    name_mod_rai_poisson: "Poisson"</v>
      </c>
    </row>
    <row r="19" spans="1:9">
      <c r="A19" s="4" t="s">
        <v>767</v>
      </c>
      <c r="B19" s="4" t="s">
        <v>4</v>
      </c>
      <c r="C19" t="s">
        <v>1</v>
      </c>
      <c r="D19" s="6" t="s">
        <v>447</v>
      </c>
      <c r="E19" s="7" t="s">
        <v>551</v>
      </c>
      <c r="F19" t="s">
        <v>897</v>
      </c>
      <c r="G19" s="10" t="s">
        <v>577</v>
      </c>
      <c r="H19" s="7" t="str">
        <f>"(#"&amp;D19&amp;")=@{{ "&amp;C19&amp;"_"&amp;D19&amp;" }}@@: {{ "&amp;C19&amp;"_def_"&amp;D19&amp;" }}@@"</f>
        <v>(#mod_rai_zinb)=@{{ name_mod_rai_zinb }}@@: {{ name_def_mod_rai_zinb }}@@</v>
      </c>
      <c r="I19" s="4" t="str">
        <f t="shared" si="0"/>
        <v xml:space="preserve">    name_mod_rai_zinb: "Zero-inflated negative binomial (ZINB) "</v>
      </c>
    </row>
    <row r="20" spans="1:9">
      <c r="A20" s="4" t="s">
        <v>767</v>
      </c>
      <c r="B20" s="4" t="s">
        <v>4</v>
      </c>
      <c r="C20" t="s">
        <v>1</v>
      </c>
      <c r="D20" s="6" t="s">
        <v>450</v>
      </c>
      <c r="E20" s="7" t="s">
        <v>552</v>
      </c>
      <c r="F20" t="s">
        <v>897</v>
      </c>
      <c r="G20" s="10" t="s">
        <v>578</v>
      </c>
      <c r="H20" s="7" t="str">
        <f>"(#"&amp;D20&amp;")=@{{ "&amp;C20&amp;"_"&amp;D20&amp;" }}@@: {{ "&amp;C20&amp;"_def_"&amp;D20&amp;" }}@@"</f>
        <v>(#mod_rai_zip)=@{{ name_mod_rai_zip }}@@: {{ name_def_mod_rai_zip }}@@</v>
      </c>
      <c r="I20" s="4" t="str">
        <f t="shared" si="0"/>
        <v xml:space="preserve">    name_mod_rai_zip: "Zero-inflated Poisson (ZIP)"</v>
      </c>
    </row>
    <row r="21" spans="1:9">
      <c r="A21" s="4" t="s">
        <v>767</v>
      </c>
      <c r="B21" t="s">
        <v>4</v>
      </c>
      <c r="C21" t="s">
        <v>1</v>
      </c>
      <c r="D21" t="s">
        <v>16</v>
      </c>
      <c r="E21" t="s">
        <v>15</v>
      </c>
      <c r="F21" t="s">
        <v>897</v>
      </c>
      <c r="G21" s="10" t="s">
        <v>579</v>
      </c>
      <c r="I21" s="4" t="str">
        <f t="shared" si="0"/>
        <v xml:space="preserve">    name_mod_rem: "Random encounter model (REM)"</v>
      </c>
    </row>
    <row r="22" spans="1:9">
      <c r="A22" s="4" t="s">
        <v>767</v>
      </c>
      <c r="B22" t="s">
        <v>4</v>
      </c>
      <c r="C22" t="s">
        <v>1</v>
      </c>
      <c r="D22" t="s">
        <v>14</v>
      </c>
      <c r="E22" t="s">
        <v>13</v>
      </c>
      <c r="F22" t="s">
        <v>897</v>
      </c>
      <c r="G22" s="10" t="s">
        <v>580</v>
      </c>
      <c r="I22" s="4" t="str">
        <f t="shared" si="0"/>
        <v xml:space="preserve">    name_mod_rest: "Random encounter and staying time (REST)"</v>
      </c>
    </row>
    <row r="23" spans="1:9">
      <c r="A23" s="4" t="s">
        <v>767</v>
      </c>
      <c r="B23" t="s">
        <v>4</v>
      </c>
      <c r="C23" t="s">
        <v>1</v>
      </c>
      <c r="D23" t="s">
        <v>20</v>
      </c>
      <c r="E23" t="s">
        <v>19</v>
      </c>
      <c r="F23" t="s">
        <v>897</v>
      </c>
      <c r="G23" s="10" t="s">
        <v>590</v>
      </c>
      <c r="I23" s="4" t="str">
        <f t="shared" si="0"/>
        <v xml:space="preserve">    name_mod_roylenichols: "Royle-Nichols"</v>
      </c>
    </row>
    <row r="24" spans="1:9">
      <c r="A24" s="4" t="s">
        <v>767</v>
      </c>
      <c r="B24" t="s">
        <v>4</v>
      </c>
      <c r="C24" t="s">
        <v>1</v>
      </c>
      <c r="D24" t="s">
        <v>23</v>
      </c>
      <c r="E24" t="s">
        <v>440</v>
      </c>
      <c r="F24" t="s">
        <v>897</v>
      </c>
      <c r="G24" s="10" t="s">
        <v>581</v>
      </c>
      <c r="I24" s="4" t="str">
        <f t="shared" si="0"/>
        <v xml:space="preserve">    name_mod_sc: "Spatial count (SC) model / Unmarked spatial capture-recapture"</v>
      </c>
    </row>
    <row r="25" spans="1:9">
      <c r="A25" s="4" t="s">
        <v>767</v>
      </c>
      <c r="B25" t="s">
        <v>4</v>
      </c>
      <c r="C25" t="s">
        <v>1</v>
      </c>
      <c r="D25" t="s">
        <v>28</v>
      </c>
      <c r="E25" t="s">
        <v>439</v>
      </c>
      <c r="F25" t="s">
        <v>897</v>
      </c>
      <c r="G25" s="10" t="s">
        <v>582</v>
      </c>
      <c r="I25" s="4" t="str">
        <f t="shared" si="0"/>
        <v xml:space="preserve">    name_mod_scr_secr: "Spatial capture-recapture (SCR) / Spatially explicit capture recapture (SECR)"</v>
      </c>
    </row>
    <row r="26" spans="1:9">
      <c r="A26" s="4" t="s">
        <v>767</v>
      </c>
      <c r="B26" t="s">
        <v>4</v>
      </c>
      <c r="C26" t="s">
        <v>1</v>
      </c>
      <c r="D26" t="s">
        <v>25</v>
      </c>
      <c r="E26" t="s">
        <v>24</v>
      </c>
      <c r="F26" t="s">
        <v>897</v>
      </c>
      <c r="G26" s="10" t="s">
        <v>583</v>
      </c>
      <c r="I26" s="4" t="str">
        <f t="shared" si="0"/>
        <v xml:space="preserve">    name_mod_smr: "Spatial mark-resight "</v>
      </c>
    </row>
    <row r="27" spans="1:9">
      <c r="A27" s="4" t="s">
        <v>767</v>
      </c>
      <c r="B27" t="s">
        <v>4</v>
      </c>
      <c r="C27" t="s">
        <v>1</v>
      </c>
      <c r="D27" t="s">
        <v>6</v>
      </c>
      <c r="E27" t="s">
        <v>5</v>
      </c>
      <c r="F27" t="s">
        <v>897</v>
      </c>
      <c r="G27" s="10" t="s">
        <v>584</v>
      </c>
      <c r="I27" s="4" t="str">
        <f t="shared" si="0"/>
        <v xml:space="preserve">    name_mod_ste: "Space-to-event (STE)"</v>
      </c>
    </row>
    <row r="28" spans="1:9">
      <c r="A28" s="4" t="s">
        <v>767</v>
      </c>
      <c r="B28" t="s">
        <v>4</v>
      </c>
      <c r="C28" t="s">
        <v>1</v>
      </c>
      <c r="D28" t="s">
        <v>12</v>
      </c>
      <c r="E28" t="s">
        <v>11</v>
      </c>
      <c r="F28" t="s">
        <v>897</v>
      </c>
      <c r="G28" s="10" t="s">
        <v>585</v>
      </c>
      <c r="I28" s="4" t="str">
        <f t="shared" si="0"/>
        <v xml:space="preserve">    name_mod_tifc: "Time in front of the camera (TIFC)"</v>
      </c>
    </row>
    <row r="29" spans="1:9">
      <c r="A29" s="4" t="s">
        <v>767</v>
      </c>
      <c r="B29" t="s">
        <v>4</v>
      </c>
      <c r="C29" t="s">
        <v>1</v>
      </c>
      <c r="D29" t="s">
        <v>8</v>
      </c>
      <c r="E29" t="s">
        <v>7</v>
      </c>
      <c r="F29" t="s">
        <v>897</v>
      </c>
      <c r="G29" s="10" t="s">
        <v>586</v>
      </c>
      <c r="I29" s="4" t="str">
        <f t="shared" si="0"/>
        <v xml:space="preserve">    name_mod_tte: "Time-to-event (TTE)"</v>
      </c>
    </row>
    <row r="30" spans="1:9">
      <c r="A30" s="4" t="s">
        <v>767</v>
      </c>
      <c r="B30" t="s">
        <v>4</v>
      </c>
      <c r="C30" t="s">
        <v>553</v>
      </c>
      <c r="D30" t="s">
        <v>21</v>
      </c>
      <c r="E30" s="4" t="s">
        <v>536</v>
      </c>
      <c r="I30" s="4" t="str">
        <f t="shared" si="0"/>
        <v xml:space="preserve">    mod_appl_mod_2flankspim: "Density / population size; Partially Marked"</v>
      </c>
    </row>
    <row r="31" spans="1:9">
      <c r="A31" s="4" t="s">
        <v>767</v>
      </c>
      <c r="B31" t="s">
        <v>4</v>
      </c>
      <c r="C31" t="s">
        <v>553</v>
      </c>
      <c r="D31" t="s">
        <v>31</v>
      </c>
      <c r="E31" s="4" t="s">
        <v>30</v>
      </c>
      <c r="I31" s="4" t="str">
        <f t="shared" si="0"/>
        <v xml:space="preserve">    mod_appl_mod_behaviour: "Behaviour"</v>
      </c>
    </row>
    <row r="32" spans="1:9">
      <c r="A32" s="4" t="s">
        <v>767</v>
      </c>
      <c r="B32" t="s">
        <v>4</v>
      </c>
      <c r="C32" t="s">
        <v>553</v>
      </c>
      <c r="D32" t="s">
        <v>22</v>
      </c>
      <c r="E32" s="4" t="s">
        <v>536</v>
      </c>
      <c r="I32" s="4" t="str">
        <f t="shared" si="0"/>
        <v xml:space="preserve">    mod_appl_mod_catspim: "Density / population size; Partially Marked"</v>
      </c>
    </row>
    <row r="33" spans="1:9">
      <c r="A33" s="4" t="s">
        <v>767</v>
      </c>
      <c r="B33" t="s">
        <v>4</v>
      </c>
      <c r="C33" t="s">
        <v>553</v>
      </c>
      <c r="D33" t="s">
        <v>29</v>
      </c>
      <c r="E33" s="4" t="s">
        <v>533</v>
      </c>
      <c r="I33" s="4" t="str">
        <f t="shared" si="0"/>
        <v xml:space="preserve">    mod_appl_mod_cr_cmr: "Population size / Absolute abundance / Vital rates / Density; Marked"</v>
      </c>
    </row>
    <row r="34" spans="1:9">
      <c r="A34" s="4" t="s">
        <v>767</v>
      </c>
      <c r="B34" t="s">
        <v>4</v>
      </c>
      <c r="C34" t="s">
        <v>553</v>
      </c>
      <c r="D34" t="s">
        <v>434</v>
      </c>
      <c r="E34" t="s">
        <v>621</v>
      </c>
      <c r="I34" s="4" t="str">
        <f t="shared" si="0"/>
        <v xml:space="preserve">    mod_appl_mod_divers_rich_alpha: "Alpha richness (α)"</v>
      </c>
    </row>
    <row r="35" spans="1:9">
      <c r="A35" s="4" t="s">
        <v>767</v>
      </c>
      <c r="B35" t="s">
        <v>4</v>
      </c>
      <c r="C35" t="s">
        <v>553</v>
      </c>
      <c r="D35" t="s">
        <v>433</v>
      </c>
      <c r="E35" t="s">
        <v>620</v>
      </c>
      <c r="I35" s="4" t="str">
        <f t="shared" si="0"/>
        <v xml:space="preserve">    mod_appl_mod_divers_rich_beta: "Beta-diversity (β)"</v>
      </c>
    </row>
    <row r="36" spans="1:9">
      <c r="A36" s="4" t="s">
        <v>767</v>
      </c>
      <c r="B36" t="s">
        <v>4</v>
      </c>
      <c r="C36" t="s">
        <v>553</v>
      </c>
      <c r="D36" t="s">
        <v>538</v>
      </c>
      <c r="E36" s="7" t="s">
        <v>443</v>
      </c>
      <c r="I36" s="4" t="str">
        <f t="shared" si="0"/>
        <v xml:space="preserve">    mod_appl_mod_divers_rich_divers: "Species diversity"</v>
      </c>
    </row>
    <row r="37" spans="1:9">
      <c r="A37" s="4" t="s">
        <v>767</v>
      </c>
      <c r="B37" t="s">
        <v>4</v>
      </c>
      <c r="C37" t="s">
        <v>553</v>
      </c>
      <c r="D37" t="s">
        <v>435</v>
      </c>
      <c r="E37" t="s">
        <v>619</v>
      </c>
      <c r="I37" s="4" t="str">
        <f t="shared" si="0"/>
        <v xml:space="preserve">    mod_appl_mod_divers_rich_gamma: "Gamma richness (γ)"</v>
      </c>
    </row>
    <row r="38" spans="1:9">
      <c r="A38" s="4" t="s">
        <v>767</v>
      </c>
      <c r="B38" t="s">
        <v>4</v>
      </c>
      <c r="C38" t="s">
        <v>553</v>
      </c>
      <c r="D38" t="s">
        <v>451</v>
      </c>
      <c r="E38" s="7" t="s">
        <v>442</v>
      </c>
      <c r="I38" s="4" t="str">
        <f t="shared" si="0"/>
        <v xml:space="preserve">    mod_appl_mod_divers_rich_rich: "Species richness"</v>
      </c>
    </row>
    <row r="39" spans="1:9">
      <c r="A39" s="4" t="s">
        <v>767</v>
      </c>
      <c r="B39" t="s">
        <v>4</v>
      </c>
      <c r="C39" t="s">
        <v>553</v>
      </c>
      <c r="D39" t="s">
        <v>10</v>
      </c>
      <c r="E39" s="4" t="s">
        <v>532</v>
      </c>
      <c r="I39" s="4" t="str">
        <f t="shared" si="0"/>
        <v xml:space="preserve">    mod_appl_mod_ds: "Density; Unmarked"</v>
      </c>
    </row>
    <row r="40" spans="1:9">
      <c r="A40" s="4" t="s">
        <v>767</v>
      </c>
      <c r="B40" t="s">
        <v>4</v>
      </c>
      <c r="C40" t="s">
        <v>553</v>
      </c>
      <c r="D40" t="s">
        <v>38</v>
      </c>
      <c r="E40" s="4" t="s">
        <v>452</v>
      </c>
      <c r="I40" s="4" t="str">
        <f t="shared" si="0"/>
        <v xml:space="preserve">    mod_appl_mod_inventory: "Species inventory, presence"</v>
      </c>
    </row>
    <row r="41" spans="1:9">
      <c r="A41" s="4" t="s">
        <v>767</v>
      </c>
      <c r="B41" t="s">
        <v>4</v>
      </c>
      <c r="C41" t="s">
        <v>553</v>
      </c>
      <c r="D41" t="s">
        <v>3</v>
      </c>
      <c r="E41" s="4" t="s">
        <v>532</v>
      </c>
      <c r="I41" s="4" t="str">
        <f t="shared" si="0"/>
        <v xml:space="preserve">    mod_appl_mod_is: "Density; Unmarked"</v>
      </c>
    </row>
    <row r="42" spans="1:9">
      <c r="A42" s="4" t="s">
        <v>767</v>
      </c>
      <c r="B42" t="s">
        <v>4</v>
      </c>
      <c r="C42" t="s">
        <v>553</v>
      </c>
      <c r="D42" t="s">
        <v>34</v>
      </c>
      <c r="E42" s="4" t="s">
        <v>46</v>
      </c>
      <c r="I42" s="4" t="str">
        <f t="shared" si="0"/>
        <v xml:space="preserve">    mod_appl_mod_occupancy: "Occupancy"</v>
      </c>
    </row>
    <row r="43" spans="1:9">
      <c r="A43" s="4" t="s">
        <v>767</v>
      </c>
      <c r="B43" t="s">
        <v>4</v>
      </c>
      <c r="C43" t="s">
        <v>553</v>
      </c>
      <c r="D43" t="s">
        <v>33</v>
      </c>
      <c r="E43" s="4" t="s">
        <v>44</v>
      </c>
      <c r="I43" s="4" t="str">
        <f t="shared" si="0"/>
        <v xml:space="preserve">    mod_appl_mod_rai: "Relative abundance"</v>
      </c>
    </row>
    <row r="44" spans="1:9">
      <c r="A44" s="4" t="s">
        <v>767</v>
      </c>
      <c r="B44" t="s">
        <v>4</v>
      </c>
      <c r="C44" t="s">
        <v>553</v>
      </c>
      <c r="D44" t="s">
        <v>446</v>
      </c>
      <c r="E44" s="4" t="s">
        <v>44</v>
      </c>
      <c r="I44" s="4" t="str">
        <f t="shared" si="0"/>
        <v xml:space="preserve">    mod_appl_mod_rai_hurdle: "Relative abundance"</v>
      </c>
    </row>
    <row r="45" spans="1:9">
      <c r="A45" s="4" t="s">
        <v>767</v>
      </c>
      <c r="B45" t="s">
        <v>4</v>
      </c>
      <c r="C45" t="s">
        <v>553</v>
      </c>
      <c r="D45" t="s">
        <v>449</v>
      </c>
      <c r="E45" s="4" t="s">
        <v>44</v>
      </c>
      <c r="I45" s="4" t="str">
        <f t="shared" si="0"/>
        <v xml:space="preserve">    mod_appl_mod_rai_nb: "Relative abundance"</v>
      </c>
    </row>
    <row r="46" spans="1:9">
      <c r="A46" s="4" t="s">
        <v>767</v>
      </c>
      <c r="B46" t="s">
        <v>4</v>
      </c>
      <c r="C46" t="s">
        <v>553</v>
      </c>
      <c r="D46" t="s">
        <v>432</v>
      </c>
      <c r="E46" s="4" t="s">
        <v>44</v>
      </c>
      <c r="I46" s="4" t="str">
        <f t="shared" si="0"/>
        <v xml:space="preserve">    mod_appl_mod_rai_poisson: "Relative abundance"</v>
      </c>
    </row>
    <row r="47" spans="1:9">
      <c r="A47" s="4" t="s">
        <v>767</v>
      </c>
      <c r="B47" t="s">
        <v>4</v>
      </c>
      <c r="C47" t="s">
        <v>553</v>
      </c>
      <c r="D47" t="s">
        <v>447</v>
      </c>
      <c r="E47" s="4" t="s">
        <v>44</v>
      </c>
      <c r="I47" s="4" t="str">
        <f t="shared" si="0"/>
        <v xml:space="preserve">    mod_appl_mod_rai_zinb: "Relative abundance"</v>
      </c>
    </row>
    <row r="48" spans="1:9">
      <c r="A48" s="4" t="s">
        <v>767</v>
      </c>
      <c r="B48" t="s">
        <v>4</v>
      </c>
      <c r="C48" t="s">
        <v>553</v>
      </c>
      <c r="D48" t="s">
        <v>450</v>
      </c>
      <c r="E48" s="4" t="s">
        <v>44</v>
      </c>
      <c r="I48" s="4" t="str">
        <f t="shared" si="0"/>
        <v xml:space="preserve">    mod_appl_mod_rai_zip: "Relative abundance"</v>
      </c>
    </row>
    <row r="49" spans="1:9">
      <c r="A49" s="4" t="s">
        <v>767</v>
      </c>
      <c r="B49" t="s">
        <v>4</v>
      </c>
      <c r="C49" t="s">
        <v>553</v>
      </c>
      <c r="D49" t="s">
        <v>16</v>
      </c>
      <c r="E49" s="4" t="s">
        <v>532</v>
      </c>
      <c r="I49" s="4" t="str">
        <f t="shared" si="0"/>
        <v xml:space="preserve">    mod_appl_mod_rem: "Density; Unmarked"</v>
      </c>
    </row>
    <row r="50" spans="1:9">
      <c r="A50" s="4" t="s">
        <v>767</v>
      </c>
      <c r="B50" t="s">
        <v>4</v>
      </c>
      <c r="C50" t="s">
        <v>553</v>
      </c>
      <c r="D50" t="s">
        <v>14</v>
      </c>
      <c r="E50" s="4" t="s">
        <v>532</v>
      </c>
      <c r="I50" s="4" t="str">
        <f t="shared" si="0"/>
        <v xml:space="preserve">    mod_appl_mod_rest: "Density; Unmarked"</v>
      </c>
    </row>
    <row r="51" spans="1:9">
      <c r="A51" s="4" t="s">
        <v>767</v>
      </c>
      <c r="B51" t="s">
        <v>4</v>
      </c>
      <c r="C51" t="s">
        <v>553</v>
      </c>
      <c r="D51" t="s">
        <v>23</v>
      </c>
      <c r="E51" s="4" t="s">
        <v>532</v>
      </c>
      <c r="I51" s="4" t="str">
        <f t="shared" si="0"/>
        <v xml:space="preserve">    mod_appl_mod_sc: "Density; Unmarked"</v>
      </c>
    </row>
    <row r="52" spans="1:9">
      <c r="A52" s="4" t="s">
        <v>767</v>
      </c>
      <c r="B52" t="s">
        <v>4</v>
      </c>
      <c r="C52" t="s">
        <v>553</v>
      </c>
      <c r="D52" t="s">
        <v>28</v>
      </c>
      <c r="E52" s="4" t="s">
        <v>534</v>
      </c>
      <c r="I52" s="4" t="str">
        <f t="shared" si="0"/>
        <v xml:space="preserve">    mod_appl_mod_scr_secr: "Density / population size; Marked"</v>
      </c>
    </row>
    <row r="53" spans="1:9">
      <c r="A53" s="4" t="s">
        <v>767</v>
      </c>
      <c r="B53" t="s">
        <v>4</v>
      </c>
      <c r="C53" t="s">
        <v>553</v>
      </c>
      <c r="D53" t="s">
        <v>25</v>
      </c>
      <c r="E53" s="4" t="s">
        <v>535</v>
      </c>
      <c r="I53" s="4" t="str">
        <f t="shared" si="0"/>
        <v xml:space="preserve">    mod_appl_mod_smr: "Density; Marked"</v>
      </c>
    </row>
    <row r="54" spans="1:9">
      <c r="A54" s="4" t="s">
        <v>767</v>
      </c>
      <c r="B54" t="s">
        <v>4</v>
      </c>
      <c r="C54" t="s">
        <v>553</v>
      </c>
      <c r="D54" t="s">
        <v>6</v>
      </c>
      <c r="E54" s="4" t="s">
        <v>532</v>
      </c>
      <c r="I54" s="4" t="str">
        <f t="shared" si="0"/>
        <v xml:space="preserve">    mod_appl_mod_ste: "Density; Unmarked"</v>
      </c>
    </row>
    <row r="55" spans="1:9">
      <c r="A55" s="4" t="s">
        <v>767</v>
      </c>
      <c r="B55" t="s">
        <v>4</v>
      </c>
      <c r="C55" t="s">
        <v>553</v>
      </c>
      <c r="D55" t="s">
        <v>12</v>
      </c>
      <c r="E55" s="4" t="s">
        <v>532</v>
      </c>
      <c r="I55" s="4" t="str">
        <f t="shared" si="0"/>
        <v xml:space="preserve">    mod_appl_mod_tifc: "Density; Unmarked"</v>
      </c>
    </row>
    <row r="56" spans="1:9">
      <c r="A56" s="4" t="s">
        <v>767</v>
      </c>
      <c r="B56" t="s">
        <v>4</v>
      </c>
      <c r="C56" t="s">
        <v>553</v>
      </c>
      <c r="D56" t="s">
        <v>8</v>
      </c>
      <c r="E56" s="4" t="s">
        <v>532</v>
      </c>
      <c r="I56" s="4" t="str">
        <f t="shared" si="0"/>
        <v xml:space="preserve">    mod_appl_mod_tte: "Density; Unmarked"</v>
      </c>
    </row>
    <row r="57" spans="1:9">
      <c r="C57" t="s">
        <v>473</v>
      </c>
      <c r="D57" t="s">
        <v>554</v>
      </c>
      <c r="E57" t="s">
        <v>984</v>
      </c>
      <c r="F57" t="s">
        <v>984</v>
      </c>
      <c r="G57" t="s">
        <v>984</v>
      </c>
      <c r="I57" t="e">
        <f>"    "&amp;D57&amp;": "&amp;""""&amp;#REF!&amp;""""</f>
        <v>#REF!</v>
      </c>
    </row>
    <row r="58" spans="1:9">
      <c r="C58" t="s">
        <v>473</v>
      </c>
      <c r="D58" t="s">
        <v>599</v>
      </c>
      <c r="E58" t="s">
        <v>984</v>
      </c>
      <c r="F58" t="s">
        <v>984</v>
      </c>
      <c r="G58" t="s">
        <v>984</v>
      </c>
      <c r="I58" t="e">
        <f>"    "&amp;D58&amp;": "&amp;""""&amp;#REF!&amp;""""</f>
        <v>#REF!</v>
      </c>
    </row>
    <row r="59" spans="1:9">
      <c r="C59" t="s">
        <v>473</v>
      </c>
      <c r="D59" t="s">
        <v>608</v>
      </c>
      <c r="E59" t="s">
        <v>984</v>
      </c>
      <c r="F59" t="s">
        <v>984</v>
      </c>
      <c r="G59" t="s">
        <v>984</v>
      </c>
      <c r="I59" t="e">
        <f>"    "&amp;D59&amp;": "&amp;""""&amp;#REF!&amp;""""</f>
        <v>#REF!</v>
      </c>
    </row>
    <row r="60" spans="1:9">
      <c r="C60" t="s">
        <v>473</v>
      </c>
      <c r="D60" t="s">
        <v>609</v>
      </c>
      <c r="E60" t="s">
        <v>984</v>
      </c>
      <c r="F60" t="s">
        <v>984</v>
      </c>
      <c r="G60" t="s">
        <v>984</v>
      </c>
      <c r="I60" t="e">
        <f>"    "&amp;D60&amp;": "&amp;""""&amp;#REF!&amp;""""</f>
        <v>#REF!</v>
      </c>
    </row>
    <row r="61" spans="1:9">
      <c r="C61" t="s">
        <v>473</v>
      </c>
      <c r="D61" t="s">
        <v>610</v>
      </c>
      <c r="E61" t="s">
        <v>984</v>
      </c>
      <c r="F61" t="s">
        <v>984</v>
      </c>
      <c r="G61" t="s">
        <v>984</v>
      </c>
      <c r="I61" t="e">
        <f>"    "&amp;D61&amp;": "&amp;""""&amp;#REF!&amp;""""</f>
        <v>#REF!</v>
      </c>
    </row>
    <row r="62" spans="1:9">
      <c r="C62" t="s">
        <v>473</v>
      </c>
      <c r="D62" t="s">
        <v>611</v>
      </c>
      <c r="E62" t="s">
        <v>984</v>
      </c>
      <c r="F62" t="s">
        <v>984</v>
      </c>
      <c r="G62" t="s">
        <v>984</v>
      </c>
      <c r="I62" t="e">
        <f>"    "&amp;D62&amp;": "&amp;""""&amp;#REF!&amp;""""</f>
        <v>#REF!</v>
      </c>
    </row>
    <row r="63" spans="1:9">
      <c r="C63" t="s">
        <v>473</v>
      </c>
      <c r="D63" t="s">
        <v>612</v>
      </c>
      <c r="E63" t="s">
        <v>984</v>
      </c>
      <c r="F63" t="s">
        <v>984</v>
      </c>
      <c r="G63" t="s">
        <v>984</v>
      </c>
      <c r="I63" t="e">
        <f>"    "&amp;D63&amp;": "&amp;""""&amp;#REF!&amp;""""</f>
        <v>#REF!</v>
      </c>
    </row>
    <row r="64" spans="1:9">
      <c r="C64" t="s">
        <v>473</v>
      </c>
      <c r="D64" t="s">
        <v>613</v>
      </c>
      <c r="E64" t="s">
        <v>984</v>
      </c>
      <c r="F64" t="s">
        <v>984</v>
      </c>
      <c r="G64" t="s">
        <v>984</v>
      </c>
      <c r="I64" t="e">
        <f>"    "&amp;D64&amp;": "&amp;""""&amp;#REF!&amp;""""</f>
        <v>#REF!</v>
      </c>
    </row>
    <row r="65" spans="3:9">
      <c r="C65" t="s">
        <v>473</v>
      </c>
      <c r="D65" t="s">
        <v>614</v>
      </c>
      <c r="E65" t="s">
        <v>984</v>
      </c>
      <c r="F65" t="s">
        <v>984</v>
      </c>
      <c r="G65" t="s">
        <v>984</v>
      </c>
      <c r="I65" t="e">
        <f>"    "&amp;D65&amp;": "&amp;""""&amp;#REF!&amp;""""</f>
        <v>#REF!</v>
      </c>
    </row>
    <row r="66" spans="3:9">
      <c r="C66" t="s">
        <v>473</v>
      </c>
      <c r="D66" t="s">
        <v>615</v>
      </c>
      <c r="E66" t="s">
        <v>984</v>
      </c>
      <c r="F66" t="s">
        <v>984</v>
      </c>
      <c r="G66" t="s">
        <v>984</v>
      </c>
      <c r="I66" t="e">
        <f>"    "&amp;D66&amp;": "&amp;""""&amp;#REF!&amp;""""</f>
        <v>#REF!</v>
      </c>
    </row>
    <row r="67" spans="3:9">
      <c r="C67" t="s">
        <v>473</v>
      </c>
      <c r="D67" t="s">
        <v>616</v>
      </c>
      <c r="E67" t="s">
        <v>984</v>
      </c>
      <c r="F67" t="s">
        <v>984</v>
      </c>
      <c r="G67" t="s">
        <v>984</v>
      </c>
      <c r="I67" t="e">
        <f>"    "&amp;D67&amp;": "&amp;""""&amp;#REF!&amp;""""</f>
        <v>#REF!</v>
      </c>
    </row>
    <row r="68" spans="3:9">
      <c r="C68" t="s">
        <v>473</v>
      </c>
      <c r="D68" t="s">
        <v>617</v>
      </c>
      <c r="E68" t="s">
        <v>984</v>
      </c>
      <c r="F68" t="s">
        <v>984</v>
      </c>
      <c r="G68" t="s">
        <v>984</v>
      </c>
      <c r="I68" t="e">
        <f>"    "&amp;D68&amp;": "&amp;""""&amp;#REF!&amp;""""</f>
        <v>#REF!</v>
      </c>
    </row>
    <row r="69" spans="3:9">
      <c r="C69" t="s">
        <v>473</v>
      </c>
      <c r="D69" t="s">
        <v>600</v>
      </c>
      <c r="E69" t="s">
        <v>984</v>
      </c>
      <c r="F69" t="s">
        <v>984</v>
      </c>
      <c r="G69" t="s">
        <v>984</v>
      </c>
      <c r="I69" t="e">
        <f>"    "&amp;D69&amp;": "&amp;""""&amp;#REF!&amp;""""</f>
        <v>#REF!</v>
      </c>
    </row>
    <row r="70" spans="3:9">
      <c r="C70" t="s">
        <v>473</v>
      </c>
      <c r="D70" t="s">
        <v>618</v>
      </c>
      <c r="E70" t="s">
        <v>984</v>
      </c>
      <c r="F70" t="s">
        <v>984</v>
      </c>
      <c r="G70" t="s">
        <v>984</v>
      </c>
      <c r="I70" t="e">
        <f>"    "&amp;D70&amp;": "&amp;""""&amp;#REF!&amp;""""</f>
        <v>#REF!</v>
      </c>
    </row>
    <row r="71" spans="3:9">
      <c r="C71" t="s">
        <v>473</v>
      </c>
      <c r="D71" t="s">
        <v>601</v>
      </c>
      <c r="E71" t="s">
        <v>984</v>
      </c>
      <c r="F71" t="s">
        <v>984</v>
      </c>
      <c r="G71" t="s">
        <v>984</v>
      </c>
      <c r="I71" t="e">
        <f>"    "&amp;D71&amp;": "&amp;""""&amp;#REF!&amp;""""</f>
        <v>#REF!</v>
      </c>
    </row>
    <row r="72" spans="3:9">
      <c r="C72" t="s">
        <v>473</v>
      </c>
      <c r="D72" t="s">
        <v>602</v>
      </c>
      <c r="E72" t="s">
        <v>984</v>
      </c>
      <c r="F72" t="s">
        <v>984</v>
      </c>
      <c r="G72" t="s">
        <v>984</v>
      </c>
      <c r="I72" t="e">
        <f>"    "&amp;D72&amp;": "&amp;""""&amp;#REF!&amp;""""</f>
        <v>#REF!</v>
      </c>
    </row>
    <row r="73" spans="3:9">
      <c r="C73" t="s">
        <v>473</v>
      </c>
      <c r="D73" t="s">
        <v>603</v>
      </c>
      <c r="E73" t="s">
        <v>984</v>
      </c>
      <c r="F73" t="s">
        <v>984</v>
      </c>
      <c r="G73" t="s">
        <v>984</v>
      </c>
      <c r="I73" t="e">
        <f>"    "&amp;D73&amp;": "&amp;""""&amp;#REF!&amp;""""</f>
        <v>#REF!</v>
      </c>
    </row>
    <row r="74" spans="3:9">
      <c r="C74" t="s">
        <v>473</v>
      </c>
      <c r="D74" t="s">
        <v>604</v>
      </c>
      <c r="E74" t="s">
        <v>984</v>
      </c>
      <c r="F74" t="s">
        <v>984</v>
      </c>
      <c r="G74" t="s">
        <v>984</v>
      </c>
      <c r="I74" t="e">
        <f>"    "&amp;D74&amp;": "&amp;""""&amp;#REF!&amp;""""</f>
        <v>#REF!</v>
      </c>
    </row>
    <row r="75" spans="3:9">
      <c r="C75" t="s">
        <v>473</v>
      </c>
      <c r="D75" t="s">
        <v>605</v>
      </c>
      <c r="E75" t="s">
        <v>984</v>
      </c>
      <c r="F75" t="s">
        <v>984</v>
      </c>
      <c r="G75" t="s">
        <v>984</v>
      </c>
      <c r="I75" t="e">
        <f>"    "&amp;D75&amp;": "&amp;""""&amp;#REF!&amp;""""</f>
        <v>#REF!</v>
      </c>
    </row>
    <row r="76" spans="3:9">
      <c r="C76" t="s">
        <v>473</v>
      </c>
      <c r="D76" t="s">
        <v>606</v>
      </c>
      <c r="E76" t="s">
        <v>984</v>
      </c>
      <c r="F76" t="s">
        <v>984</v>
      </c>
      <c r="G76" t="s">
        <v>984</v>
      </c>
      <c r="I76" t="e">
        <f>"    "&amp;D76&amp;": "&amp;""""&amp;#REF!&amp;""""</f>
        <v>#REF!</v>
      </c>
    </row>
    <row r="77" spans="3:9">
      <c r="C77" t="s">
        <v>473</v>
      </c>
      <c r="D77" t="s">
        <v>607</v>
      </c>
      <c r="E77" t="s">
        <v>984</v>
      </c>
      <c r="F77" t="s">
        <v>984</v>
      </c>
      <c r="G77" t="s">
        <v>984</v>
      </c>
      <c r="I77" t="e">
        <f>"    "&amp;D77&amp;": "&amp;""""&amp;#REF!&amp;""""</f>
        <v>#REF!</v>
      </c>
    </row>
    <row r="78" spans="3:9">
      <c r="C78" t="s">
        <v>473</v>
      </c>
      <c r="D78" t="s">
        <v>466</v>
      </c>
      <c r="E78" t="s">
        <v>984</v>
      </c>
      <c r="F78" t="s">
        <v>984</v>
      </c>
      <c r="G78" t="s">
        <v>984</v>
      </c>
      <c r="I78" t="e">
        <f>"    "&amp;D78&amp;": "&amp;""""&amp;#REF!&amp;""""</f>
        <v>#REF!</v>
      </c>
    </row>
    <row r="79" spans="3:9">
      <c r="C79" t="s">
        <v>473</v>
      </c>
      <c r="D79" t="s">
        <v>507</v>
      </c>
      <c r="E79" t="s">
        <v>984</v>
      </c>
      <c r="F79" t="s">
        <v>984</v>
      </c>
      <c r="G79" t="s">
        <v>984</v>
      </c>
      <c r="I79" t="e">
        <f>"    "&amp;D79&amp;": "&amp;""""&amp;#REF!&amp;""""</f>
        <v>#REF!</v>
      </c>
    </row>
    <row r="80" spans="3:9">
      <c r="C80" t="s">
        <v>473</v>
      </c>
      <c r="D80" t="s">
        <v>508</v>
      </c>
      <c r="E80" t="s">
        <v>984</v>
      </c>
      <c r="F80" t="s">
        <v>984</v>
      </c>
      <c r="G80" t="s">
        <v>984</v>
      </c>
      <c r="I80" t="e">
        <f>"    "&amp;D80&amp;": "&amp;""""&amp;#REF!&amp;""""</f>
        <v>#REF!</v>
      </c>
    </row>
    <row r="81" spans="3:9">
      <c r="C81" t="s">
        <v>473</v>
      </c>
      <c r="D81" t="s">
        <v>509</v>
      </c>
      <c r="E81" t="s">
        <v>984</v>
      </c>
      <c r="F81" t="s">
        <v>984</v>
      </c>
      <c r="G81" t="s">
        <v>984</v>
      </c>
      <c r="I81" t="e">
        <f>"    "&amp;D81&amp;": "&amp;""""&amp;#REF!&amp;""""</f>
        <v>#REF!</v>
      </c>
    </row>
    <row r="82" spans="3:9">
      <c r="C82" t="s">
        <v>473</v>
      </c>
      <c r="D82" t="s">
        <v>510</v>
      </c>
      <c r="E82" t="s">
        <v>984</v>
      </c>
      <c r="F82" t="s">
        <v>984</v>
      </c>
      <c r="G82" t="s">
        <v>984</v>
      </c>
      <c r="I82" t="e">
        <f>"    "&amp;D82&amp;": "&amp;""""&amp;#REF!&amp;""""</f>
        <v>#REF!</v>
      </c>
    </row>
    <row r="83" spans="3:9">
      <c r="C83" t="s">
        <v>473</v>
      </c>
      <c r="D83" t="s">
        <v>592</v>
      </c>
      <c r="E83" t="s">
        <v>984</v>
      </c>
      <c r="F83" t="s">
        <v>984</v>
      </c>
      <c r="G83" t="s">
        <v>984</v>
      </c>
      <c r="I83" t="e">
        <f>"    "&amp;D83&amp;": "&amp;""""&amp;#REF!&amp;""""</f>
        <v>#REF!</v>
      </c>
    </row>
    <row r="84" spans="3:9">
      <c r="C84" t="s">
        <v>473</v>
      </c>
      <c r="D84" t="s">
        <v>593</v>
      </c>
      <c r="E84" t="s">
        <v>984</v>
      </c>
      <c r="F84" t="s">
        <v>984</v>
      </c>
      <c r="G84" t="s">
        <v>984</v>
      </c>
      <c r="I84" t="e">
        <f>"    "&amp;D84&amp;": "&amp;""""&amp;#REF!&amp;""""</f>
        <v>#REF!</v>
      </c>
    </row>
    <row r="85" spans="3:9">
      <c r="C85" t="s">
        <v>473</v>
      </c>
      <c r="D85" t="s">
        <v>594</v>
      </c>
      <c r="E85" t="s">
        <v>984</v>
      </c>
      <c r="F85" t="s">
        <v>984</v>
      </c>
      <c r="G85" t="s">
        <v>984</v>
      </c>
      <c r="I85" t="e">
        <f>"    "&amp;D85&amp;": "&amp;""""&amp;#REF!&amp;""""</f>
        <v>#REF!</v>
      </c>
    </row>
    <row r="86" spans="3:9">
      <c r="C86" t="s">
        <v>473</v>
      </c>
      <c r="D86" t="s">
        <v>595</v>
      </c>
      <c r="E86" t="s">
        <v>984</v>
      </c>
      <c r="F86" t="s">
        <v>984</v>
      </c>
      <c r="G86" t="s">
        <v>984</v>
      </c>
      <c r="I86" t="e">
        <f>"    "&amp;D86&amp;": "&amp;""""&amp;#REF!&amp;""""</f>
        <v>#REF!</v>
      </c>
    </row>
    <row r="87" spans="3:9">
      <c r="C87" t="s">
        <v>473</v>
      </c>
      <c r="D87" t="s">
        <v>596</v>
      </c>
      <c r="E87" t="s">
        <v>984</v>
      </c>
      <c r="F87" t="s">
        <v>984</v>
      </c>
      <c r="G87" t="s">
        <v>984</v>
      </c>
      <c r="I87" t="e">
        <f>"    "&amp;D87&amp;": "&amp;""""&amp;#REF!&amp;""""</f>
        <v>#REF!</v>
      </c>
    </row>
    <row r="88" spans="3:9">
      <c r="C88" t="s">
        <v>473</v>
      </c>
      <c r="D88" t="s">
        <v>597</v>
      </c>
      <c r="E88" t="s">
        <v>984</v>
      </c>
      <c r="F88" t="s">
        <v>984</v>
      </c>
      <c r="G88" t="s">
        <v>984</v>
      </c>
      <c r="I88" t="e">
        <f>"    "&amp;D88&amp;": "&amp;""""&amp;#REF!&amp;""""</f>
        <v>#REF!</v>
      </c>
    </row>
    <row r="89" spans="3:9">
      <c r="C89" t="s">
        <v>473</v>
      </c>
      <c r="D89" t="s">
        <v>467</v>
      </c>
      <c r="E89" t="s">
        <v>984</v>
      </c>
      <c r="F89" t="s">
        <v>984</v>
      </c>
      <c r="G89" t="s">
        <v>984</v>
      </c>
      <c r="I89" t="e">
        <f>"    "&amp;D89&amp;": "&amp;""""&amp;#REF!&amp;""""</f>
        <v>#REF!</v>
      </c>
    </row>
    <row r="90" spans="3:9">
      <c r="C90" t="s">
        <v>473</v>
      </c>
      <c r="D90" t="s">
        <v>598</v>
      </c>
      <c r="E90" t="s">
        <v>984</v>
      </c>
      <c r="F90" t="s">
        <v>984</v>
      </c>
      <c r="G90" t="s">
        <v>984</v>
      </c>
      <c r="I90" t="e">
        <f>"    "&amp;D90&amp;": "&amp;""""&amp;#REF!&amp;""""</f>
        <v>#REF!</v>
      </c>
    </row>
    <row r="91" spans="3:9">
      <c r="C91" t="s">
        <v>473</v>
      </c>
      <c r="D91" t="s">
        <v>468</v>
      </c>
      <c r="E91" t="s">
        <v>984</v>
      </c>
      <c r="F91" t="s">
        <v>984</v>
      </c>
      <c r="G91" t="s">
        <v>984</v>
      </c>
      <c r="I91" t="e">
        <f>"    "&amp;D91&amp;": "&amp;""""&amp;#REF!&amp;""""</f>
        <v>#REF!</v>
      </c>
    </row>
    <row r="92" spans="3:9">
      <c r="C92" t="s">
        <v>473</v>
      </c>
      <c r="D92" t="s">
        <v>469</v>
      </c>
      <c r="E92" t="s">
        <v>984</v>
      </c>
      <c r="F92" t="s">
        <v>984</v>
      </c>
      <c r="G92" t="s">
        <v>984</v>
      </c>
      <c r="I92" t="e">
        <f>"    "&amp;D92&amp;": "&amp;""""&amp;#REF!&amp;""""</f>
        <v>#REF!</v>
      </c>
    </row>
    <row r="93" spans="3:9">
      <c r="C93" t="s">
        <v>473</v>
      </c>
      <c r="D93" t="s">
        <v>465</v>
      </c>
      <c r="E93" t="s">
        <v>984</v>
      </c>
      <c r="F93" t="s">
        <v>984</v>
      </c>
      <c r="G93" t="s">
        <v>984</v>
      </c>
      <c r="I93" t="e">
        <f>"    "&amp;D93&amp;": "&amp;""""&amp;#REF!&amp;""""</f>
        <v>#REF!</v>
      </c>
    </row>
    <row r="94" spans="3:9">
      <c r="C94" t="s">
        <v>473</v>
      </c>
      <c r="D94" t="s">
        <v>470</v>
      </c>
      <c r="E94" t="s">
        <v>984</v>
      </c>
      <c r="F94" t="s">
        <v>984</v>
      </c>
      <c r="G94" t="s">
        <v>984</v>
      </c>
      <c r="I94" t="e">
        <f>"    "&amp;D94&amp;": "&amp;""""&amp;#REF!&amp;""""</f>
        <v>#REF!</v>
      </c>
    </row>
    <row r="95" spans="3:9">
      <c r="C95" t="s">
        <v>473</v>
      </c>
      <c r="D95" t="s">
        <v>471</v>
      </c>
      <c r="E95" t="s">
        <v>984</v>
      </c>
      <c r="F95" t="s">
        <v>984</v>
      </c>
      <c r="G95" t="s">
        <v>984</v>
      </c>
      <c r="I95" t="e">
        <f>"    "&amp;D95&amp;": "&amp;""""&amp;#REF!&amp;""""</f>
        <v>#REF!</v>
      </c>
    </row>
    <row r="96" spans="3:9">
      <c r="C96" t="s">
        <v>473</v>
      </c>
      <c r="D96" t="s">
        <v>472</v>
      </c>
      <c r="E96" t="s">
        <v>984</v>
      </c>
      <c r="F96" t="s">
        <v>984</v>
      </c>
      <c r="G96" t="s">
        <v>984</v>
      </c>
      <c r="I96" t="e">
        <f>"    "&amp;D96&amp;": "&amp;""""&amp;#REF!&amp;""""</f>
        <v>#REF!</v>
      </c>
    </row>
    <row r="97" spans="3:9">
      <c r="C97" t="s">
        <v>473</v>
      </c>
      <c r="D97" t="s">
        <v>506</v>
      </c>
      <c r="E97" t="s">
        <v>984</v>
      </c>
      <c r="F97" t="s">
        <v>984</v>
      </c>
      <c r="G97" t="s">
        <v>984</v>
      </c>
      <c r="I97" t="e">
        <f>"    "&amp;D97&amp;": "&amp;""""&amp;#REF!&amp;""""</f>
        <v>#REF!</v>
      </c>
    </row>
    <row r="98" spans="3:9">
      <c r="C98" t="s">
        <v>473</v>
      </c>
      <c r="D98" t="s">
        <v>1014</v>
      </c>
      <c r="E98" t="s">
        <v>984</v>
      </c>
      <c r="F98" t="s">
        <v>984</v>
      </c>
      <c r="G98" t="s">
        <v>984</v>
      </c>
      <c r="I98" t="e">
        <f>"    "&amp;D98&amp;": "&amp;""""&amp;#REF!&amp;""""</f>
        <v>#REF!</v>
      </c>
    </row>
    <row r="99" spans="3:9">
      <c r="C99" t="s">
        <v>473</v>
      </c>
      <c r="D99" t="s">
        <v>1015</v>
      </c>
      <c r="E99" t="s">
        <v>984</v>
      </c>
      <c r="F99" t="s">
        <v>984</v>
      </c>
      <c r="G99" t="s">
        <v>984</v>
      </c>
      <c r="I99" t="e">
        <f>"    "&amp;D99&amp;": "&amp;""""&amp;#REF!&amp;""""</f>
        <v>#REF!</v>
      </c>
    </row>
    <row r="100" spans="3:9">
      <c r="C100" t="s">
        <v>473</v>
      </c>
      <c r="D100" t="s">
        <v>1016</v>
      </c>
      <c r="E100" t="s">
        <v>984</v>
      </c>
      <c r="F100" t="s">
        <v>984</v>
      </c>
      <c r="G100" t="s">
        <v>984</v>
      </c>
      <c r="I100" t="e">
        <f>"    "&amp;D100&amp;": "&amp;""""&amp;#REF!&amp;""""</f>
        <v>#REF!</v>
      </c>
    </row>
    <row r="101" spans="3:9">
      <c r="C101" t="s">
        <v>473</v>
      </c>
      <c r="D101" t="s">
        <v>1017</v>
      </c>
      <c r="E101" t="s">
        <v>984</v>
      </c>
      <c r="F101" t="s">
        <v>984</v>
      </c>
      <c r="G101" t="s">
        <v>984</v>
      </c>
      <c r="I101" t="e">
        <f>"    "&amp;D101&amp;": "&amp;""""&amp;#REF!&amp;""""</f>
        <v>#REF!</v>
      </c>
    </row>
    <row r="102" spans="3:9">
      <c r="C102" t="s">
        <v>473</v>
      </c>
      <c r="D102" t="s">
        <v>1018</v>
      </c>
      <c r="E102" t="s">
        <v>984</v>
      </c>
      <c r="F102" t="s">
        <v>984</v>
      </c>
      <c r="G102" t="s">
        <v>984</v>
      </c>
      <c r="I102" t="e">
        <f>"    "&amp;D102&amp;": "&amp;""""&amp;#REF!&amp;""""</f>
        <v>#REF!</v>
      </c>
    </row>
    <row r="103" spans="3:9">
      <c r="C103" t="s">
        <v>473</v>
      </c>
      <c r="D103" t="s">
        <v>1019</v>
      </c>
      <c r="E103" t="s">
        <v>984</v>
      </c>
      <c r="F103" t="s">
        <v>984</v>
      </c>
      <c r="G103" t="s">
        <v>984</v>
      </c>
      <c r="I103" t="e">
        <f>"    "&amp;D103&amp;": "&amp;""""&amp;#REF!&amp;""""</f>
        <v>#REF!</v>
      </c>
    </row>
    <row r="104" spans="3:9">
      <c r="C104" t="s">
        <v>473</v>
      </c>
      <c r="D104" t="s">
        <v>1020</v>
      </c>
      <c r="E104" t="s">
        <v>984</v>
      </c>
      <c r="F104" t="s">
        <v>984</v>
      </c>
      <c r="G104" t="s">
        <v>984</v>
      </c>
      <c r="I104" t="e">
        <f>"    "&amp;D104&amp;": "&amp;""""&amp;#REF!&amp;""""</f>
        <v>#REF!</v>
      </c>
    </row>
    <row r="105" spans="3:9">
      <c r="C105" t="s">
        <v>473</v>
      </c>
      <c r="D105" t="s">
        <v>1021</v>
      </c>
      <c r="E105" t="s">
        <v>984</v>
      </c>
      <c r="F105" t="s">
        <v>984</v>
      </c>
      <c r="G105" t="s">
        <v>984</v>
      </c>
      <c r="I105" t="e">
        <f>"    "&amp;D105&amp;": "&amp;""""&amp;#REF!&amp;""""</f>
        <v>#REF!</v>
      </c>
    </row>
    <row r="106" spans="3:9">
      <c r="C106" t="s">
        <v>473</v>
      </c>
      <c r="D106" t="s">
        <v>1022</v>
      </c>
      <c r="E106" t="s">
        <v>984</v>
      </c>
      <c r="F106" t="s">
        <v>984</v>
      </c>
      <c r="G106" t="s">
        <v>984</v>
      </c>
      <c r="I106" t="e">
        <f>"    "&amp;D106&amp;": "&amp;""""&amp;#REF!&amp;""""</f>
        <v>#REF!</v>
      </c>
    </row>
    <row r="107" spans="3:9">
      <c r="C107" t="s">
        <v>473</v>
      </c>
      <c r="D107" t="s">
        <v>1023</v>
      </c>
      <c r="E107" t="s">
        <v>984</v>
      </c>
      <c r="F107" t="s">
        <v>984</v>
      </c>
      <c r="G107" t="s">
        <v>984</v>
      </c>
      <c r="I107" t="e">
        <f>"    "&amp;D107&amp;": "&amp;""""&amp;#REF!&amp;""""</f>
        <v>#REF!</v>
      </c>
    </row>
    <row r="108" spans="3:9">
      <c r="C108" t="s">
        <v>473</v>
      </c>
      <c r="D108" t="s">
        <v>1024</v>
      </c>
      <c r="E108" t="s">
        <v>984</v>
      </c>
      <c r="F108" t="s">
        <v>984</v>
      </c>
      <c r="G108" t="s">
        <v>984</v>
      </c>
      <c r="I108" t="e">
        <f>"    "&amp;D108&amp;": "&amp;""""&amp;#REF!&amp;""""</f>
        <v>#REF!</v>
      </c>
    </row>
    <row r="109" spans="3:9">
      <c r="C109" t="s">
        <v>473</v>
      </c>
      <c r="D109" t="s">
        <v>1025</v>
      </c>
      <c r="E109" t="s">
        <v>984</v>
      </c>
      <c r="F109" t="s">
        <v>984</v>
      </c>
      <c r="G109" t="s">
        <v>984</v>
      </c>
      <c r="I109" t="e">
        <f>"    "&amp;D109&amp;": "&amp;""""&amp;#REF!&amp;""""</f>
        <v>#REF!</v>
      </c>
    </row>
    <row r="110" spans="3:9">
      <c r="C110" t="s">
        <v>473</v>
      </c>
      <c r="D110" t="s">
        <v>1026</v>
      </c>
      <c r="E110" t="s">
        <v>984</v>
      </c>
      <c r="F110" t="s">
        <v>984</v>
      </c>
      <c r="G110" t="s">
        <v>984</v>
      </c>
      <c r="I110" t="e">
        <f>"    "&amp;D110&amp;": "&amp;""""&amp;#REF!&amp;""""</f>
        <v>#REF!</v>
      </c>
    </row>
    <row r="111" spans="3:9">
      <c r="C111" t="s">
        <v>473</v>
      </c>
      <c r="D111" t="s">
        <v>1027</v>
      </c>
      <c r="E111" t="s">
        <v>984</v>
      </c>
      <c r="F111" t="s">
        <v>984</v>
      </c>
      <c r="G111" t="s">
        <v>984</v>
      </c>
      <c r="I111" t="e">
        <f>"    "&amp;D111&amp;": "&amp;""""&amp;#REF!&amp;""""</f>
        <v>#REF!</v>
      </c>
    </row>
    <row r="112" spans="3:9">
      <c r="C112" t="s">
        <v>473</v>
      </c>
      <c r="D112" t="s">
        <v>1028</v>
      </c>
      <c r="E112" t="s">
        <v>984</v>
      </c>
      <c r="F112" t="s">
        <v>984</v>
      </c>
      <c r="G112" t="s">
        <v>984</v>
      </c>
      <c r="I112" t="e">
        <f>"    "&amp;D112&amp;": "&amp;""""&amp;#REF!&amp;""""</f>
        <v>#REF!</v>
      </c>
    </row>
    <row r="113" spans="3:9">
      <c r="C113" t="s">
        <v>473</v>
      </c>
      <c r="D113" t="s">
        <v>1029</v>
      </c>
      <c r="E113" t="s">
        <v>984</v>
      </c>
      <c r="F113" t="s">
        <v>984</v>
      </c>
      <c r="G113" t="s">
        <v>984</v>
      </c>
      <c r="I113" t="e">
        <f>"    "&amp;D113&amp;": "&amp;""""&amp;#REF!&amp;""""</f>
        <v>#REF!</v>
      </c>
    </row>
    <row r="114" spans="3:9">
      <c r="C114" t="s">
        <v>473</v>
      </c>
      <c r="D114" t="s">
        <v>1030</v>
      </c>
      <c r="E114" t="s">
        <v>984</v>
      </c>
      <c r="F114" t="s">
        <v>984</v>
      </c>
      <c r="G114" t="s">
        <v>984</v>
      </c>
      <c r="I114" t="e">
        <f>"    "&amp;D114&amp;": "&amp;""""&amp;#REF!&amp;""""</f>
        <v>#REF!</v>
      </c>
    </row>
    <row r="115" spans="3:9">
      <c r="C115" t="s">
        <v>473</v>
      </c>
      <c r="D115" t="s">
        <v>1031</v>
      </c>
      <c r="E115" t="s">
        <v>984</v>
      </c>
      <c r="F115" t="s">
        <v>984</v>
      </c>
      <c r="G115" t="s">
        <v>984</v>
      </c>
      <c r="I115" t="e">
        <f>"    "&amp;D115&amp;": "&amp;""""&amp;#REF!&amp;""""</f>
        <v>#REF!</v>
      </c>
    </row>
    <row r="116" spans="3:9">
      <c r="C116" t="s">
        <v>473</v>
      </c>
      <c r="D116" t="s">
        <v>1032</v>
      </c>
      <c r="E116" t="s">
        <v>984</v>
      </c>
      <c r="F116" t="s">
        <v>984</v>
      </c>
      <c r="G116" t="s">
        <v>984</v>
      </c>
      <c r="I116" t="e">
        <f>"    "&amp;D116&amp;": "&amp;""""&amp;#REF!&amp;""""</f>
        <v>#REF!</v>
      </c>
    </row>
    <row r="117" spans="3:9">
      <c r="C117" t="s">
        <v>473</v>
      </c>
      <c r="D117" t="s">
        <v>1033</v>
      </c>
      <c r="E117" t="s">
        <v>984</v>
      </c>
      <c r="F117" t="s">
        <v>984</v>
      </c>
      <c r="G117" t="s">
        <v>984</v>
      </c>
      <c r="I117" t="e">
        <f>"    "&amp;D117&amp;": "&amp;""""&amp;#REF!&amp;""""</f>
        <v>#REF!</v>
      </c>
    </row>
    <row r="118" spans="3:9">
      <c r="C118" t="s">
        <v>473</v>
      </c>
      <c r="D118" t="s">
        <v>1034</v>
      </c>
      <c r="E118" t="s">
        <v>984</v>
      </c>
      <c r="F118" t="s">
        <v>984</v>
      </c>
      <c r="G118" t="s">
        <v>984</v>
      </c>
      <c r="I118" t="e">
        <f>"    "&amp;D118&amp;": "&amp;""""&amp;#REF!&amp;""""</f>
        <v>#REF!</v>
      </c>
    </row>
    <row r="119" spans="3:9">
      <c r="C119" t="s">
        <v>473</v>
      </c>
      <c r="D119" t="s">
        <v>1035</v>
      </c>
      <c r="E119" t="s">
        <v>984</v>
      </c>
      <c r="F119" t="s">
        <v>984</v>
      </c>
      <c r="G119" t="s">
        <v>984</v>
      </c>
      <c r="I119" t="e">
        <f>"    "&amp;D119&amp;": "&amp;""""&amp;#REF!&amp;""""</f>
        <v>#REF!</v>
      </c>
    </row>
    <row r="120" spans="3:9">
      <c r="C120" t="s">
        <v>473</v>
      </c>
      <c r="D120" t="s">
        <v>1036</v>
      </c>
      <c r="E120" t="s">
        <v>984</v>
      </c>
      <c r="F120" t="s">
        <v>984</v>
      </c>
      <c r="G120" t="s">
        <v>984</v>
      </c>
      <c r="I120" t="e">
        <f>"    "&amp;D120&amp;": "&amp;""""&amp;#REF!&amp;""""</f>
        <v>#REF!</v>
      </c>
    </row>
    <row r="121" spans="3:9">
      <c r="C121" t="s">
        <v>473</v>
      </c>
      <c r="D121" t="s">
        <v>1037</v>
      </c>
      <c r="E121" t="s">
        <v>984</v>
      </c>
      <c r="F121" t="s">
        <v>984</v>
      </c>
      <c r="G121" t="s">
        <v>984</v>
      </c>
      <c r="I121" t="e">
        <f>"    "&amp;D121&amp;": "&amp;""""&amp;#REF!&amp;""""</f>
        <v>#REF!</v>
      </c>
    </row>
    <row r="122" spans="3:9">
      <c r="C122" t="s">
        <v>473</v>
      </c>
      <c r="D122" t="s">
        <v>1038</v>
      </c>
      <c r="E122" t="s">
        <v>984</v>
      </c>
      <c r="F122" t="s">
        <v>984</v>
      </c>
      <c r="G122" t="s">
        <v>984</v>
      </c>
      <c r="I122" t="e">
        <f>"    "&amp;D122&amp;": "&amp;""""&amp;#REF!&amp;""""</f>
        <v>#REF!</v>
      </c>
    </row>
    <row r="123" spans="3:9">
      <c r="C123" t="s">
        <v>473</v>
      </c>
      <c r="D123" t="s">
        <v>1039</v>
      </c>
      <c r="E123" t="s">
        <v>984</v>
      </c>
      <c r="F123" t="s">
        <v>984</v>
      </c>
      <c r="G123" t="s">
        <v>984</v>
      </c>
      <c r="I123" t="e">
        <f>"    "&amp;D123&amp;": "&amp;""""&amp;#REF!&amp;""""</f>
        <v>#REF!</v>
      </c>
    </row>
    <row r="124" spans="3:9">
      <c r="C124" t="s">
        <v>473</v>
      </c>
      <c r="D124" t="s">
        <v>1040</v>
      </c>
      <c r="E124" t="s">
        <v>984</v>
      </c>
      <c r="F124" t="s">
        <v>984</v>
      </c>
      <c r="G124" t="s">
        <v>984</v>
      </c>
      <c r="I124" t="e">
        <f>"    "&amp;D124&amp;": "&amp;""""&amp;#REF!&amp;""""</f>
        <v>#REF!</v>
      </c>
    </row>
    <row r="125" spans="3:9">
      <c r="C125" t="s">
        <v>473</v>
      </c>
      <c r="D125" t="s">
        <v>1041</v>
      </c>
      <c r="E125" t="s">
        <v>984</v>
      </c>
      <c r="F125" t="s">
        <v>984</v>
      </c>
      <c r="G125" t="s">
        <v>984</v>
      </c>
      <c r="I125" t="e">
        <f>"    "&amp;D125&amp;": "&amp;""""&amp;#REF!&amp;""""</f>
        <v>#REF!</v>
      </c>
    </row>
    <row r="126" spans="3:9">
      <c r="C126" t="s">
        <v>473</v>
      </c>
      <c r="D126" t="s">
        <v>1042</v>
      </c>
      <c r="E126" t="s">
        <v>984</v>
      </c>
      <c r="F126" t="s">
        <v>984</v>
      </c>
      <c r="G126" t="s">
        <v>984</v>
      </c>
      <c r="I126" t="e">
        <f>"    "&amp;D126&amp;": "&amp;""""&amp;#REF!&amp;""""</f>
        <v>#REF!</v>
      </c>
    </row>
    <row r="127" spans="3:9">
      <c r="C127" t="s">
        <v>473</v>
      </c>
      <c r="D127" t="s">
        <v>1043</v>
      </c>
      <c r="E127" t="s">
        <v>984</v>
      </c>
      <c r="F127" t="s">
        <v>984</v>
      </c>
      <c r="G127" t="s">
        <v>984</v>
      </c>
      <c r="I127" t="e">
        <f>"    "&amp;D127&amp;": "&amp;""""&amp;#REF!&amp;""""</f>
        <v>#REF!</v>
      </c>
    </row>
    <row r="128" spans="3:9">
      <c r="C128" t="s">
        <v>473</v>
      </c>
      <c r="D128" t="s">
        <v>1044</v>
      </c>
      <c r="E128" t="s">
        <v>984</v>
      </c>
      <c r="F128" t="s">
        <v>984</v>
      </c>
      <c r="G128" t="s">
        <v>984</v>
      </c>
      <c r="I128" t="e">
        <f>"    "&amp;D128&amp;": "&amp;""""&amp;#REF!&amp;""""</f>
        <v>#REF!</v>
      </c>
    </row>
    <row r="129" spans="3:9">
      <c r="C129" t="s">
        <v>473</v>
      </c>
      <c r="D129" t="s">
        <v>1045</v>
      </c>
      <c r="E129" t="s">
        <v>984</v>
      </c>
      <c r="F129" t="s">
        <v>984</v>
      </c>
      <c r="G129" t="s">
        <v>984</v>
      </c>
      <c r="I129" t="e">
        <f>"    "&amp;D129&amp;": "&amp;""""&amp;#REF!&amp;""""</f>
        <v>#REF!</v>
      </c>
    </row>
    <row r="130" spans="3:9">
      <c r="C130" t="s">
        <v>473</v>
      </c>
      <c r="D130" t="s">
        <v>1046</v>
      </c>
      <c r="E130" t="s">
        <v>984</v>
      </c>
      <c r="F130" t="s">
        <v>984</v>
      </c>
      <c r="G130" t="s">
        <v>984</v>
      </c>
      <c r="I130" t="e">
        <f>"    "&amp;D130&amp;": "&amp;""""&amp;#REF!&amp;""""</f>
        <v>#REF!</v>
      </c>
    </row>
    <row r="131" spans="3:9">
      <c r="C131" t="s">
        <v>473</v>
      </c>
      <c r="D131" t="s">
        <v>1047</v>
      </c>
      <c r="E131" t="s">
        <v>984</v>
      </c>
      <c r="F131" t="s">
        <v>984</v>
      </c>
      <c r="G131" t="s">
        <v>984</v>
      </c>
      <c r="I131" t="e">
        <f>"    "&amp;D131&amp;": "&amp;""""&amp;#REF!&amp;""""</f>
        <v>#REF!</v>
      </c>
    </row>
    <row r="132" spans="3:9">
      <c r="C132" t="s">
        <v>473</v>
      </c>
      <c r="D132" t="s">
        <v>1048</v>
      </c>
      <c r="E132" t="s">
        <v>984</v>
      </c>
      <c r="F132" t="s">
        <v>984</v>
      </c>
      <c r="G132" t="s">
        <v>984</v>
      </c>
      <c r="I132" t="e">
        <f>"    "&amp;D132&amp;": "&amp;""""&amp;#REF!&amp;""""</f>
        <v>#REF!</v>
      </c>
    </row>
    <row r="133" spans="3:9">
      <c r="C133" t="s">
        <v>473</v>
      </c>
      <c r="D133" t="s">
        <v>1049</v>
      </c>
      <c r="E133" t="s">
        <v>984</v>
      </c>
      <c r="F133" t="s">
        <v>984</v>
      </c>
      <c r="G133" t="s">
        <v>984</v>
      </c>
      <c r="I133" t="e">
        <f>"    "&amp;D133&amp;": "&amp;""""&amp;#REF!&amp;""""</f>
        <v>#REF!</v>
      </c>
    </row>
    <row r="134" spans="3:9">
      <c r="C134" t="s">
        <v>473</v>
      </c>
      <c r="D134" t="s">
        <v>1050</v>
      </c>
      <c r="E134" t="s">
        <v>984</v>
      </c>
      <c r="F134" t="s">
        <v>984</v>
      </c>
      <c r="G134" t="s">
        <v>984</v>
      </c>
      <c r="I134" t="e">
        <f>"    "&amp;D134&amp;": "&amp;""""&amp;#REF!&amp;""""</f>
        <v>#REF!</v>
      </c>
    </row>
    <row r="135" spans="3:9">
      <c r="C135" t="s">
        <v>473</v>
      </c>
      <c r="D135" t="s">
        <v>1051</v>
      </c>
      <c r="E135" t="s">
        <v>984</v>
      </c>
      <c r="F135" t="s">
        <v>984</v>
      </c>
      <c r="G135" t="s">
        <v>984</v>
      </c>
      <c r="I135" t="e">
        <f>"    "&amp;D135&amp;": "&amp;""""&amp;#REF!&amp;""""</f>
        <v>#REF!</v>
      </c>
    </row>
    <row r="136" spans="3:9">
      <c r="C136" t="s">
        <v>473</v>
      </c>
      <c r="D136" t="s">
        <v>1052</v>
      </c>
      <c r="E136" t="s">
        <v>984</v>
      </c>
      <c r="F136" t="s">
        <v>984</v>
      </c>
      <c r="G136" t="s">
        <v>984</v>
      </c>
      <c r="I136" t="e">
        <f>"    "&amp;D136&amp;": "&amp;""""&amp;#REF!&amp;""""</f>
        <v>#REF!</v>
      </c>
    </row>
    <row r="137" spans="3:9">
      <c r="C137" t="s">
        <v>473</v>
      </c>
      <c r="D137" t="s">
        <v>1053</v>
      </c>
      <c r="E137" t="s">
        <v>984</v>
      </c>
      <c r="F137" t="s">
        <v>984</v>
      </c>
      <c r="G137" t="s">
        <v>984</v>
      </c>
      <c r="I137" t="e">
        <f>"    "&amp;D137&amp;": "&amp;""""&amp;#REF!&amp;""""</f>
        <v>#REF!</v>
      </c>
    </row>
    <row r="138" spans="3:9">
      <c r="C138" t="s">
        <v>473</v>
      </c>
      <c r="D138" t="s">
        <v>1054</v>
      </c>
      <c r="E138" t="s">
        <v>984</v>
      </c>
      <c r="F138" t="s">
        <v>984</v>
      </c>
      <c r="G138" t="s">
        <v>984</v>
      </c>
      <c r="I138" t="e">
        <f>"    "&amp;D138&amp;": "&amp;""""&amp;#REF!&amp;""""</f>
        <v>#REF!</v>
      </c>
    </row>
    <row r="139" spans="3:9">
      <c r="C139" t="s">
        <v>473</v>
      </c>
      <c r="D139" t="s">
        <v>1055</v>
      </c>
      <c r="E139" t="s">
        <v>984</v>
      </c>
      <c r="F139" t="s">
        <v>984</v>
      </c>
      <c r="G139" t="s">
        <v>984</v>
      </c>
      <c r="I139" t="e">
        <f>"    "&amp;D139&amp;": "&amp;""""&amp;#REF!&amp;""""</f>
        <v>#REF!</v>
      </c>
    </row>
    <row r="140" spans="3:9">
      <c r="C140" t="s">
        <v>473</v>
      </c>
      <c r="D140" t="s">
        <v>1056</v>
      </c>
      <c r="E140" t="s">
        <v>984</v>
      </c>
      <c r="F140" t="s">
        <v>984</v>
      </c>
      <c r="G140" t="s">
        <v>984</v>
      </c>
      <c r="I140" t="e">
        <f>"    "&amp;D140&amp;": "&amp;""""&amp;#REF!&amp;""""</f>
        <v>#REF!</v>
      </c>
    </row>
    <row r="141" spans="3:9">
      <c r="C141" t="s">
        <v>473</v>
      </c>
      <c r="D141" t="s">
        <v>1057</v>
      </c>
      <c r="E141" t="s">
        <v>984</v>
      </c>
      <c r="F141" t="s">
        <v>984</v>
      </c>
      <c r="G141" t="s">
        <v>984</v>
      </c>
      <c r="I141" t="e">
        <f>"    "&amp;D141&amp;": "&amp;""""&amp;#REF!&amp;""""</f>
        <v>#REF!</v>
      </c>
    </row>
    <row r="142" spans="3:9">
      <c r="C142" t="s">
        <v>473</v>
      </c>
      <c r="D142" t="s">
        <v>1058</v>
      </c>
      <c r="E142" t="s">
        <v>984</v>
      </c>
      <c r="F142" t="s">
        <v>984</v>
      </c>
      <c r="G142" t="s">
        <v>984</v>
      </c>
      <c r="I142" t="e">
        <f>"    "&amp;D142&amp;": "&amp;""""&amp;#REF!&amp;""""</f>
        <v>#REF!</v>
      </c>
    </row>
    <row r="143" spans="3:9">
      <c r="C143" t="s">
        <v>473</v>
      </c>
      <c r="D143" t="s">
        <v>1059</v>
      </c>
      <c r="E143" t="s">
        <v>984</v>
      </c>
      <c r="F143" t="s">
        <v>984</v>
      </c>
      <c r="G143" t="s">
        <v>984</v>
      </c>
      <c r="I143" t="e">
        <f>"    "&amp;D143&amp;": "&amp;""""&amp;#REF!&amp;""""</f>
        <v>#REF!</v>
      </c>
    </row>
    <row r="144" spans="3:9">
      <c r="C144" t="s">
        <v>473</v>
      </c>
      <c r="D144" t="s">
        <v>1060</v>
      </c>
      <c r="E144" t="s">
        <v>984</v>
      </c>
      <c r="F144" t="s">
        <v>984</v>
      </c>
      <c r="G144" t="s">
        <v>984</v>
      </c>
      <c r="I144" t="e">
        <f>"    "&amp;D144&amp;": "&amp;""""&amp;#REF!&amp;""""</f>
        <v>#REF!</v>
      </c>
    </row>
    <row r="145" spans="3:9">
      <c r="C145" t="s">
        <v>473</v>
      </c>
      <c r="D145" t="s">
        <v>1061</v>
      </c>
      <c r="E145" t="s">
        <v>984</v>
      </c>
      <c r="F145" t="s">
        <v>984</v>
      </c>
      <c r="G145" t="s">
        <v>984</v>
      </c>
      <c r="I145" t="e">
        <f>"    "&amp;D145&amp;": "&amp;""""&amp;#REF!&amp;""""</f>
        <v>#REF!</v>
      </c>
    </row>
    <row r="146" spans="3:9">
      <c r="C146" t="s">
        <v>473</v>
      </c>
      <c r="D146" t="s">
        <v>1062</v>
      </c>
      <c r="E146" t="s">
        <v>984</v>
      </c>
      <c r="F146" t="s">
        <v>984</v>
      </c>
      <c r="G146" t="s">
        <v>984</v>
      </c>
      <c r="I146" t="e">
        <f>"    "&amp;D146&amp;": "&amp;""""&amp;#REF!&amp;""""</f>
        <v>#REF!</v>
      </c>
    </row>
    <row r="147" spans="3:9">
      <c r="C147" t="s">
        <v>473</v>
      </c>
      <c r="D147" t="s">
        <v>555</v>
      </c>
      <c r="E147" t="s">
        <v>984</v>
      </c>
      <c r="F147" t="s">
        <v>984</v>
      </c>
      <c r="G147" t="s">
        <v>984</v>
      </c>
      <c r="I147" t="e">
        <f>"    "&amp;D147&amp;": "&amp;""""&amp;#REF!&amp;""""</f>
        <v>#REF!</v>
      </c>
    </row>
  </sheetData>
  <autoFilter ref="A1:I29" xr:uid="{B9597082-29CB-45FC-A241-16B4E33864A2}">
    <sortState xmlns:xlrd2="http://schemas.microsoft.com/office/spreadsheetml/2017/richdata2" ref="A2:I29">
      <sortCondition ref="C1:C29"/>
    </sortState>
  </autoFilter>
  <conditionalFormatting sqref="D57:D63">
    <cfRule type="duplicateValues" dxfId="33" priority="13"/>
  </conditionalFormatting>
  <conditionalFormatting sqref="D64:D67">
    <cfRule type="duplicateValues" dxfId="32" priority="14"/>
  </conditionalFormatting>
  <conditionalFormatting sqref="D68:D76">
    <cfRule type="duplicateValues" dxfId="31" priority="12"/>
  </conditionalFormatting>
  <conditionalFormatting sqref="D77:D83">
    <cfRule type="duplicateValues" dxfId="30" priority="16"/>
  </conditionalFormatting>
  <conditionalFormatting sqref="D84:D87">
    <cfRule type="duplicateValues" dxfId="29" priority="17"/>
  </conditionalFormatting>
  <conditionalFormatting sqref="D88:D96">
    <cfRule type="duplicateValues" dxfId="28" priority="15"/>
  </conditionalFormatting>
  <conditionalFormatting sqref="D117:D136">
    <cfRule type="duplicateValues" dxfId="27" priority="11"/>
  </conditionalFormatting>
  <conditionalFormatting sqref="D137:D147 D97:D116">
    <cfRule type="duplicateValues" dxfId="26" priority="18"/>
  </conditionalFormatting>
  <conditionalFormatting sqref="E1:E56 E149:E1048576">
    <cfRule type="containsText" dxfId="25" priority="26" operator="containsText" text="\">
      <formula>NOT(ISERROR(SEARCH("\",E1)))</formula>
    </cfRule>
    <cfRule type="containsText" dxfId="24" priority="27" operator="containsText" text="/">
      <formula>NOT(ISERROR(SEARCH("/",E1)))</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498"/>
  <sheetViews>
    <sheetView workbookViewId="0">
      <pane ySplit="1" topLeftCell="A2" activePane="bottomLeft" state="frozen"/>
      <selection pane="bottomLeft" activeCell="G2" sqref="A2:R495"/>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9" customWidth="1"/>
    <col min="8" max="8" width="26.5" customWidth="1"/>
    <col min="9" max="9" width="35.875" style="46" customWidth="1"/>
    <col min="10" max="10" width="32.25" style="39" customWidth="1"/>
    <col min="11" max="11" width="11.875" style="3" customWidth="1"/>
    <col min="12" max="12" width="29.875" customWidth="1"/>
    <col min="13" max="13" width="33.5" customWidth="1"/>
    <col min="14" max="15" width="9" customWidth="1"/>
    <col min="16" max="16" width="12.375" customWidth="1"/>
    <col min="17" max="17" width="90.5" customWidth="1"/>
  </cols>
  <sheetData>
    <row r="1" spans="1:19" ht="15">
      <c r="A1" s="36" t="s">
        <v>1209</v>
      </c>
      <c r="B1" s="36" t="s">
        <v>1210</v>
      </c>
      <c r="C1" s="36" t="s">
        <v>1143</v>
      </c>
      <c r="D1" s="36" t="s">
        <v>1744</v>
      </c>
      <c r="E1" s="36" t="s">
        <v>1743</v>
      </c>
      <c r="F1" s="36" t="s">
        <v>1771</v>
      </c>
      <c r="G1" s="36" t="s">
        <v>4474</v>
      </c>
      <c r="H1" s="36" t="s">
        <v>1812</v>
      </c>
      <c r="I1" s="44" t="s">
        <v>326</v>
      </c>
      <c r="J1" s="37" t="s">
        <v>1393</v>
      </c>
      <c r="K1" s="37" t="s">
        <v>1063</v>
      </c>
      <c r="L1" s="36" t="s">
        <v>1831</v>
      </c>
      <c r="M1" s="36" t="s">
        <v>1202</v>
      </c>
      <c r="N1" s="49" t="s">
        <v>981</v>
      </c>
      <c r="O1" s="49" t="s">
        <v>982</v>
      </c>
      <c r="P1" s="49" t="s">
        <v>983</v>
      </c>
      <c r="Q1" s="44" t="s">
        <v>1815</v>
      </c>
      <c r="R1" s="44" t="s">
        <v>1832</v>
      </c>
      <c r="S1" t="s">
        <v>1815</v>
      </c>
    </row>
    <row r="2" spans="1:19">
      <c r="A2" s="30">
        <v>3</v>
      </c>
      <c r="B2" s="30" t="s">
        <v>1393</v>
      </c>
      <c r="C2" s="30"/>
      <c r="D2" s="30" t="s">
        <v>1208</v>
      </c>
      <c r="E2" s="30" t="s">
        <v>984</v>
      </c>
      <c r="F2" s="30" t="s">
        <v>344</v>
      </c>
      <c r="G2" s="39" t="str">
        <f>VLOOKUP(F2,glossary!J:N,2,FALSE)</f>
        <v>Access Method</v>
      </c>
      <c r="H2" s="34" t="s">
        <v>344</v>
      </c>
      <c r="I2" s="45" t="str">
        <f t="shared" ref="I2:I65" si="0">IF(D2="-","-",IF(E2&lt;&gt;"-",(H2&amp;"_"&amp;D2&amp;"_"&amp;E2),H2&amp;"_"&amp;D2))</f>
        <v>access_method_tu</v>
      </c>
      <c r="J2" s="42" t="s">
        <v>670</v>
      </c>
      <c r="K2" s="39" t="str">
        <f>VLOOKUP(F2,glossary!J:N,5,FALSE)</f>
        <v>The method used to reach the camera location (e.g., on 'Foot,' 'ATV,' 'Helicopter,' etc.).</v>
      </c>
      <c r="L2" t="s">
        <v>1712</v>
      </c>
      <c r="M2" s="30" t="str">
        <f t="shared" ref="M2:M65" si="1">"{{ "&amp;I2&amp;" }}"</f>
        <v>{{ access_method_tu }}</v>
      </c>
      <c r="N2" t="s">
        <v>896</v>
      </c>
      <c r="O2" s="13" t="s">
        <v>1816</v>
      </c>
      <c r="P2" t="s">
        <v>4582</v>
      </c>
      <c r="Q2" t="str">
        <f t="shared" ref="Q2:Q65" si="2">IF(K2&lt;&gt;"-",("    "&amp;I2&amp;": "&amp;""""&amp;"&lt;a href=\"&amp;""""&amp;"09_glossary.html#"&amp;H2&amp;N2&amp;G2&amp;": "&amp;K2&amp;O2&amp;J2&amp;P2&amp;""""),"-")</f>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2" t="b" cm="1">
        <f t="array" ref="R2">SUMPRODUCT(--EXACT($J$2:$J$490,J2))&gt;1</f>
        <v>0</v>
      </c>
      <c r="S2" t="s">
        <v>984</v>
      </c>
    </row>
    <row r="3" spans="1:19">
      <c r="B3" s="30" t="s">
        <v>768</v>
      </c>
      <c r="D3" s="30" t="s">
        <v>1207</v>
      </c>
      <c r="E3" s="30" t="s">
        <v>984</v>
      </c>
      <c r="F3" s="30" t="s">
        <v>786</v>
      </c>
      <c r="G3" s="39" t="str">
        <f>VLOOKUP(F3,glossary!J:N,2,FALSE)</f>
        <v>Accuracy</v>
      </c>
      <c r="H3" s="30" t="s">
        <v>786</v>
      </c>
      <c r="I3" s="45" t="str">
        <f t="shared" si="0"/>
        <v>accuracy_tl</v>
      </c>
      <c r="J3" s="34" t="s">
        <v>786</v>
      </c>
      <c r="K3" s="39" t="str">
        <f>VLOOKUP(F3,glossary!J:N,5,FALSE)</f>
        <v>How close a measured or estimated value is to the true value' (Clarke et al., 2023).</v>
      </c>
      <c r="L3" s="30" t="s">
        <v>984</v>
      </c>
      <c r="M3" s="30" t="str">
        <f t="shared" si="1"/>
        <v>{{ accuracy_tl }}</v>
      </c>
      <c r="N3" t="s">
        <v>896</v>
      </c>
      <c r="O3" s="13" t="s">
        <v>1816</v>
      </c>
      <c r="P3" t="s">
        <v>4582</v>
      </c>
      <c r="Q3"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3" t="b" cm="1">
        <f t="array" ref="R3">SUMPRODUCT(--EXACT($J$2:$J$490,J3))&gt;1</f>
        <v>0</v>
      </c>
      <c r="S3" t="s">
        <v>984</v>
      </c>
    </row>
    <row r="4" spans="1:19">
      <c r="B4" s="30" t="s">
        <v>768</v>
      </c>
      <c r="D4" s="30" t="s">
        <v>1208</v>
      </c>
      <c r="E4" s="30" t="s">
        <v>984</v>
      </c>
      <c r="F4" s="30" t="s">
        <v>786</v>
      </c>
      <c r="G4" s="39" t="str">
        <f>VLOOKUP(F4,glossary!J:N,2,FALSE)</f>
        <v>Accuracy</v>
      </c>
      <c r="H4" s="30" t="s">
        <v>786</v>
      </c>
      <c r="I4" s="45" t="str">
        <f t="shared" si="0"/>
        <v>accuracy_tu</v>
      </c>
      <c r="J4" s="34" t="s">
        <v>658</v>
      </c>
      <c r="K4" s="39" t="str">
        <f>VLOOKUP(F4,glossary!J:N,5,FALSE)</f>
        <v>How close a measured or estimated value is to the true value' (Clarke et al., 2023).</v>
      </c>
      <c r="L4" s="30" t="s">
        <v>984</v>
      </c>
      <c r="M4" s="30" t="str">
        <f t="shared" si="1"/>
        <v>{{ accuracy_tu }}</v>
      </c>
      <c r="N4" t="s">
        <v>896</v>
      </c>
      <c r="O4" s="13" t="s">
        <v>1816</v>
      </c>
      <c r="P4" t="s">
        <v>4582</v>
      </c>
      <c r="Q4"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4" t="b" cm="1">
        <f t="array" ref="R4">SUMPRODUCT(--EXACT($J$2:$J$490,J4))&gt;1</f>
        <v>0</v>
      </c>
      <c r="S4" t="s">
        <v>984</v>
      </c>
    </row>
    <row r="5" spans="1:19">
      <c r="B5" s="30" t="s">
        <v>768</v>
      </c>
      <c r="D5" s="30" t="s">
        <v>1207</v>
      </c>
      <c r="E5" s="30" t="s">
        <v>984</v>
      </c>
      <c r="F5" s="30" t="s">
        <v>786</v>
      </c>
      <c r="G5" s="39" t="str">
        <f>VLOOKUP(F5,glossary!J:N,2,FALSE)</f>
        <v>Accuracy</v>
      </c>
      <c r="H5" s="30" t="s">
        <v>4472</v>
      </c>
      <c r="I5" s="45" t="str">
        <f t="shared" si="0"/>
        <v>accurate_tl</v>
      </c>
      <c r="J5" s="34" t="s">
        <v>4472</v>
      </c>
      <c r="K5" s="39" t="str">
        <f>VLOOKUP(F5,glossary!J:N,5,FALSE)</f>
        <v>How close a measured or estimated value is to the true value' (Clarke et al., 2023).</v>
      </c>
      <c r="L5" s="30" t="s">
        <v>984</v>
      </c>
      <c r="M5" s="30" t="str">
        <f t="shared" si="1"/>
        <v>{{ accurate_tl }}</v>
      </c>
      <c r="N5" t="s">
        <v>896</v>
      </c>
      <c r="O5" s="13" t="s">
        <v>1816</v>
      </c>
      <c r="P5" t="s">
        <v>4582</v>
      </c>
      <c r="Q5"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5" t="b" cm="1">
        <f t="array" ref="R5">SUMPRODUCT(--EXACT($J$2:$J$490,J5))&gt;1</f>
        <v>0</v>
      </c>
      <c r="S5" t="s">
        <v>984</v>
      </c>
    </row>
    <row r="6" spans="1:19">
      <c r="B6" s="30" t="s">
        <v>768</v>
      </c>
      <c r="D6" s="30" t="s">
        <v>1207</v>
      </c>
      <c r="E6" s="30" t="s">
        <v>4485</v>
      </c>
      <c r="F6" s="30" t="s">
        <v>786</v>
      </c>
      <c r="G6" s="39" t="str">
        <f>VLOOKUP(F6,glossary!J:N,2,FALSE)</f>
        <v>Accuracy</v>
      </c>
      <c r="H6" s="30" t="s">
        <v>4472</v>
      </c>
      <c r="I6" s="45" t="str">
        <f t="shared" si="0"/>
        <v>accurate_tl_op</v>
      </c>
      <c r="J6" s="34" t="s">
        <v>4553</v>
      </c>
      <c r="K6" s="39" t="str">
        <f>VLOOKUP(F6,glossary!J:N,5,FALSE)</f>
        <v>How close a measured or estimated value is to the true value' (Clarke et al., 2023).</v>
      </c>
      <c r="L6" s="30" t="s">
        <v>984</v>
      </c>
      <c r="M6" s="30" t="str">
        <f t="shared" si="1"/>
        <v>{{ accurate_tl_op }}</v>
      </c>
      <c r="N6" t="s">
        <v>896</v>
      </c>
      <c r="O6" s="13" t="s">
        <v>1816</v>
      </c>
      <c r="P6" t="s">
        <v>4582</v>
      </c>
      <c r="Q6"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6" t="b" cm="1">
        <f t="array" ref="R6">SUMPRODUCT(--EXACT($J$2:$J$490,J6))&gt;1</f>
        <v>0</v>
      </c>
      <c r="S6" t="s">
        <v>984</v>
      </c>
    </row>
    <row r="7" spans="1:19">
      <c r="B7" s="30" t="s">
        <v>768</v>
      </c>
      <c r="D7" s="30" t="s">
        <v>1208</v>
      </c>
      <c r="E7" s="30" t="s">
        <v>984</v>
      </c>
      <c r="F7" s="30" t="s">
        <v>786</v>
      </c>
      <c r="G7" s="39" t="str">
        <f>VLOOKUP(F7,glossary!J:N,2,FALSE)</f>
        <v>Accuracy</v>
      </c>
      <c r="H7" s="30" t="s">
        <v>4472</v>
      </c>
      <c r="I7" s="45" t="str">
        <f t="shared" si="0"/>
        <v>accurate_tu</v>
      </c>
      <c r="J7" s="34" t="s">
        <v>4554</v>
      </c>
      <c r="K7" s="39" t="str">
        <f>VLOOKUP(F7,glossary!J:N,5,FALSE)</f>
        <v>How close a measured or estimated value is to the true value' (Clarke et al., 2023).</v>
      </c>
      <c r="L7" s="30" t="s">
        <v>984</v>
      </c>
      <c r="M7" s="30" t="str">
        <f t="shared" si="1"/>
        <v>{{ accurate_tu }}</v>
      </c>
      <c r="N7" t="s">
        <v>896</v>
      </c>
      <c r="O7" s="13" t="s">
        <v>1816</v>
      </c>
      <c r="P7" t="s">
        <v>4582</v>
      </c>
      <c r="Q7"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7" t="b" cm="1">
        <f t="array" ref="R7">SUMPRODUCT(--EXACT($J$2:$J$490,J7))&gt;1</f>
        <v>0</v>
      </c>
      <c r="S7" t="s">
        <v>984</v>
      </c>
    </row>
    <row r="8" spans="1:19">
      <c r="B8" s="30" t="s">
        <v>768</v>
      </c>
      <c r="D8" s="30" t="s">
        <v>1208</v>
      </c>
      <c r="E8" s="30" t="s">
        <v>4485</v>
      </c>
      <c r="F8" s="30" t="s">
        <v>786</v>
      </c>
      <c r="G8" s="39" t="str">
        <f>VLOOKUP(F8,glossary!J:N,2,FALSE)</f>
        <v>Accuracy</v>
      </c>
      <c r="H8" s="30" t="s">
        <v>4472</v>
      </c>
      <c r="I8" s="45" t="str">
        <f t="shared" si="0"/>
        <v>accurate_tu_op</v>
      </c>
      <c r="J8" s="34" t="s">
        <v>4473</v>
      </c>
      <c r="K8" s="39" t="str">
        <f>VLOOKUP(F8,glossary!J:N,5,FALSE)</f>
        <v>How close a measured or estimated value is to the true value' (Clarke et al., 2023).</v>
      </c>
      <c r="L8" s="30" t="s">
        <v>984</v>
      </c>
      <c r="M8" s="30" t="str">
        <f t="shared" si="1"/>
        <v>{{ accurate_tu_op }}</v>
      </c>
      <c r="N8" t="s">
        <v>896</v>
      </c>
      <c r="O8" s="13" t="s">
        <v>1816</v>
      </c>
      <c r="P8" t="s">
        <v>4582</v>
      </c>
      <c r="Q8"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8" t="b" cm="1">
        <f t="array" ref="R8">SUMPRODUCT(--EXACT($J$2:$J$490,J8))&gt;1</f>
        <v>0</v>
      </c>
      <c r="S8" t="s">
        <v>984</v>
      </c>
    </row>
    <row r="9" spans="1:19">
      <c r="A9" s="30">
        <v>3</v>
      </c>
      <c r="B9" s="30" t="s">
        <v>1393</v>
      </c>
      <c r="C9" s="30"/>
      <c r="D9" s="30" t="s">
        <v>1208</v>
      </c>
      <c r="E9" s="30" t="s">
        <v>984</v>
      </c>
      <c r="F9" s="30" t="s">
        <v>302</v>
      </c>
      <c r="G9" s="39" t="str">
        <f>VLOOKUP(F9,glossary!J:N,2,FALSE)</f>
        <v>Age Class</v>
      </c>
      <c r="H9" s="34" t="s">
        <v>302</v>
      </c>
      <c r="I9" s="45" t="str">
        <f t="shared" si="0"/>
        <v>age_class_tu</v>
      </c>
      <c r="J9" s="42" t="s">
        <v>671</v>
      </c>
      <c r="K9" s="39" t="str">
        <f>VLOOKUP(F9,glossary!J:N,5,FALSE)</f>
        <v xml:space="preserve">The age classification of individual(s) being categorized (e.g., 'Adult,' 'Juvenile,' 'Subadult,' 'Subadult - Young of Year,' 'Subadult - Yearling,' or 'Unknown'). </v>
      </c>
      <c r="L9" t="s">
        <v>1711</v>
      </c>
      <c r="M9" s="30" t="str">
        <f t="shared" si="1"/>
        <v>{{ age_class_tu }}</v>
      </c>
      <c r="N9" t="s">
        <v>896</v>
      </c>
      <c r="O9" s="13" t="s">
        <v>1816</v>
      </c>
      <c r="P9" t="s">
        <v>4582</v>
      </c>
      <c r="Q9"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9" t="b" cm="1">
        <f t="array" ref="R9">SUMPRODUCT(--EXACT($J$2:$J$490,J9))&gt;1</f>
        <v>0</v>
      </c>
      <c r="S9" t="s">
        <v>4684</v>
      </c>
    </row>
    <row r="10" spans="1:19">
      <c r="A10" s="30">
        <v>1</v>
      </c>
      <c r="B10" s="30" t="s">
        <v>1064</v>
      </c>
      <c r="C10" s="30" t="s">
        <v>429</v>
      </c>
      <c r="D10" s="30" t="s">
        <v>1208</v>
      </c>
      <c r="E10" s="30" t="s">
        <v>1758</v>
      </c>
      <c r="F10" s="30" t="s">
        <v>302</v>
      </c>
      <c r="G10" s="39" t="str">
        <f>VLOOKUP(F10,glossary!J:N,2,FALSE)</f>
        <v>Age Class</v>
      </c>
      <c r="H10" s="30" t="s">
        <v>302</v>
      </c>
      <c r="I10" s="45" t="str">
        <f t="shared" si="0"/>
        <v>age_class_tu_pl</v>
      </c>
      <c r="J10" s="39" t="s">
        <v>1162</v>
      </c>
      <c r="K10" s="39" t="str">
        <f>VLOOKUP(F10,glossary!J:N,5,FALSE)</f>
        <v xml:space="preserve">The age classification of individual(s) being categorized (e.g., 'Adult,' 'Juvenile,' 'Subadult,' 'Subadult - Young of Year,' 'Subadult - Yearling,' or 'Unknown'). </v>
      </c>
      <c r="L10" s="30" t="s">
        <v>1105</v>
      </c>
      <c r="M10" s="30" t="str">
        <f t="shared" si="1"/>
        <v>{{ age_class_tu_pl }}</v>
      </c>
      <c r="N10" t="s">
        <v>896</v>
      </c>
      <c r="O10" s="13" t="s">
        <v>1816</v>
      </c>
      <c r="P10" t="s">
        <v>4582</v>
      </c>
      <c r="Q10"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0" t="b" cm="1">
        <f t="array" ref="R10">SUMPRODUCT(--EXACT($J$2:$J$490,J10))&gt;1</f>
        <v>0</v>
      </c>
      <c r="S10" t="s">
        <v>4685</v>
      </c>
    </row>
    <row r="11" spans="1:19">
      <c r="A11" s="30">
        <v>2</v>
      </c>
      <c r="B11" s="30" t="s">
        <v>1400</v>
      </c>
      <c r="C11" s="30"/>
      <c r="D11" s="30" t="s">
        <v>1208</v>
      </c>
      <c r="E11" s="30" t="s">
        <v>984</v>
      </c>
      <c r="F11" s="30" t="s">
        <v>303</v>
      </c>
      <c r="G11" s="39" t="str">
        <f>VLOOKUP(F11,glossary!J:N,2,FALSE)</f>
        <v>Adult</v>
      </c>
      <c r="H11" s="30" t="s">
        <v>303</v>
      </c>
      <c r="I11" s="45" t="str">
        <f t="shared" si="0"/>
        <v>age_class_adult_tu</v>
      </c>
      <c r="J11" s="39" t="s">
        <v>672</v>
      </c>
      <c r="K11" s="39" t="str">
        <f>VLOOKUP(F11,glossary!J:N,5,FALSE)</f>
        <v>Animals that are old enough to breed; reproductively mature.</v>
      </c>
      <c r="L11" s="30" t="s">
        <v>1710</v>
      </c>
      <c r="M11" s="30" t="str">
        <f t="shared" si="1"/>
        <v>{{ age_class_adult_tu }}</v>
      </c>
      <c r="N11" t="s">
        <v>896</v>
      </c>
      <c r="O11" s="13" t="s">
        <v>1816</v>
      </c>
      <c r="P11" t="s">
        <v>4582</v>
      </c>
      <c r="Q11"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1" t="b" cm="1">
        <f t="array" ref="R11">SUMPRODUCT(--EXACT($J$2:$J$490,J11))&gt;1</f>
        <v>0</v>
      </c>
      <c r="S11" t="s">
        <v>4686</v>
      </c>
    </row>
    <row r="12" spans="1:19">
      <c r="A12" s="30">
        <v>2</v>
      </c>
      <c r="B12" s="30" t="s">
        <v>1400</v>
      </c>
      <c r="C12" s="30"/>
      <c r="D12" s="30" t="s">
        <v>1208</v>
      </c>
      <c r="E12" s="30" t="s">
        <v>984</v>
      </c>
      <c r="F12" s="30" t="s">
        <v>280</v>
      </c>
      <c r="G12" s="39" t="str">
        <f>VLOOKUP(F12,glossary!J:N,2,FALSE)</f>
        <v>Juvenile</v>
      </c>
      <c r="H12" s="30" t="s">
        <v>280</v>
      </c>
      <c r="I12" s="45" t="str">
        <f t="shared" si="0"/>
        <v>age_class_juvenile_tu</v>
      </c>
      <c r="J12" s="39" t="s">
        <v>673</v>
      </c>
      <c r="K12" s="39" t="str">
        <f>VLOOKUP(F12,glossary!J:N,5,FALSE)</f>
        <v>Animals in their first summer, with clearly juvenile features (e.g., spots); mammals older than neonates but that still require parental care.</v>
      </c>
      <c r="L12" s="30" t="s">
        <v>1709</v>
      </c>
      <c r="M12" s="30" t="str">
        <f t="shared" si="1"/>
        <v>{{ age_class_juvenile_tu }}</v>
      </c>
      <c r="N12" t="s">
        <v>896</v>
      </c>
      <c r="O12" s="13" t="s">
        <v>1816</v>
      </c>
      <c r="P12" t="s">
        <v>4582</v>
      </c>
      <c r="Q12" t="str">
        <f t="shared" si="2"/>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12" t="b" cm="1">
        <f t="array" ref="R12">SUMPRODUCT(--EXACT($J$2:$J$490,J12))&gt;1</f>
        <v>0</v>
      </c>
      <c r="S12" t="s">
        <v>4687</v>
      </c>
    </row>
    <row r="13" spans="1:19">
      <c r="A13" s="30">
        <v>2</v>
      </c>
      <c r="B13" s="30" t="s">
        <v>1400</v>
      </c>
      <c r="C13" s="30"/>
      <c r="D13" s="30" t="s">
        <v>1208</v>
      </c>
      <c r="E13" s="30" t="s">
        <v>984</v>
      </c>
      <c r="F13" s="30" t="s">
        <v>243</v>
      </c>
      <c r="G13" s="39" t="str">
        <f>VLOOKUP(F13,glossary!J:N,2,FALSE)</f>
        <v>Subadult</v>
      </c>
      <c r="H13" s="30" t="s">
        <v>243</v>
      </c>
      <c r="I13" s="45" t="str">
        <f t="shared" si="0"/>
        <v>age_class_subadult_tu</v>
      </c>
      <c r="J13" s="39" t="s">
        <v>674</v>
      </c>
      <c r="K13" s="39" t="str">
        <f>VLOOKUP(F13,glossary!J:N,5,FALSE)</f>
        <v>Animals older than a 'Juvenile' but not yet an 'Adult'; a 'Subadult' may be further classified into 'Young of the Year' or 'Yearling.'</v>
      </c>
      <c r="L13" s="30" t="s">
        <v>1708</v>
      </c>
      <c r="M13" s="30" t="str">
        <f t="shared" si="1"/>
        <v>{{ age_class_subadult_tu }}</v>
      </c>
      <c r="N13" t="s">
        <v>896</v>
      </c>
      <c r="O13" s="13" t="s">
        <v>1816</v>
      </c>
      <c r="P13" t="s">
        <v>4582</v>
      </c>
      <c r="Q13" t="str">
        <f t="shared" si="2"/>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13" t="b" cm="1">
        <f t="array" ref="R13">SUMPRODUCT(--EXACT($J$2:$J$490,J13))&gt;1</f>
        <v>0</v>
      </c>
      <c r="S13" t="s">
        <v>4688</v>
      </c>
    </row>
    <row r="14" spans="1:19">
      <c r="A14" s="30">
        <v>3</v>
      </c>
      <c r="B14" s="30" t="s">
        <v>1393</v>
      </c>
      <c r="C14" s="30"/>
      <c r="D14" s="30" t="s">
        <v>1208</v>
      </c>
      <c r="E14" s="30" t="s">
        <v>984</v>
      </c>
      <c r="F14" s="30" t="s">
        <v>247</v>
      </c>
      <c r="G14" s="39" t="str">
        <f>VLOOKUP(F14,glossary!J:N,2,FALSE)</f>
        <v>Subadult - Yearling</v>
      </c>
      <c r="H14" s="34" t="s">
        <v>247</v>
      </c>
      <c r="I14" s="45" t="str">
        <f t="shared" si="0"/>
        <v>age_class_subadult_yearling_tu</v>
      </c>
      <c r="J14" s="42" t="s">
        <v>675</v>
      </c>
      <c r="K14" s="39" t="str">
        <f>VLOOKUP(F14,glossary!J:N,5,FALSE)</f>
        <v>Animals approximately one year old; has lived through one winter season; between 'Young of Year' and 'Adult.'</v>
      </c>
      <c r="L14" t="s">
        <v>1707</v>
      </c>
      <c r="M14" s="30" t="str">
        <f t="shared" si="1"/>
        <v>{{ age_class_subadult_yearling_tu }}</v>
      </c>
      <c r="N14" t="s">
        <v>896</v>
      </c>
      <c r="O14" s="13" t="s">
        <v>1816</v>
      </c>
      <c r="P14" t="s">
        <v>4582</v>
      </c>
      <c r="Q14" t="str">
        <f t="shared" si="2"/>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14" t="b" cm="1">
        <f t="array" ref="R14">SUMPRODUCT(--EXACT($J$2:$J$490,J14))&gt;1</f>
        <v>0</v>
      </c>
      <c r="S14" t="s">
        <v>4689</v>
      </c>
    </row>
    <row r="15" spans="1:19">
      <c r="A15" s="30">
        <v>3</v>
      </c>
      <c r="B15" s="30" t="s">
        <v>1393</v>
      </c>
      <c r="C15" s="30"/>
      <c r="D15" s="30" t="s">
        <v>1208</v>
      </c>
      <c r="E15" s="30" t="s">
        <v>984</v>
      </c>
      <c r="F15" s="30" t="s">
        <v>245</v>
      </c>
      <c r="G15" s="39" t="str">
        <f>VLOOKUP(F15,glossary!J:N,2,FALSE)</f>
        <v>Subadult - Young of Year</v>
      </c>
      <c r="H15" s="34" t="s">
        <v>245</v>
      </c>
      <c r="I15" s="45" t="str">
        <f t="shared" si="0"/>
        <v>age_class_subadult_youngofyear_tu</v>
      </c>
      <c r="J15" s="42" t="s">
        <v>676</v>
      </c>
      <c r="K15" s="39" t="str">
        <f>VLOOKUP(F15,glossary!J:N,5,FALSE)</f>
        <v>Animals less than one year old; born in the previous year's spring, but has not yet lived through a winter season; between 'Juvenile' and 'Yearling.'</v>
      </c>
      <c r="L15" t="s">
        <v>1706</v>
      </c>
      <c r="M15" s="30" t="str">
        <f t="shared" si="1"/>
        <v>{{ age_class_subadult_youngofyear_tu }}</v>
      </c>
      <c r="N15" t="s">
        <v>896</v>
      </c>
      <c r="O15" s="13" t="s">
        <v>1816</v>
      </c>
      <c r="P15" t="s">
        <v>4582</v>
      </c>
      <c r="Q15" t="str">
        <f t="shared" si="2"/>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15" t="b" cm="1">
        <f t="array" ref="R15">SUMPRODUCT(--EXACT($J$2:$J$490,J15))&gt;1</f>
        <v>0</v>
      </c>
      <c r="S15" t="s">
        <v>4690</v>
      </c>
    </row>
    <row r="16" spans="1:19">
      <c r="A16" s="30">
        <v>2</v>
      </c>
      <c r="B16" s="30" t="s">
        <v>1400</v>
      </c>
      <c r="C16" s="30"/>
      <c r="D16" s="30" t="s">
        <v>1208</v>
      </c>
      <c r="E16" s="30" t="s">
        <v>984</v>
      </c>
      <c r="F16" s="30" t="s">
        <v>300</v>
      </c>
      <c r="G16" s="39" t="str">
        <f>VLOOKUP(F16,glossary!J:N,2,FALSE)</f>
        <v>Analyst</v>
      </c>
      <c r="H16" s="30" t="s">
        <v>300</v>
      </c>
      <c r="I16" s="45" t="str">
        <f t="shared" si="0"/>
        <v>analyst_tu</v>
      </c>
      <c r="J16" s="39" t="s">
        <v>677</v>
      </c>
      <c r="K16" s="39" t="str">
        <f>VLOOKUP(F16,glossary!J:N,5,FALSE)</f>
        <v>The first and last names of the individual who provided the observation data point (species identification and associated information). If there are multiple analysts for an observation, enter the primary analyst.</v>
      </c>
      <c r="L16" s="30" t="s">
        <v>1705</v>
      </c>
      <c r="M16" s="30" t="str">
        <f t="shared" si="1"/>
        <v>{{ analyst_tu }}</v>
      </c>
      <c r="N16" t="s">
        <v>896</v>
      </c>
      <c r="O16" s="13" t="s">
        <v>1816</v>
      </c>
      <c r="P16" t="s">
        <v>4582</v>
      </c>
      <c r="Q16"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16" t="b" cm="1">
        <f t="array" ref="R16">SUMPRODUCT(--EXACT($J$2:$J$490,J16))&gt;1</f>
        <v>0</v>
      </c>
      <c r="S16" t="s">
        <v>4691</v>
      </c>
    </row>
    <row r="17" spans="1:19">
      <c r="A17" s="30">
        <v>3</v>
      </c>
      <c r="B17" s="30" t="s">
        <v>1393</v>
      </c>
      <c r="C17" s="30"/>
      <c r="D17" s="30" t="s">
        <v>1208</v>
      </c>
      <c r="E17" s="30" t="s">
        <v>984</v>
      </c>
      <c r="F17" s="30" t="s">
        <v>342</v>
      </c>
      <c r="G17" s="39" t="str">
        <f>VLOOKUP(F17,glossary!J:N,2,FALSE)</f>
        <v>Animal ID</v>
      </c>
      <c r="H17" s="34" t="s">
        <v>342</v>
      </c>
      <c r="I17" s="45" t="str">
        <f t="shared" si="0"/>
        <v>animal_id_tu</v>
      </c>
      <c r="J17" s="42" t="s">
        <v>678</v>
      </c>
      <c r="K17" s="39" t="str">
        <f>VLOOKUP(F17,glossary!J:N,5,FALSE)</f>
        <v>A unique ID for an animal that can be uniquely identified (e.g., marked in some way). If multiple unique individuals are identified, enter an Animal ID for each as a unique row. Leave blank if not applicable.</v>
      </c>
      <c r="L17" t="s">
        <v>1704</v>
      </c>
      <c r="M17" s="30" t="str">
        <f t="shared" si="1"/>
        <v>{{ animal_id_tu }}</v>
      </c>
      <c r="N17" t="s">
        <v>896</v>
      </c>
      <c r="O17" s="13" t="s">
        <v>1816</v>
      </c>
      <c r="P17" t="s">
        <v>4582</v>
      </c>
      <c r="Q17"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17" t="b" cm="1">
        <f t="array" ref="R17">SUMPRODUCT(--EXACT($J$2:$J$490,J17))&gt;1</f>
        <v>0</v>
      </c>
      <c r="S17" t="s">
        <v>4692</v>
      </c>
    </row>
    <row r="18" spans="1:19">
      <c r="A18" s="30">
        <v>3</v>
      </c>
      <c r="B18" s="30" t="s">
        <v>1393</v>
      </c>
      <c r="C18" s="30"/>
      <c r="D18" s="30" t="s">
        <v>1207</v>
      </c>
      <c r="E18" s="30" t="s">
        <v>984</v>
      </c>
      <c r="F18" s="30" t="s">
        <v>236</v>
      </c>
      <c r="G18" s="39" t="str">
        <f>VLOOKUP(F18,glossary!J:N,2,FALSE)</f>
        <v>Audible lure</v>
      </c>
      <c r="H18" s="34" t="s">
        <v>236</v>
      </c>
      <c r="I18" s="45" t="str">
        <f t="shared" si="0"/>
        <v>baitlure_audible_lure_tl</v>
      </c>
      <c r="J18" s="43" t="s">
        <v>902</v>
      </c>
      <c r="K18" s="39" t="str">
        <f>VLOOKUP(F18,glossary!J:N,5,FALSE)</f>
        <v>Sounds imitating noises of prey or conspecifics that draw animals closer by eliciting curiosity (Schlexer, 2008).</v>
      </c>
      <c r="L18" t="s">
        <v>1703</v>
      </c>
      <c r="M18" s="30" t="str">
        <f t="shared" si="1"/>
        <v>{{ baitlure_audible_lure_tl }}</v>
      </c>
      <c r="N18" t="s">
        <v>896</v>
      </c>
      <c r="O18" s="13" t="s">
        <v>1816</v>
      </c>
      <c r="P18" t="s">
        <v>4582</v>
      </c>
      <c r="Q18"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8" t="b" cm="1">
        <f t="array" ref="R18">SUMPRODUCT(--EXACT($J$2:$J$490,J18))&gt;1</f>
        <v>0</v>
      </c>
      <c r="S18" t="s">
        <v>4693</v>
      </c>
    </row>
    <row r="19" spans="1:19">
      <c r="A19" s="30">
        <v>3</v>
      </c>
      <c r="B19" s="30" t="s">
        <v>1393</v>
      </c>
      <c r="C19" s="30"/>
      <c r="D19" s="30" t="s">
        <v>1208</v>
      </c>
      <c r="E19" s="30" t="s">
        <v>984</v>
      </c>
      <c r="F19" s="30" t="s">
        <v>236</v>
      </c>
      <c r="G19" s="39" t="str">
        <f>VLOOKUP(F19,glossary!J:N,2,FALSE)</f>
        <v>Audible lure</v>
      </c>
      <c r="H19" s="34" t="s">
        <v>236</v>
      </c>
      <c r="I19" s="45" t="str">
        <f t="shared" si="0"/>
        <v>baitlure_audible_lure_tu</v>
      </c>
      <c r="J19" s="42" t="s">
        <v>237</v>
      </c>
      <c r="K19" s="39" t="str">
        <f>VLOOKUP(F19,glossary!J:N,5,FALSE)</f>
        <v>Sounds imitating noises of prey or conspecifics that draw animals closer by eliciting curiosity (Schlexer, 2008).</v>
      </c>
      <c r="L19" t="s">
        <v>1702</v>
      </c>
      <c r="M19" s="30" t="str">
        <f t="shared" si="1"/>
        <v>{{ baitlure_audible_lure_tu }}</v>
      </c>
      <c r="N19" t="s">
        <v>896</v>
      </c>
      <c r="O19" s="13" t="s">
        <v>1816</v>
      </c>
      <c r="P19" t="s">
        <v>4582</v>
      </c>
      <c r="Q19"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9" t="b" cm="1">
        <f t="array" ref="R19">SUMPRODUCT(--EXACT($J$2:$J$490,J19))&gt;1</f>
        <v>0</v>
      </c>
      <c r="S19" t="s">
        <v>4694</v>
      </c>
    </row>
    <row r="20" spans="1:19">
      <c r="A20" s="30">
        <v>2</v>
      </c>
      <c r="B20" s="30" t="s">
        <v>1400</v>
      </c>
      <c r="C20" s="30"/>
      <c r="D20" s="30" t="s">
        <v>1207</v>
      </c>
      <c r="E20" s="30" t="s">
        <v>984</v>
      </c>
      <c r="F20" s="30" t="s">
        <v>234</v>
      </c>
      <c r="G20" s="39" t="str">
        <f>VLOOKUP(F20,glossary!J:N,2,FALSE)</f>
        <v>Bait</v>
      </c>
      <c r="H20" s="30" t="s">
        <v>234</v>
      </c>
      <c r="I20" s="45" t="str">
        <f t="shared" si="0"/>
        <v>baitlure_bait_tl</v>
      </c>
      <c r="J20" s="39" t="s">
        <v>903</v>
      </c>
      <c r="K20" s="39" t="str">
        <f>VLOOKUP(F20,glossary!J:N,5,FALSE)</f>
        <v>A food item (or other substance) that is placed to attract animals via the sense of taste and olfactory cues (Schlexer, 2008).</v>
      </c>
      <c r="L20" s="30" t="s">
        <v>1701</v>
      </c>
      <c r="M20" s="30" t="str">
        <f t="shared" si="1"/>
        <v>{{ baitlure_bait_tl }}</v>
      </c>
      <c r="N20" t="s">
        <v>896</v>
      </c>
      <c r="O20" s="13" t="s">
        <v>1816</v>
      </c>
      <c r="P20" t="s">
        <v>4582</v>
      </c>
      <c r="Q20"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0" t="b" cm="1">
        <f t="array" ref="R20">SUMPRODUCT(--EXACT($J$2:$J$490,J20))&gt;1</f>
        <v>0</v>
      </c>
      <c r="S20" t="s">
        <v>4695</v>
      </c>
    </row>
    <row r="21" spans="1:19">
      <c r="A21" s="30">
        <v>2</v>
      </c>
      <c r="B21" s="30" t="s">
        <v>1400</v>
      </c>
      <c r="C21" s="30"/>
      <c r="D21" s="30" t="s">
        <v>1207</v>
      </c>
      <c r="E21" s="30" t="s">
        <v>1758</v>
      </c>
      <c r="F21" s="30" t="s">
        <v>234</v>
      </c>
      <c r="G21" s="39" t="str">
        <f>VLOOKUP(F21,glossary!J:N,2,FALSE)</f>
        <v>Bait</v>
      </c>
      <c r="H21" s="30" t="s">
        <v>234</v>
      </c>
      <c r="I21" s="45" t="str">
        <f t="shared" si="0"/>
        <v>baitlure_bait_tl_pl</v>
      </c>
      <c r="J21" s="39" t="s">
        <v>1794</v>
      </c>
      <c r="K21" s="39" t="str">
        <f>VLOOKUP(F21,glossary!J:N,5,FALSE)</f>
        <v>A food item (or other substance) that is placed to attract animals via the sense of taste and olfactory cues (Schlexer, 2008).</v>
      </c>
      <c r="L21" s="30" t="s">
        <v>1796</v>
      </c>
      <c r="M21" s="30" t="str">
        <f t="shared" si="1"/>
        <v>{{ baitlure_bait_tl_pl }}</v>
      </c>
      <c r="N21" t="s">
        <v>896</v>
      </c>
      <c r="O21" s="13" t="s">
        <v>1816</v>
      </c>
      <c r="P21" t="s">
        <v>4582</v>
      </c>
      <c r="Q21"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1" t="b" cm="1">
        <f t="array" ref="R21">SUMPRODUCT(--EXACT($J$2:$J$490,J21))&gt;1</f>
        <v>0</v>
      </c>
      <c r="S21" t="s">
        <v>4696</v>
      </c>
    </row>
    <row r="22" spans="1:19">
      <c r="A22" s="30">
        <v>2</v>
      </c>
      <c r="B22" s="30" t="s">
        <v>1400</v>
      </c>
      <c r="C22" s="30"/>
      <c r="D22" s="30" t="s">
        <v>1208</v>
      </c>
      <c r="E22" s="30" t="s">
        <v>984</v>
      </c>
      <c r="F22" s="30" t="s">
        <v>234</v>
      </c>
      <c r="G22" s="39" t="str">
        <f>VLOOKUP(F22,glossary!J:N,2,FALSE)</f>
        <v>Bait</v>
      </c>
      <c r="H22" s="30" t="s">
        <v>234</v>
      </c>
      <c r="I22" s="45" t="str">
        <f t="shared" si="0"/>
        <v>baitlure_bait_tu</v>
      </c>
      <c r="J22" s="39" t="s">
        <v>235</v>
      </c>
      <c r="K22" s="39" t="str">
        <f>VLOOKUP(F22,glossary!J:N,5,FALSE)</f>
        <v>A food item (or other substance) that is placed to attract animals via the sense of taste and olfactory cues (Schlexer, 2008).</v>
      </c>
      <c r="L22" s="30" t="s">
        <v>1700</v>
      </c>
      <c r="M22" s="30" t="str">
        <f t="shared" si="1"/>
        <v>{{ baitlure_bait_tu }}</v>
      </c>
      <c r="N22" t="s">
        <v>896</v>
      </c>
      <c r="O22" s="13" t="s">
        <v>1816</v>
      </c>
      <c r="P22" t="s">
        <v>4582</v>
      </c>
      <c r="Q22"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2" t="b" cm="1">
        <f t="array" ref="R22">SUMPRODUCT(--EXACT($J$2:$J$490,J22))&gt;1</f>
        <v>0</v>
      </c>
      <c r="S22" t="s">
        <v>4697</v>
      </c>
    </row>
    <row r="23" spans="1:19">
      <c r="A23" s="30">
        <v>2</v>
      </c>
      <c r="B23" s="30" t="s">
        <v>1400</v>
      </c>
      <c r="C23" s="30"/>
      <c r="D23" s="30" t="s">
        <v>1208</v>
      </c>
      <c r="E23" s="30" t="s">
        <v>1758</v>
      </c>
      <c r="F23" s="30" t="s">
        <v>234</v>
      </c>
      <c r="G23" s="39" t="str">
        <f>VLOOKUP(F23,glossary!J:N,2,FALSE)</f>
        <v>Bait</v>
      </c>
      <c r="H23" s="30" t="s">
        <v>234</v>
      </c>
      <c r="I23" s="45" t="str">
        <f t="shared" si="0"/>
        <v>baitlure_bait_tu_pl</v>
      </c>
      <c r="J23" s="39" t="s">
        <v>1793</v>
      </c>
      <c r="K23" s="39" t="str">
        <f>VLOOKUP(F23,glossary!J:N,5,FALSE)</f>
        <v>A food item (or other substance) that is placed to attract animals via the sense of taste and olfactory cues (Schlexer, 2008).</v>
      </c>
      <c r="L23" s="30" t="s">
        <v>1795</v>
      </c>
      <c r="M23" s="30" t="str">
        <f t="shared" si="1"/>
        <v>{{ baitlure_bait_tu_pl }}</v>
      </c>
      <c r="N23" t="s">
        <v>896</v>
      </c>
      <c r="O23" s="13" t="s">
        <v>1816</v>
      </c>
      <c r="P23" t="s">
        <v>4582</v>
      </c>
      <c r="Q23"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3" t="b" cm="1">
        <f t="array" ref="R23">SUMPRODUCT(--EXACT($J$2:$J$490,J23))&gt;1</f>
        <v>0</v>
      </c>
      <c r="S23" t="s">
        <v>4698</v>
      </c>
    </row>
    <row r="24" spans="1:19">
      <c r="A24" s="30">
        <v>3</v>
      </c>
      <c r="B24" s="30" t="s">
        <v>1393</v>
      </c>
      <c r="C24" s="30"/>
      <c r="D24" s="30" t="s">
        <v>1208</v>
      </c>
      <c r="E24" s="30" t="s">
        <v>984</v>
      </c>
      <c r="F24" s="30" t="s">
        <v>299</v>
      </c>
      <c r="G24" s="39" t="str">
        <f>VLOOKUP(F24,glossary!J:N,2,FALSE)</f>
        <v>Bait/Lure Type</v>
      </c>
      <c r="H24" s="34" t="s">
        <v>299</v>
      </c>
      <c r="I24" s="45" t="str">
        <f t="shared" si="0"/>
        <v>baitlure_bait_lure_type_tu</v>
      </c>
      <c r="J24" s="42" t="s">
        <v>679</v>
      </c>
      <c r="K24" s="39" t="str">
        <f>VLOOKUP(F24,glossary!J:N,5,FALSE)</f>
        <v>The type of bait or lure used at a camera location. Record 'None' if a Bait*/Lure Type was not used and 'Unknown' if not known. If 'Other,' describe in the Deployment Comments.</v>
      </c>
      <c r="L24" t="s">
        <v>1699</v>
      </c>
      <c r="M24" s="30" t="str">
        <f t="shared" si="1"/>
        <v>{{ baitlure_bait_lure_type_tu }}</v>
      </c>
      <c r="N24" t="s">
        <v>896</v>
      </c>
      <c r="O24" s="13" t="s">
        <v>1816</v>
      </c>
      <c r="P24" t="s">
        <v>4582</v>
      </c>
      <c r="Q24"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4" t="b" cm="1">
        <f t="array" ref="R24">SUMPRODUCT(--EXACT($J$2:$J$490,J24))&gt;1</f>
        <v>0</v>
      </c>
      <c r="S24" t="s">
        <v>4699</v>
      </c>
    </row>
    <row r="25" spans="1:19" ht="10.5" customHeight="1">
      <c r="A25" s="30">
        <v>2</v>
      </c>
      <c r="B25" s="30" t="s">
        <v>1400</v>
      </c>
      <c r="C25" s="30"/>
      <c r="D25" s="30" t="s">
        <v>1207</v>
      </c>
      <c r="E25" s="30" t="s">
        <v>984</v>
      </c>
      <c r="F25" s="30" t="s">
        <v>161</v>
      </c>
      <c r="G25" s="39" t="str">
        <f>VLOOKUP(F25,glossary!J:N,2,FALSE)</f>
        <v>Lure</v>
      </c>
      <c r="H25" s="30" t="s">
        <v>161</v>
      </c>
      <c r="I25" s="45" t="str">
        <f t="shared" si="0"/>
        <v>baitlure_lure_tl</v>
      </c>
      <c r="J25" s="39" t="s">
        <v>935</v>
      </c>
      <c r="K25" s="39" t="str">
        <f>VLOOKUP(F25,glossary!J:N,5,FALSE)</f>
        <v>Any substance that draws animals closer; lures include scent (olfactory) lure, visual lure and audible lure (Schlexer, 2008).</v>
      </c>
      <c r="L25" s="30" t="s">
        <v>1698</v>
      </c>
      <c r="M25" s="30" t="str">
        <f t="shared" si="1"/>
        <v>{{ baitlure_lure_tl }}</v>
      </c>
      <c r="N25" t="s">
        <v>896</v>
      </c>
      <c r="O25" s="13" t="s">
        <v>1816</v>
      </c>
      <c r="P25" t="s">
        <v>4582</v>
      </c>
      <c r="Q25" t="str">
        <f t="shared" si="2"/>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5" t="b" cm="1">
        <f t="array" ref="R25">SUMPRODUCT(--EXACT($J$2:$J$490,J25))&gt;1</f>
        <v>0</v>
      </c>
      <c r="S25" t="s">
        <v>4700</v>
      </c>
    </row>
    <row r="26" spans="1:19">
      <c r="A26" s="30">
        <v>2</v>
      </c>
      <c r="B26" s="30" t="s">
        <v>1400</v>
      </c>
      <c r="C26" s="30"/>
      <c r="D26" s="30" t="s">
        <v>1208</v>
      </c>
      <c r="E26" s="30" t="s">
        <v>984</v>
      </c>
      <c r="F26" s="30" t="s">
        <v>161</v>
      </c>
      <c r="G26" s="39" t="str">
        <f>VLOOKUP(F26,glossary!J:N,2,FALSE)</f>
        <v>Lure</v>
      </c>
      <c r="H26" s="30" t="s">
        <v>161</v>
      </c>
      <c r="I26" s="45" t="str">
        <f t="shared" si="0"/>
        <v>baitlure_lure_tu</v>
      </c>
      <c r="J26" s="39" t="s">
        <v>162</v>
      </c>
      <c r="K26" s="39" t="str">
        <f>VLOOKUP(F26,glossary!J:N,5,FALSE)</f>
        <v>Any substance that draws animals closer; lures include scent (olfactory) lure, visual lure and audible lure (Schlexer, 2008).</v>
      </c>
      <c r="L26" s="30" t="s">
        <v>1697</v>
      </c>
      <c r="M26" s="30" t="str">
        <f t="shared" si="1"/>
        <v>{{ baitlure_lure_tu }}</v>
      </c>
      <c r="N26" t="s">
        <v>896</v>
      </c>
      <c r="O26" s="13" t="s">
        <v>1816</v>
      </c>
      <c r="P26" t="s">
        <v>4582</v>
      </c>
      <c r="Q26" t="str">
        <f t="shared" si="2"/>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6" t="b" cm="1">
        <f t="array" ref="R26">SUMPRODUCT(--EXACT($J$2:$J$490,J26))&gt;1</f>
        <v>0</v>
      </c>
      <c r="S26" t="s">
        <v>4701</v>
      </c>
    </row>
    <row r="27" spans="1:19">
      <c r="A27" s="30">
        <v>3</v>
      </c>
      <c r="B27" s="30" t="s">
        <v>1393</v>
      </c>
      <c r="C27" s="30"/>
      <c r="D27" s="30" t="s">
        <v>1207</v>
      </c>
      <c r="E27" s="30" t="s">
        <v>984</v>
      </c>
      <c r="F27" s="30" t="s">
        <v>120</v>
      </c>
      <c r="G27" s="39" t="str">
        <f>VLOOKUP(F27,glossary!J:N,2,FALSE)</f>
        <v>Scent lure</v>
      </c>
      <c r="H27" s="34" t="s">
        <v>120</v>
      </c>
      <c r="I27" s="45" t="str">
        <f t="shared" si="0"/>
        <v>baitlure_scent_lure_tl</v>
      </c>
      <c r="J27" s="43" t="s">
        <v>949</v>
      </c>
      <c r="K27" s="39" t="str">
        <f>VLOOKUP(F27,glossary!J:N,5,FALSE)</f>
        <v>Any material that draws animals closer via their sense of smell (Schlexer, 2008).</v>
      </c>
      <c r="L27" t="s">
        <v>1696</v>
      </c>
      <c r="M27" s="30" t="str">
        <f t="shared" si="1"/>
        <v>{{ baitlure_scent_lure_tl }}</v>
      </c>
      <c r="N27" t="s">
        <v>896</v>
      </c>
      <c r="O27" s="13" t="s">
        <v>1816</v>
      </c>
      <c r="P27" t="s">
        <v>4582</v>
      </c>
      <c r="Q27" t="str">
        <f t="shared" si="2"/>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7" t="b" cm="1">
        <f t="array" ref="R27">SUMPRODUCT(--EXACT($J$2:$J$490,J27))&gt;1</f>
        <v>0</v>
      </c>
      <c r="S27" t="s">
        <v>4702</v>
      </c>
    </row>
    <row r="28" spans="1:19">
      <c r="A28" s="30">
        <v>2</v>
      </c>
      <c r="B28" s="30" t="s">
        <v>1400</v>
      </c>
      <c r="C28" s="30"/>
      <c r="D28" s="30" t="s">
        <v>1207</v>
      </c>
      <c r="E28" s="30" t="s">
        <v>1758</v>
      </c>
      <c r="F28" s="30" t="s">
        <v>120</v>
      </c>
      <c r="G28" s="39" t="str">
        <f>VLOOKUP(F28,glossary!J:N,2,FALSE)</f>
        <v>Scent lure</v>
      </c>
      <c r="H28" s="30" t="s">
        <v>120</v>
      </c>
      <c r="I28" s="45" t="str">
        <f t="shared" si="0"/>
        <v>baitlure_scent_lure_tl_pl</v>
      </c>
      <c r="J28" s="39" t="s">
        <v>1798</v>
      </c>
      <c r="K28" s="39" t="str">
        <f>VLOOKUP(F28,glossary!J:N,5,FALSE)</f>
        <v>Any material that draws animals closer via their sense of smell (Schlexer, 2008).</v>
      </c>
      <c r="L28" s="30" t="s">
        <v>1800</v>
      </c>
      <c r="M28" s="30" t="str">
        <f t="shared" si="1"/>
        <v>{{ baitlure_scent_lure_tl_pl }}</v>
      </c>
      <c r="N28" t="s">
        <v>896</v>
      </c>
      <c r="O28" s="13" t="s">
        <v>1816</v>
      </c>
      <c r="P28" t="s">
        <v>4582</v>
      </c>
      <c r="Q28" t="str">
        <f t="shared" si="2"/>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28" t="b" cm="1">
        <f t="array" ref="R28">SUMPRODUCT(--EXACT($J$2:$J$490,J28))&gt;1</f>
        <v>0</v>
      </c>
      <c r="S28" t="s">
        <v>4703</v>
      </c>
    </row>
    <row r="29" spans="1:19">
      <c r="A29" s="30">
        <v>3</v>
      </c>
      <c r="B29" s="30" t="s">
        <v>1393</v>
      </c>
      <c r="C29" s="30"/>
      <c r="D29" s="30" t="s">
        <v>1208</v>
      </c>
      <c r="E29" s="30" t="s">
        <v>984</v>
      </c>
      <c r="F29" s="30" t="s">
        <v>120</v>
      </c>
      <c r="G29" s="39" t="str">
        <f>VLOOKUP(F29,glossary!J:N,2,FALSE)</f>
        <v>Scent lure</v>
      </c>
      <c r="H29" s="34" t="s">
        <v>120</v>
      </c>
      <c r="I29" s="45" t="str">
        <f t="shared" si="0"/>
        <v>baitlure_scent_lure_tu</v>
      </c>
      <c r="J29" s="42" t="s">
        <v>121</v>
      </c>
      <c r="K29" s="39" t="str">
        <f>VLOOKUP(F29,glossary!J:N,5,FALSE)</f>
        <v>Any material that draws animals closer via their sense of smell (Schlexer, 2008).</v>
      </c>
      <c r="L29" t="s">
        <v>1695</v>
      </c>
      <c r="M29" s="30" t="str">
        <f t="shared" si="1"/>
        <v>{{ baitlure_scent_lure_tu }}</v>
      </c>
      <c r="N29" t="s">
        <v>896</v>
      </c>
      <c r="O29" s="13" t="s">
        <v>1816</v>
      </c>
      <c r="P29" t="s">
        <v>4582</v>
      </c>
      <c r="Q29" t="str">
        <f t="shared" si="2"/>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9" t="b" cm="1">
        <f t="array" ref="R29">SUMPRODUCT(--EXACT($J$2:$J$490,J29))&gt;1</f>
        <v>0</v>
      </c>
      <c r="S29" t="s">
        <v>4704</v>
      </c>
    </row>
    <row r="30" spans="1:19">
      <c r="A30" s="30">
        <v>2</v>
      </c>
      <c r="B30" s="30" t="s">
        <v>1400</v>
      </c>
      <c r="C30" s="30"/>
      <c r="D30" s="30" t="s">
        <v>1208</v>
      </c>
      <c r="E30" s="30" t="s">
        <v>1758</v>
      </c>
      <c r="F30" s="30" t="s">
        <v>120</v>
      </c>
      <c r="G30" s="39" t="str">
        <f>VLOOKUP(F30,glossary!J:N,2,FALSE)</f>
        <v>Scent lure</v>
      </c>
      <c r="H30" s="30" t="s">
        <v>120</v>
      </c>
      <c r="I30" s="45" t="str">
        <f t="shared" si="0"/>
        <v>baitlure_scent_lure_tu_pl</v>
      </c>
      <c r="J30" s="39" t="s">
        <v>1797</v>
      </c>
      <c r="K30" s="39" t="str">
        <f>VLOOKUP(F30,glossary!J:N,5,FALSE)</f>
        <v>Any material that draws animals closer via their sense of smell (Schlexer, 2008).</v>
      </c>
      <c r="L30" s="30" t="s">
        <v>1799</v>
      </c>
      <c r="M30" s="30" t="str">
        <f t="shared" si="1"/>
        <v>{{ baitlure_scent_lure_tu_pl }}</v>
      </c>
      <c r="N30" t="s">
        <v>896</v>
      </c>
      <c r="O30" s="13" t="s">
        <v>1816</v>
      </c>
      <c r="P30" t="s">
        <v>4582</v>
      </c>
      <c r="Q30" t="str">
        <f t="shared" si="2"/>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0" t="b" cm="1">
        <f t="array" ref="R30">SUMPRODUCT(--EXACT($J$2:$J$490,J30))&gt;1</f>
        <v>0</v>
      </c>
      <c r="S30" t="s">
        <v>4705</v>
      </c>
    </row>
    <row r="31" spans="1:19">
      <c r="A31" s="30">
        <v>3</v>
      </c>
      <c r="B31" s="30" t="s">
        <v>1393</v>
      </c>
      <c r="C31" s="30"/>
      <c r="D31" s="30" t="s">
        <v>1207</v>
      </c>
      <c r="E31" s="30" t="s">
        <v>984</v>
      </c>
      <c r="F31" s="30" t="s">
        <v>58</v>
      </c>
      <c r="G31" s="39" t="str">
        <f>VLOOKUP(F31,glossary!J:N,2,FALSE)</f>
        <v>Visual lure</v>
      </c>
      <c r="H31" s="34" t="s">
        <v>58</v>
      </c>
      <c r="I31" s="45" t="str">
        <f t="shared" si="0"/>
        <v>baitlure_visual_lure_tl</v>
      </c>
      <c r="J31" s="43" t="s">
        <v>969</v>
      </c>
      <c r="K31" s="39" t="str">
        <f>VLOOKUP(F31,glossary!J:N,5,FALSE)</f>
        <v>Any material that draws animals closer via their sense of sight (Schlexer, 2008).</v>
      </c>
      <c r="L31" t="s">
        <v>1694</v>
      </c>
      <c r="M31" s="30" t="str">
        <f t="shared" si="1"/>
        <v>{{ baitlure_visual_lure_tl }}</v>
      </c>
      <c r="N31" t="s">
        <v>896</v>
      </c>
      <c r="O31" s="13" t="s">
        <v>1816</v>
      </c>
      <c r="P31" t="s">
        <v>4582</v>
      </c>
      <c r="Q31" t="str">
        <f t="shared" si="2"/>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1" t="b" cm="1">
        <f t="array" ref="R31">SUMPRODUCT(--EXACT($J$2:$J$490,J31))&gt;1</f>
        <v>0</v>
      </c>
      <c r="S31" t="s">
        <v>4706</v>
      </c>
    </row>
    <row r="32" spans="1:19">
      <c r="A32" s="30">
        <v>3</v>
      </c>
      <c r="B32" s="30" t="s">
        <v>1393</v>
      </c>
      <c r="C32" s="30"/>
      <c r="D32" s="30" t="s">
        <v>1208</v>
      </c>
      <c r="E32" s="30" t="s">
        <v>984</v>
      </c>
      <c r="F32" s="30" t="s">
        <v>58</v>
      </c>
      <c r="G32" s="39" t="str">
        <f>VLOOKUP(F32,glossary!J:N,2,FALSE)</f>
        <v>Visual lure</v>
      </c>
      <c r="H32" s="34" t="s">
        <v>58</v>
      </c>
      <c r="I32" s="45" t="str">
        <f t="shared" si="0"/>
        <v>baitlure_visual_lure_tu</v>
      </c>
      <c r="J32" s="42" t="s">
        <v>59</v>
      </c>
      <c r="K32" s="39" t="str">
        <f>VLOOKUP(F32,glossary!J:N,5,FALSE)</f>
        <v>Any material that draws animals closer via their sense of sight (Schlexer, 2008).</v>
      </c>
      <c r="L32" t="s">
        <v>1693</v>
      </c>
      <c r="M32" s="30" t="str">
        <f t="shared" si="1"/>
        <v>{{ baitlure_visual_lure_tu }}</v>
      </c>
      <c r="N32" t="s">
        <v>896</v>
      </c>
      <c r="O32" s="13" t="s">
        <v>1816</v>
      </c>
      <c r="P32" t="s">
        <v>4582</v>
      </c>
      <c r="Q32" t="str">
        <f t="shared" si="2"/>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2" t="b" cm="1">
        <f t="array" ref="R32">SUMPRODUCT(--EXACT($J$2:$J$490,J32))&gt;1</f>
        <v>0</v>
      </c>
      <c r="S32" t="s">
        <v>4707</v>
      </c>
    </row>
    <row r="33" spans="1:19">
      <c r="A33" s="30">
        <v>3</v>
      </c>
      <c r="B33" s="30" t="s">
        <v>1393</v>
      </c>
      <c r="C33" s="30"/>
      <c r="D33" s="30" t="s">
        <v>1208</v>
      </c>
      <c r="E33" s="30" t="s">
        <v>984</v>
      </c>
      <c r="F33" s="30" t="s">
        <v>340</v>
      </c>
      <c r="G33" s="39" t="str">
        <f>VLOOKUP(F33,glossary!J:N,2,FALSE)</f>
        <v>Batteries Replaced</v>
      </c>
      <c r="H33" s="34" t="s">
        <v>340</v>
      </c>
      <c r="I33" s="45" t="str">
        <f t="shared" si="0"/>
        <v>batteries_replaced_tu</v>
      </c>
      <c r="J33" s="42" t="s">
        <v>680</v>
      </c>
      <c r="K33" s="39" t="str">
        <f>VLOOKUP(F33,glossary!J:N,5,FALSE)</f>
        <v>Whether the camera's batteries were replaced.</v>
      </c>
      <c r="L33" t="s">
        <v>1692</v>
      </c>
      <c r="M33" s="30" t="str">
        <f t="shared" si="1"/>
        <v>{{ batteries_replaced_tu }}</v>
      </c>
      <c r="N33" t="s">
        <v>896</v>
      </c>
      <c r="O33" s="13" t="s">
        <v>1816</v>
      </c>
      <c r="P33" t="s">
        <v>4582</v>
      </c>
      <c r="Q33"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33" t="b" cm="1">
        <f t="array" ref="R33">SUMPRODUCT(--EXACT($J$2:$J$490,J33))&gt;1</f>
        <v>0</v>
      </c>
      <c r="S33" t="s">
        <v>4708</v>
      </c>
    </row>
    <row r="34" spans="1:19">
      <c r="A34" s="30">
        <v>1</v>
      </c>
      <c r="B34" s="30" t="s">
        <v>1064</v>
      </c>
      <c r="C34" s="30" t="s">
        <v>429</v>
      </c>
      <c r="D34" s="30" t="s">
        <v>1207</v>
      </c>
      <c r="E34" s="30" t="s">
        <v>1758</v>
      </c>
      <c r="F34" s="30" t="s">
        <v>339</v>
      </c>
      <c r="G34" s="39" t="e">
        <f>VLOOKUP(F34,glossary!J:N,2,FALSE)</f>
        <v>#N/A</v>
      </c>
      <c r="H34" s="30" t="s">
        <v>339</v>
      </c>
      <c r="I34" s="45" t="str">
        <f t="shared" si="0"/>
        <v>behaviour_tl_pl</v>
      </c>
      <c r="J34" s="39" t="s">
        <v>1192</v>
      </c>
      <c r="K34" s="39" t="e">
        <f>VLOOKUP(F34,glossary!J:N,5,FALSE)</f>
        <v>#N/A</v>
      </c>
      <c r="L34" s="30" t="s">
        <v>1119</v>
      </c>
      <c r="M34" s="30" t="str">
        <f t="shared" si="1"/>
        <v>{{ behaviour_tl_pl }}</v>
      </c>
      <c r="N34" t="s">
        <v>896</v>
      </c>
      <c r="O34" s="13" t="s">
        <v>1816</v>
      </c>
      <c r="P34" t="s">
        <v>4582</v>
      </c>
      <c r="Q34" t="e">
        <f t="shared" si="2"/>
        <v>#N/A</v>
      </c>
      <c r="R34" t="b" cm="1">
        <f t="array" ref="R34">SUMPRODUCT(--EXACT($J$2:$J$490,J34))&gt;1</f>
        <v>0</v>
      </c>
      <c r="S34" t="s">
        <v>4709</v>
      </c>
    </row>
    <row r="35" spans="1:19">
      <c r="A35" s="30">
        <v>1</v>
      </c>
      <c r="B35" s="30" t="s">
        <v>1064</v>
      </c>
      <c r="C35" s="30" t="s">
        <v>429</v>
      </c>
      <c r="D35" s="30" t="s">
        <v>1208</v>
      </c>
      <c r="E35" s="30" t="s">
        <v>1758</v>
      </c>
      <c r="F35" s="30" t="s">
        <v>339</v>
      </c>
      <c r="G35" s="39" t="e">
        <f>VLOOKUP(F35,glossary!J:N,2,FALSE)</f>
        <v>#N/A</v>
      </c>
      <c r="H35" s="30" t="s">
        <v>339</v>
      </c>
      <c r="I35" s="45" t="str">
        <f t="shared" si="0"/>
        <v>behaviour_tu_pl</v>
      </c>
      <c r="J35" s="39" t="s">
        <v>1163</v>
      </c>
      <c r="K35" s="39" t="e">
        <f>VLOOKUP(F35,glossary!J:N,5,FALSE)</f>
        <v>#N/A</v>
      </c>
      <c r="L35" s="30" t="s">
        <v>1104</v>
      </c>
      <c r="M35" s="30" t="str">
        <f t="shared" si="1"/>
        <v>{{ behaviour_tu_pl }}</v>
      </c>
      <c r="N35" t="s">
        <v>896</v>
      </c>
      <c r="O35" s="13" t="s">
        <v>1816</v>
      </c>
      <c r="P35" t="s">
        <v>4582</v>
      </c>
      <c r="Q35" t="e">
        <f t="shared" si="2"/>
        <v>#N/A</v>
      </c>
      <c r="R35" t="b" cm="1">
        <f t="array" ref="R35">SUMPRODUCT(--EXACT($J$2:$J$490,J35))&gt;1</f>
        <v>0</v>
      </c>
      <c r="S35" t="s">
        <v>4710</v>
      </c>
    </row>
    <row r="36" spans="1:19">
      <c r="B36" s="30" t="s">
        <v>768</v>
      </c>
      <c r="D36" s="30" t="s">
        <v>1207</v>
      </c>
      <c r="E36" s="30" t="s">
        <v>984</v>
      </c>
      <c r="F36" s="33" t="s">
        <v>779</v>
      </c>
      <c r="G36" s="39" t="str">
        <f>VLOOKUP(F36,glossary!J:N,2,FALSE)</f>
        <v>Bias</v>
      </c>
      <c r="H36" s="33" t="s">
        <v>779</v>
      </c>
      <c r="I36" s="45" t="str">
        <f t="shared" si="0"/>
        <v>bias_tl</v>
      </c>
      <c r="J36" s="30" t="s">
        <v>779</v>
      </c>
      <c r="K36" s="39" t="str">
        <f>VLOOKUP(F36,glossary!J:N,5,FALSE)</f>
        <v>A skewed or altered perspective. Biased data refers to data that may be inaccurate or unevenly portrayed (usually in favour of specific variables) and is therefore not as robust.' (Kemp et al., 2022).</v>
      </c>
      <c r="L36" s="30" t="s">
        <v>984</v>
      </c>
      <c r="M36" s="30" t="str">
        <f t="shared" si="1"/>
        <v>{{ bias_tl }}</v>
      </c>
      <c r="N36" t="s">
        <v>896</v>
      </c>
      <c r="O36" s="13" t="s">
        <v>1816</v>
      </c>
      <c r="P36" t="s">
        <v>4582</v>
      </c>
      <c r="Q36"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6" t="b" cm="1">
        <f t="array" ref="R36">SUMPRODUCT(--EXACT($J$2:$J$490,J36))&gt;1</f>
        <v>0</v>
      </c>
      <c r="S36" t="s">
        <v>4711</v>
      </c>
    </row>
    <row r="37" spans="1:19">
      <c r="B37" s="30" t="s">
        <v>768</v>
      </c>
      <c r="D37" s="30" t="s">
        <v>1207</v>
      </c>
      <c r="E37" s="30" t="s">
        <v>1755</v>
      </c>
      <c r="F37" s="33" t="s">
        <v>779</v>
      </c>
      <c r="G37" s="39" t="str">
        <f>VLOOKUP(F37,glossary!J:N,2,FALSE)</f>
        <v>Bias</v>
      </c>
      <c r="H37" s="33" t="s">
        <v>779</v>
      </c>
      <c r="I37" s="45" t="str">
        <f t="shared" si="0"/>
        <v>bias_tl_mod</v>
      </c>
      <c r="J37" s="30" t="s">
        <v>1822</v>
      </c>
      <c r="K37" s="39" t="str">
        <f>VLOOKUP(F37,glossary!J:N,5,FALSE)</f>
        <v>A skewed or altered perspective. Biased data refers to data that may be inaccurate or unevenly portrayed (usually in favour of specific variables) and is therefore not as robust.' (Kemp et al., 2022).</v>
      </c>
      <c r="L37" s="30" t="s">
        <v>984</v>
      </c>
      <c r="M37" s="30" t="str">
        <f t="shared" si="1"/>
        <v>{{ bias_tl_mod }}</v>
      </c>
      <c r="N37" t="s">
        <v>896</v>
      </c>
      <c r="O37" s="13" t="s">
        <v>1816</v>
      </c>
      <c r="P37" t="s">
        <v>4582</v>
      </c>
      <c r="Q37"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7" t="b" cm="1">
        <f t="array" ref="R37">SUMPRODUCT(--EXACT($J$2:$J$490,J37))&gt;1</f>
        <v>0</v>
      </c>
      <c r="S37" t="s">
        <v>4712</v>
      </c>
    </row>
    <row r="38" spans="1:19">
      <c r="B38" s="30" t="s">
        <v>768</v>
      </c>
      <c r="D38" s="30" t="s">
        <v>1207</v>
      </c>
      <c r="E38" s="30" t="s">
        <v>1823</v>
      </c>
      <c r="F38" s="33" t="s">
        <v>779</v>
      </c>
      <c r="G38" s="39" t="str">
        <f>VLOOKUP(F38,glossary!J:N,2,FALSE)</f>
        <v>Bias</v>
      </c>
      <c r="H38" s="33" t="s">
        <v>779</v>
      </c>
      <c r="I38" s="45" t="str">
        <f t="shared" si="0"/>
        <v>bias_tl_mod2</v>
      </c>
      <c r="J38" s="30" t="s">
        <v>1825</v>
      </c>
      <c r="K38" s="39" t="str">
        <f>VLOOKUP(F38,glossary!J:N,5,FALSE)</f>
        <v>A skewed or altered perspective. Biased data refers to data that may be inaccurate or unevenly portrayed (usually in favour of specific variables) and is therefore not as robust.' (Kemp et al., 2022).</v>
      </c>
      <c r="L38" s="30" t="s">
        <v>984</v>
      </c>
      <c r="M38" s="30" t="str">
        <f t="shared" si="1"/>
        <v>{{ bias_tl_mod2 }}</v>
      </c>
      <c r="N38" t="s">
        <v>896</v>
      </c>
      <c r="O38" s="13" t="s">
        <v>1816</v>
      </c>
      <c r="P38" t="s">
        <v>4582</v>
      </c>
      <c r="Q38"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8" t="b" cm="1">
        <f t="array" ref="R38">SUMPRODUCT(--EXACT($J$2:$J$490,J38))&gt;1</f>
        <v>0</v>
      </c>
      <c r="S38" t="s">
        <v>4713</v>
      </c>
    </row>
    <row r="39" spans="1:19">
      <c r="B39" s="30" t="s">
        <v>768</v>
      </c>
      <c r="D39" s="30" t="s">
        <v>1207</v>
      </c>
      <c r="E39" s="30" t="s">
        <v>4485</v>
      </c>
      <c r="F39" s="33" t="s">
        <v>779</v>
      </c>
      <c r="G39" s="39" t="str">
        <f>VLOOKUP(F39,glossary!J:N,2,FALSE)</f>
        <v>Bias</v>
      </c>
      <c r="H39" s="33" t="s">
        <v>779</v>
      </c>
      <c r="I39" s="45" t="str">
        <f t="shared" si="0"/>
        <v>bias_tl_op</v>
      </c>
      <c r="J39" s="30" t="s">
        <v>4483</v>
      </c>
      <c r="K39" s="39" t="str">
        <f>VLOOKUP(F39,glossary!J:N,5,FALSE)</f>
        <v>A skewed or altered perspective. Biased data refers to data that may be inaccurate or unevenly portrayed (usually in favour of specific variables) and is therefore not as robust.' (Kemp et al., 2022).</v>
      </c>
      <c r="L39" s="30" t="s">
        <v>984</v>
      </c>
      <c r="M39" s="30" t="str">
        <f t="shared" si="1"/>
        <v>{{ bias_tl_op }}</v>
      </c>
      <c r="N39" t="s">
        <v>896</v>
      </c>
      <c r="O39" s="13" t="s">
        <v>1816</v>
      </c>
      <c r="P39" t="s">
        <v>4582</v>
      </c>
      <c r="Q39"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9" t="b" cm="1">
        <f t="array" ref="R39">SUMPRODUCT(--EXACT($J$2:$J$490,J39))&gt;1</f>
        <v>0</v>
      </c>
      <c r="S39" t="s">
        <v>4714</v>
      </c>
    </row>
    <row r="40" spans="1:19">
      <c r="B40" s="30" t="s">
        <v>768</v>
      </c>
      <c r="D40" s="30" t="s">
        <v>1208</v>
      </c>
      <c r="E40" s="30" t="s">
        <v>984</v>
      </c>
      <c r="F40" s="33" t="s">
        <v>779</v>
      </c>
      <c r="G40" s="39" t="str">
        <f>VLOOKUP(F40,glossary!J:N,2,FALSE)</f>
        <v>Bias</v>
      </c>
      <c r="H40" s="33" t="s">
        <v>779</v>
      </c>
      <c r="I40" s="45" t="str">
        <f t="shared" si="0"/>
        <v>bias_tu</v>
      </c>
      <c r="J40" s="30" t="s">
        <v>629</v>
      </c>
      <c r="K40" s="39" t="str">
        <f>VLOOKUP(F40,glossary!J:N,5,FALSE)</f>
        <v>A skewed or altered perspective. Biased data refers to data that may be inaccurate or unevenly portrayed (usually in favour of specific variables) and is therefore not as robust.' (Kemp et al., 2022).</v>
      </c>
      <c r="L40" s="30" t="s">
        <v>984</v>
      </c>
      <c r="M40" s="30" t="str">
        <f t="shared" si="1"/>
        <v>{{ bias_tu }}</v>
      </c>
      <c r="N40" t="s">
        <v>896</v>
      </c>
      <c r="O40" s="13" t="s">
        <v>1816</v>
      </c>
      <c r="P40" t="s">
        <v>4582</v>
      </c>
      <c r="Q40"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0" t="b" cm="1">
        <f t="array" ref="R40">SUMPRODUCT(--EXACT($J$2:$J$490,J40))&gt;1</f>
        <v>0</v>
      </c>
      <c r="S40" t="s">
        <v>4715</v>
      </c>
    </row>
    <row r="41" spans="1:19">
      <c r="B41" s="30" t="s">
        <v>768</v>
      </c>
      <c r="D41" s="30" t="s">
        <v>1208</v>
      </c>
      <c r="E41" s="30" t="s">
        <v>1755</v>
      </c>
      <c r="F41" s="33" t="s">
        <v>779</v>
      </c>
      <c r="G41" s="39" t="str">
        <f>VLOOKUP(F41,glossary!J:N,2,FALSE)</f>
        <v>Bias</v>
      </c>
      <c r="H41" s="33" t="s">
        <v>779</v>
      </c>
      <c r="I41" s="45" t="str">
        <f t="shared" si="0"/>
        <v>bias_tu_mod</v>
      </c>
      <c r="J41" s="30" t="s">
        <v>1821</v>
      </c>
      <c r="K41" s="39" t="str">
        <f>VLOOKUP(F41,glossary!J:N,5,FALSE)</f>
        <v>A skewed or altered perspective. Biased data refers to data that may be inaccurate or unevenly portrayed (usually in favour of specific variables) and is therefore not as robust.' (Kemp et al., 2022).</v>
      </c>
      <c r="L41" s="30" t="s">
        <v>984</v>
      </c>
      <c r="M41" s="30" t="str">
        <f t="shared" si="1"/>
        <v>{{ bias_tu_mod }}</v>
      </c>
      <c r="N41" t="s">
        <v>896</v>
      </c>
      <c r="O41" s="13" t="s">
        <v>1816</v>
      </c>
      <c r="P41" t="s">
        <v>4582</v>
      </c>
      <c r="Q41"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1" t="b" cm="1">
        <f t="array" ref="R41">SUMPRODUCT(--EXACT($J$2:$J$490,J41))&gt;1</f>
        <v>0</v>
      </c>
      <c r="S41" t="s">
        <v>4716</v>
      </c>
    </row>
    <row r="42" spans="1:19">
      <c r="B42" s="30" t="s">
        <v>768</v>
      </c>
      <c r="D42" s="30" t="s">
        <v>1208</v>
      </c>
      <c r="E42" s="30" t="s">
        <v>1823</v>
      </c>
      <c r="F42" s="33" t="s">
        <v>779</v>
      </c>
      <c r="G42" s="39" t="str">
        <f>VLOOKUP(F42,glossary!J:N,2,FALSE)</f>
        <v>Bias</v>
      </c>
      <c r="H42" s="33" t="s">
        <v>779</v>
      </c>
      <c r="I42" s="45" t="str">
        <f t="shared" si="0"/>
        <v>bias_tu_mod2</v>
      </c>
      <c r="J42" s="30" t="s">
        <v>1824</v>
      </c>
      <c r="K42" s="39" t="str">
        <f>VLOOKUP(F42,glossary!J:N,5,FALSE)</f>
        <v>A skewed or altered perspective. Biased data refers to data that may be inaccurate or unevenly portrayed (usually in favour of specific variables) and is therefore not as robust.' (Kemp et al., 2022).</v>
      </c>
      <c r="L42" s="30" t="s">
        <v>984</v>
      </c>
      <c r="M42" s="30" t="str">
        <f t="shared" si="1"/>
        <v>{{ bias_tu_mod2 }}</v>
      </c>
      <c r="N42" t="s">
        <v>896</v>
      </c>
      <c r="O42" s="13" t="s">
        <v>1816</v>
      </c>
      <c r="P42" t="s">
        <v>4582</v>
      </c>
      <c r="Q42"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2" t="b" cm="1">
        <f t="array" ref="R42">SUMPRODUCT(--EXACT($J$2:$J$490,J42))&gt;1</f>
        <v>0</v>
      </c>
      <c r="S42" t="s">
        <v>4717</v>
      </c>
    </row>
    <row r="43" spans="1:19">
      <c r="B43" s="30" t="s">
        <v>768</v>
      </c>
      <c r="D43" s="30" t="s">
        <v>1208</v>
      </c>
      <c r="E43" s="30" t="s">
        <v>4485</v>
      </c>
      <c r="F43" s="33" t="s">
        <v>779</v>
      </c>
      <c r="G43" s="39" t="str">
        <f>VLOOKUP(F43,glossary!J:N,2,FALSE)</f>
        <v>Bias</v>
      </c>
      <c r="H43" s="33" t="s">
        <v>779</v>
      </c>
      <c r="I43" s="45" t="str">
        <f t="shared" si="0"/>
        <v>bias_tu_op</v>
      </c>
      <c r="J43" s="30" t="s">
        <v>4484</v>
      </c>
      <c r="K43" s="39" t="str">
        <f>VLOOKUP(F43,glossary!J:N,5,FALSE)</f>
        <v>A skewed or altered perspective. Biased data refers to data that may be inaccurate or unevenly portrayed (usually in favour of specific variables) and is therefore not as robust.' (Kemp et al., 2022).</v>
      </c>
      <c r="L43" s="30" t="s">
        <v>984</v>
      </c>
      <c r="M43" s="30" t="str">
        <f t="shared" si="1"/>
        <v>{{ bias_tu_op }}</v>
      </c>
      <c r="N43" t="s">
        <v>896</v>
      </c>
      <c r="O43" s="13" t="s">
        <v>1816</v>
      </c>
      <c r="P43" t="s">
        <v>4582</v>
      </c>
      <c r="Q43"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3" t="b" cm="1">
        <f t="array" ref="R43">SUMPRODUCT(--EXACT($J$2:$J$490,J43))&gt;1</f>
        <v>0</v>
      </c>
      <c r="S43" t="s">
        <v>4718</v>
      </c>
    </row>
    <row r="44" spans="1:19">
      <c r="B44" s="30" t="s">
        <v>768</v>
      </c>
      <c r="D44" s="30" t="s">
        <v>1207</v>
      </c>
      <c r="E44" s="30" t="s">
        <v>984</v>
      </c>
      <c r="F44" s="30" t="s">
        <v>778</v>
      </c>
      <c r="G44" s="39" t="str">
        <f>VLOOKUP(F44,glossary!J:N,2,FALSE)</f>
        <v>Biodiversity</v>
      </c>
      <c r="H44" s="30" t="s">
        <v>778</v>
      </c>
      <c r="I44" s="45" t="str">
        <f t="shared" si="0"/>
        <v>biodiversity_tl</v>
      </c>
      <c r="J44" s="30" t="s">
        <v>778</v>
      </c>
      <c r="K44" s="39" t="str">
        <f>VLOOKUP(F44,glossary!J:N,5,FALSE)</f>
        <v>The variation of life in the natural world. In the context of this guide, biodiversity refers to the variety of different wildlife species found in an area.' (Kemp et al., 2022).</v>
      </c>
      <c r="L44" s="30" t="s">
        <v>984</v>
      </c>
      <c r="M44" s="30" t="str">
        <f t="shared" si="1"/>
        <v>{{ biodiversity_tl }}</v>
      </c>
      <c r="N44" t="s">
        <v>896</v>
      </c>
      <c r="O44" s="13" t="s">
        <v>1816</v>
      </c>
      <c r="P44" t="s">
        <v>4582</v>
      </c>
      <c r="Q44"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4" t="b" cm="1">
        <f t="array" ref="R44">SUMPRODUCT(--EXACT($J$2:$J$490,J44))&gt;1</f>
        <v>0</v>
      </c>
      <c r="S44" t="s">
        <v>4719</v>
      </c>
    </row>
    <row r="45" spans="1:19">
      <c r="B45" s="30" t="s">
        <v>768</v>
      </c>
      <c r="D45" s="30" t="s">
        <v>1208</v>
      </c>
      <c r="E45" s="30" t="s">
        <v>984</v>
      </c>
      <c r="F45" s="30" t="s">
        <v>778</v>
      </c>
      <c r="G45" s="39" t="str">
        <f>VLOOKUP(F45,glossary!J:N,2,FALSE)</f>
        <v>Biodiversity</v>
      </c>
      <c r="H45" s="30" t="s">
        <v>778</v>
      </c>
      <c r="I45" s="45" t="str">
        <f t="shared" si="0"/>
        <v>biodiversity_tu</v>
      </c>
      <c r="J45" s="30" t="s">
        <v>628</v>
      </c>
      <c r="K45" s="39" t="str">
        <f>VLOOKUP(F45,glossary!J:N,5,FALSE)</f>
        <v>The variation of life in the natural world. In the context of this guide, biodiversity refers to the variety of different wildlife species found in an area.' (Kemp et al., 2022).</v>
      </c>
      <c r="L45" s="30" t="s">
        <v>984</v>
      </c>
      <c r="M45" s="30" t="str">
        <f t="shared" si="1"/>
        <v>{{ biodiversity_tu }}</v>
      </c>
      <c r="N45" t="s">
        <v>896</v>
      </c>
      <c r="O45" s="13" t="s">
        <v>1816</v>
      </c>
      <c r="P45" t="s">
        <v>4582</v>
      </c>
      <c r="Q45"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5" t="b" cm="1">
        <f t="array" ref="R45">SUMPRODUCT(--EXACT($J$2:$J$490,J45))&gt;1</f>
        <v>0</v>
      </c>
      <c r="S45" t="s">
        <v>4720</v>
      </c>
    </row>
    <row r="46" spans="1:19">
      <c r="A46" s="30">
        <v>3</v>
      </c>
      <c r="B46" s="30" t="s">
        <v>1393</v>
      </c>
      <c r="C46" s="30"/>
      <c r="D46" s="30" t="s">
        <v>1208</v>
      </c>
      <c r="E46" s="30" t="s">
        <v>984</v>
      </c>
      <c r="F46" s="30" t="s">
        <v>1226</v>
      </c>
      <c r="G46" s="39" t="str">
        <f>VLOOKUP(F46,glossary!J:N,2,FALSE)</f>
        <v>Camera Active On Arrival</v>
      </c>
      <c r="H46" s="34" t="s">
        <v>1226</v>
      </c>
      <c r="I46" s="45" t="str">
        <f t="shared" si="0"/>
        <v>cam_active_on_arrival_tu</v>
      </c>
      <c r="J46" s="42" t="s">
        <v>733</v>
      </c>
      <c r="K46" s="39" t="str">
        <f>VLOOKUP(F46,glossary!J:N,5,FALSE)</f>
        <v>Whether a camera was functional upon arrival.</v>
      </c>
      <c r="L46" t="s">
        <v>1691</v>
      </c>
      <c r="M46" s="30" t="str">
        <f t="shared" si="1"/>
        <v>{{ cam_active_on_arrival_tu }}</v>
      </c>
      <c r="N46" t="s">
        <v>896</v>
      </c>
      <c r="O46" s="13" t="s">
        <v>1816</v>
      </c>
      <c r="P46" t="s">
        <v>4582</v>
      </c>
      <c r="Q46"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6" t="b" cm="1">
        <f t="array" ref="R46">SUMPRODUCT(--EXACT($J$2:$J$490,J46))&gt;1</f>
        <v>0</v>
      </c>
      <c r="S46" t="s">
        <v>4721</v>
      </c>
    </row>
    <row r="47" spans="1:19">
      <c r="A47" s="30">
        <v>3</v>
      </c>
      <c r="B47" s="30" t="s">
        <v>1393</v>
      </c>
      <c r="C47" s="30"/>
      <c r="D47" s="30" t="s">
        <v>1208</v>
      </c>
      <c r="E47" s="30" t="s">
        <v>984</v>
      </c>
      <c r="F47" s="30" t="s">
        <v>1227</v>
      </c>
      <c r="G47" s="39" t="str">
        <f>VLOOKUP(F47,glossary!J:N,2,FALSE)</f>
        <v>Camera Active On Departure</v>
      </c>
      <c r="H47" s="34" t="s">
        <v>1227</v>
      </c>
      <c r="I47" s="45" t="str">
        <f t="shared" si="0"/>
        <v>cam_active_on_departure_tu</v>
      </c>
      <c r="J47" s="42" t="s">
        <v>734</v>
      </c>
      <c r="K47" s="39" t="str">
        <f>VLOOKUP(F47,glossary!J:N,5,FALSE)</f>
        <v>Whether a camera was functional upon departure.</v>
      </c>
      <c r="L47" t="s">
        <v>1690</v>
      </c>
      <c r="M47" s="30" t="str">
        <f t="shared" si="1"/>
        <v>{{ cam_active_on_departure_tu }}</v>
      </c>
      <c r="N47" t="s">
        <v>896</v>
      </c>
      <c r="O47" s="13" t="s">
        <v>1816</v>
      </c>
      <c r="P47" t="s">
        <v>4582</v>
      </c>
      <c r="Q47"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7" t="b" cm="1">
        <f t="array" ref="R47">SUMPRODUCT(--EXACT($J$2:$J$490,J47))&gt;1</f>
        <v>0</v>
      </c>
      <c r="S47" t="s">
        <v>4722</v>
      </c>
    </row>
    <row r="48" spans="1:19">
      <c r="A48" s="30">
        <v>3</v>
      </c>
      <c r="B48" s="30" t="s">
        <v>1393</v>
      </c>
      <c r="C48" s="30"/>
      <c r="D48" s="30" t="s">
        <v>1207</v>
      </c>
      <c r="E48" s="30" t="s">
        <v>984</v>
      </c>
      <c r="F48" s="30" t="s">
        <v>1228</v>
      </c>
      <c r="G48" s="39" t="str">
        <f>VLOOKUP(F48,glossary!J:N,2,FALSE)</f>
        <v>Camera angle</v>
      </c>
      <c r="H48" s="34" t="s">
        <v>1228</v>
      </c>
      <c r="I48" s="45" t="str">
        <f t="shared" si="0"/>
        <v>cam_angle_tl</v>
      </c>
      <c r="J48" s="43" t="s">
        <v>905</v>
      </c>
      <c r="K48" s="39" t="str">
        <f>VLOOKUP(F48,glossary!J:N,5,FALSE)</f>
        <v>The degree at which the camera is pointed toward the FOV Target Feature relative to the horizontal ground surface (with respect to slope, if applicable).</v>
      </c>
      <c r="L48" t="s">
        <v>1689</v>
      </c>
      <c r="M48" s="30" t="str">
        <f t="shared" si="1"/>
        <v>{{ cam_angle_tl }}</v>
      </c>
      <c r="N48" t="s">
        <v>896</v>
      </c>
      <c r="O48" s="13" t="s">
        <v>1816</v>
      </c>
      <c r="P48" t="s">
        <v>4582</v>
      </c>
      <c r="Q48"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SUMPRODUCT(--EXACT($J$2:$J$490,J48))&gt;1</f>
        <v>0</v>
      </c>
      <c r="S48" t="s">
        <v>4723</v>
      </c>
    </row>
    <row r="49" spans="1:19">
      <c r="A49" s="30">
        <v>1</v>
      </c>
      <c r="B49" s="30" t="s">
        <v>1064</v>
      </c>
      <c r="C49" s="30" t="s">
        <v>429</v>
      </c>
      <c r="D49" s="30" t="s">
        <v>1207</v>
      </c>
      <c r="E49" s="30" t="s">
        <v>1752</v>
      </c>
      <c r="F49" s="30" t="s">
        <v>1228</v>
      </c>
      <c r="G49" s="39" t="str">
        <f>VLOOKUP(F49,glossary!J:N,2,FALSE)</f>
        <v>Camera angle</v>
      </c>
      <c r="H49" s="30" t="s">
        <v>1228</v>
      </c>
      <c r="I49" s="45" t="str">
        <f t="shared" si="0"/>
        <v>cam_angle_tl_abrv</v>
      </c>
      <c r="J49" s="39" t="s">
        <v>1194</v>
      </c>
      <c r="K49" s="39" t="str">
        <f>VLOOKUP(F49,glossary!J:N,5,FALSE)</f>
        <v>The degree at which the camera is pointed toward the FOV Target Feature relative to the horizontal ground surface (with respect to slope, if applicable).</v>
      </c>
      <c r="L49" s="30" t="s">
        <v>1740</v>
      </c>
      <c r="M49" s="30" t="str">
        <f t="shared" si="1"/>
        <v>{{ cam_angle_tl_abrv }}</v>
      </c>
      <c r="N49" t="s">
        <v>896</v>
      </c>
      <c r="O49" s="13" t="s">
        <v>1816</v>
      </c>
      <c r="P49" t="s">
        <v>4582</v>
      </c>
      <c r="Q49"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SUMPRODUCT(--EXACT($J$2:$J$490,J49))&gt;1</f>
        <v>0</v>
      </c>
      <c r="S49" t="s">
        <v>4724</v>
      </c>
    </row>
    <row r="50" spans="1:19">
      <c r="A50" s="30">
        <v>3</v>
      </c>
      <c r="B50" s="30" t="s">
        <v>1393</v>
      </c>
      <c r="C50" s="30"/>
      <c r="D50" s="30" t="s">
        <v>1208</v>
      </c>
      <c r="E50" s="30" t="s">
        <v>984</v>
      </c>
      <c r="F50" s="30" t="s">
        <v>1228</v>
      </c>
      <c r="G50" s="39" t="str">
        <f>VLOOKUP(F50,glossary!J:N,2,FALSE)</f>
        <v>Camera angle</v>
      </c>
      <c r="H50" s="34" t="s">
        <v>1228</v>
      </c>
      <c r="I50" s="45" t="str">
        <f t="shared" si="0"/>
        <v>cam_angle_tu</v>
      </c>
      <c r="J50" s="42" t="s">
        <v>233</v>
      </c>
      <c r="K50" s="39" t="str">
        <f>VLOOKUP(F50,glossary!J:N,5,FALSE)</f>
        <v>The degree at which the camera is pointed toward the FOV Target Feature relative to the horizontal ground surface (with respect to slope, if applicable).</v>
      </c>
      <c r="L50" t="s">
        <v>1688</v>
      </c>
      <c r="M50" s="30" t="str">
        <f t="shared" si="1"/>
        <v>{{ cam_angle_tu }}</v>
      </c>
      <c r="N50" t="s">
        <v>896</v>
      </c>
      <c r="O50" s="13" t="s">
        <v>1816</v>
      </c>
      <c r="P50" t="s">
        <v>4582</v>
      </c>
      <c r="Q50"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0" t="b" cm="1">
        <f t="array" ref="R50">SUMPRODUCT(--EXACT($J$2:$J$490,J50))&gt;1</f>
        <v>0</v>
      </c>
      <c r="S50" t="s">
        <v>4725</v>
      </c>
    </row>
    <row r="51" spans="1:19">
      <c r="A51" s="30">
        <v>1</v>
      </c>
      <c r="B51" s="30" t="s">
        <v>1064</v>
      </c>
      <c r="C51" s="30" t="s">
        <v>429</v>
      </c>
      <c r="D51" s="30" t="s">
        <v>1208</v>
      </c>
      <c r="E51" s="30" t="s">
        <v>1752</v>
      </c>
      <c r="F51" s="30" t="s">
        <v>1228</v>
      </c>
      <c r="G51" s="39" t="str">
        <f>VLOOKUP(F51,glossary!J:N,2,FALSE)</f>
        <v>Camera angle</v>
      </c>
      <c r="H51" s="30" t="s">
        <v>1228</v>
      </c>
      <c r="I51" s="45" t="str">
        <f t="shared" si="0"/>
        <v>cam_angle_tu_abrv</v>
      </c>
      <c r="J51" s="39" t="s">
        <v>1159</v>
      </c>
      <c r="K51" s="39" t="str">
        <f>VLOOKUP(F51,glossary!J:N,5,FALSE)</f>
        <v>The degree at which the camera is pointed toward the FOV Target Feature relative to the horizontal ground surface (with respect to slope, if applicable).</v>
      </c>
      <c r="L51" s="30" t="s">
        <v>1739</v>
      </c>
      <c r="M51" s="30" t="str">
        <f t="shared" si="1"/>
        <v>{{ cam_angle_tu_abrv }}</v>
      </c>
      <c r="N51" t="s">
        <v>896</v>
      </c>
      <c r="O51" s="13" t="s">
        <v>1816</v>
      </c>
      <c r="P51" t="s">
        <v>4582</v>
      </c>
      <c r="Q51"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1" t="b" cm="1">
        <f t="array" ref="R51">SUMPRODUCT(--EXACT($J$2:$J$490,J51))&gt;1</f>
        <v>0</v>
      </c>
      <c r="S51" t="s">
        <v>4726</v>
      </c>
    </row>
    <row r="52" spans="1:19">
      <c r="A52" s="30">
        <v>3</v>
      </c>
      <c r="B52" s="30" t="s">
        <v>1393</v>
      </c>
      <c r="C52" s="30"/>
      <c r="D52" s="30" t="s">
        <v>1208</v>
      </c>
      <c r="E52" s="30" t="s">
        <v>984</v>
      </c>
      <c r="F52" s="30" t="s">
        <v>1229</v>
      </c>
      <c r="G52" s="39" t="str">
        <f>VLOOKUP(F52,glossary!J:N,2,FALSE)</f>
        <v>Camera Attachment</v>
      </c>
      <c r="H52" s="34" t="s">
        <v>1229</v>
      </c>
      <c r="I52" s="45" t="str">
        <f t="shared" si="0"/>
        <v>cam_attachment_tu</v>
      </c>
      <c r="J52" s="42" t="s">
        <v>735</v>
      </c>
      <c r="K52" s="39" t="str">
        <f>VLOOKUP(F52,glossary!J:N,5,FALSE)</f>
        <v>The method*/tools used to attach the camera (e.g., attached to a tree with a bungee cord; reported as codes such as 'Tree + Bungee*/Strap'). If 'Other,' describe in the Camera Location Comments.</v>
      </c>
      <c r="L52" t="s">
        <v>1687</v>
      </c>
      <c r="M52" s="30" t="str">
        <f t="shared" si="1"/>
        <v>{{ cam_attachment_tu }}</v>
      </c>
      <c r="N52" t="s">
        <v>896</v>
      </c>
      <c r="O52" s="13" t="s">
        <v>1816</v>
      </c>
      <c r="P52" t="s">
        <v>4582</v>
      </c>
      <c r="Q52"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2" t="b" cm="1">
        <f t="array" ref="R52">SUMPRODUCT(--EXACT($J$2:$J$490,J52))&gt;1</f>
        <v>0</v>
      </c>
      <c r="S52" t="s">
        <v>4727</v>
      </c>
    </row>
    <row r="53" spans="1:19">
      <c r="A53" s="30">
        <v>3</v>
      </c>
      <c r="B53" s="30" t="s">
        <v>1393</v>
      </c>
      <c r="C53" s="30"/>
      <c r="D53" s="30" t="s">
        <v>1208</v>
      </c>
      <c r="E53" s="30" t="s">
        <v>984</v>
      </c>
      <c r="F53" s="30" t="s">
        <v>1230</v>
      </c>
      <c r="G53" s="39" t="str">
        <f>VLOOKUP(F53,glossary!J:N,2,FALSE)</f>
        <v>Camera Damaged</v>
      </c>
      <c r="H53" s="34" t="s">
        <v>1230</v>
      </c>
      <c r="I53" s="45" t="str">
        <f t="shared" si="0"/>
        <v>cam_damaged_tu</v>
      </c>
      <c r="J53" s="42" t="s">
        <v>736</v>
      </c>
      <c r="K53" s="39" t="str">
        <f>VLOOKUP(F53,glossary!J:N,5,FALSE)</f>
        <v>Whether the camera was damaged or malfunctioning; if there is any damage to the device (physical or mechanical), the crew should describe the damage in the Service*/Retrieval Comments.</v>
      </c>
      <c r="L53" t="s">
        <v>1686</v>
      </c>
      <c r="M53" s="30" t="str">
        <f t="shared" si="1"/>
        <v>{{ cam_damaged_tu }}</v>
      </c>
      <c r="N53" t="s">
        <v>896</v>
      </c>
      <c r="O53" s="13" t="s">
        <v>1816</v>
      </c>
      <c r="P53" t="s">
        <v>4582</v>
      </c>
      <c r="Q53"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3" t="b" cm="1">
        <f t="array" ref="R53">SUMPRODUCT(--EXACT($J$2:$J$490,J53))&gt;1</f>
        <v>0</v>
      </c>
      <c r="S53" t="s">
        <v>4728</v>
      </c>
    </row>
    <row r="54" spans="1:19">
      <c r="A54" s="30">
        <v>3</v>
      </c>
      <c r="B54" s="30" t="s">
        <v>1393</v>
      </c>
      <c r="C54" s="30"/>
      <c r="D54" s="30" t="s">
        <v>1207</v>
      </c>
      <c r="E54" s="30" t="s">
        <v>984</v>
      </c>
      <c r="F54" s="30" t="s">
        <v>1231</v>
      </c>
      <c r="G54" s="39" t="str">
        <f>VLOOKUP(F54,glossary!J:N,2,FALSE)</f>
        <v>Camera days per camera location</v>
      </c>
      <c r="H54" s="34" t="s">
        <v>1231</v>
      </c>
      <c r="I54" s="45" t="str">
        <f t="shared" si="0"/>
        <v>cam_days_per_cam_location_tl</v>
      </c>
      <c r="J54" s="43" t="s">
        <v>906</v>
      </c>
      <c r="K54" s="39" t="str">
        <f>VLOOKUP(F54,glossary!J:N,5,FALSE)</f>
        <v>The number of days each camera was active and functioning during the period it was deployed (e.g., 24-hour periods or the difference in days between the Deployment Start Date Time and the Deployment End Date Time if there were no interruptions).</v>
      </c>
      <c r="L54" t="s">
        <v>1830</v>
      </c>
      <c r="M54" s="30" t="str">
        <f t="shared" si="1"/>
        <v>{{ cam_days_per_cam_location_tl }}</v>
      </c>
      <c r="N54" t="s">
        <v>896</v>
      </c>
      <c r="O54" s="13" t="s">
        <v>1816</v>
      </c>
      <c r="P54" t="s">
        <v>4582</v>
      </c>
      <c r="Q54"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4" t="b" cm="1">
        <f t="array" ref="R54">SUMPRODUCT(--EXACT($J$2:$J$490,J54))&gt;1</f>
        <v>0</v>
      </c>
      <c r="S54" t="s">
        <v>4729</v>
      </c>
    </row>
    <row r="55" spans="1:19">
      <c r="A55" s="30">
        <v>3</v>
      </c>
      <c r="B55" s="30" t="s">
        <v>1393</v>
      </c>
      <c r="C55" s="30"/>
      <c r="D55" s="30" t="s">
        <v>1208</v>
      </c>
      <c r="E55" s="30" t="s">
        <v>984</v>
      </c>
      <c r="F55" s="30" t="s">
        <v>1231</v>
      </c>
      <c r="G55" s="39" t="str">
        <f>VLOOKUP(F55,glossary!J:N,2,FALSE)</f>
        <v>Camera days per camera location</v>
      </c>
      <c r="H55" s="34" t="s">
        <v>1231</v>
      </c>
      <c r="I55" s="45" t="str">
        <f t="shared" si="0"/>
        <v>cam_days_per_cam_location_tu</v>
      </c>
      <c r="J55" s="42" t="s">
        <v>231</v>
      </c>
      <c r="K55" s="39" t="str">
        <f>VLOOKUP(F55,glossary!J:N,5,FALSE)</f>
        <v>The number of days each camera was active and functioning during the period it was deployed (e.g., 24-hour periods or the difference in days between the Deployment Start Date Time and the Deployment End Date Time if there were no interruptions).</v>
      </c>
      <c r="L55" t="s">
        <v>1685</v>
      </c>
      <c r="M55" s="30" t="str">
        <f t="shared" si="1"/>
        <v>{{ cam_days_per_cam_location_tu }}</v>
      </c>
      <c r="N55" t="s">
        <v>896</v>
      </c>
      <c r="O55" s="13" t="s">
        <v>1816</v>
      </c>
      <c r="P55" t="s">
        <v>4582</v>
      </c>
      <c r="Q55"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5" t="b" cm="1">
        <f t="array" ref="R55">SUMPRODUCT(--EXACT($J$2:$J$490,J55))&gt;1</f>
        <v>0</v>
      </c>
      <c r="S55" t="s">
        <v>4730</v>
      </c>
    </row>
    <row r="56" spans="1:19">
      <c r="A56" s="30">
        <v>1</v>
      </c>
      <c r="B56" s="30" t="s">
        <v>1064</v>
      </c>
      <c r="C56" s="30" t="s">
        <v>429</v>
      </c>
      <c r="D56" s="30" t="s">
        <v>1208</v>
      </c>
      <c r="E56" s="30" t="s">
        <v>1757</v>
      </c>
      <c r="F56" s="30" t="s">
        <v>1232</v>
      </c>
      <c r="G56" s="39" t="str">
        <f>VLOOKUP(F56,glossary!J:N,2,FALSE)</f>
        <v>Camera Direction (degrees)</v>
      </c>
      <c r="H56" s="30" t="s">
        <v>1232</v>
      </c>
      <c r="I56" s="45" t="str">
        <f t="shared" si="0"/>
        <v>cam_direction_tu_nu</v>
      </c>
      <c r="J56" s="39" t="s">
        <v>1066</v>
      </c>
      <c r="K56" s="39" t="str">
        <f>VLOOKUP(F56,glossary!J:N,5,FALSE)</f>
        <v>The cardinal direction that a camera faces. Ideally, cameras should face north (N; i.e. '0' degrees), or south (S; i.e. '180' degrees) if north is not possible. The Camera Direction should be chosen to ensure the field of view (FOV) is of the original FOV target feature.</v>
      </c>
      <c r="L56" s="30" t="s">
        <v>1738</v>
      </c>
      <c r="M56" s="30" t="str">
        <f t="shared" si="1"/>
        <v>{{ cam_direction_tu_nu }}</v>
      </c>
      <c r="N56" t="s">
        <v>896</v>
      </c>
      <c r="O56" s="13" t="s">
        <v>1816</v>
      </c>
      <c r="P56" t="s">
        <v>4582</v>
      </c>
      <c r="Q56"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6" t="b" cm="1">
        <f t="array" ref="R56">SUMPRODUCT(--EXACT($J$2:$J$490,J56))&gt;1</f>
        <v>0</v>
      </c>
      <c r="S56" t="s">
        <v>4731</v>
      </c>
    </row>
    <row r="57" spans="1:19">
      <c r="A57" s="30">
        <v>3</v>
      </c>
      <c r="B57" s="30" t="s">
        <v>1393</v>
      </c>
      <c r="C57" s="30"/>
      <c r="D57" s="30" t="s">
        <v>1208</v>
      </c>
      <c r="E57" s="30" t="s">
        <v>1751</v>
      </c>
      <c r="F57" s="30" t="s">
        <v>1232</v>
      </c>
      <c r="G57" s="39" t="str">
        <f>VLOOKUP(F57,glossary!J:N,2,FALSE)</f>
        <v>Camera Direction (degrees)</v>
      </c>
      <c r="H57" s="34" t="s">
        <v>1232</v>
      </c>
      <c r="I57" s="45" t="str">
        <f t="shared" si="0"/>
        <v>cam_direction_tu_u</v>
      </c>
      <c r="J57" s="42" t="s">
        <v>737</v>
      </c>
      <c r="K57" s="39" t="str">
        <f>VLOOKUP(F57,glossary!J:N,5,FALSE)</f>
        <v>The cardinal direction that a camera faces. Ideally, cameras should face north (N; i.e. '0' degrees), or south (S; i.e. '180' degrees) if north is not possible. The Camera Direction should be chosen to ensure the field of view (FOV) is of the original FOV target feature.</v>
      </c>
      <c r="L57" t="s">
        <v>1684</v>
      </c>
      <c r="M57" s="30" t="str">
        <f t="shared" si="1"/>
        <v>{{ cam_direction_tu_u }}</v>
      </c>
      <c r="N57" t="s">
        <v>896</v>
      </c>
      <c r="O57" s="13" t="s">
        <v>1816</v>
      </c>
      <c r="P57" t="s">
        <v>4582</v>
      </c>
      <c r="Q57"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7" t="b" cm="1">
        <f t="array" ref="R57">SUMPRODUCT(--EXACT($J$2:$J$490,J57))&gt;1</f>
        <v>0</v>
      </c>
      <c r="S57" t="s">
        <v>4732</v>
      </c>
    </row>
    <row r="58" spans="1:19">
      <c r="A58" s="30">
        <v>1</v>
      </c>
      <c r="B58" s="30" t="s">
        <v>1064</v>
      </c>
      <c r="C58" s="30" t="s">
        <v>429</v>
      </c>
      <c r="D58" s="30" t="s">
        <v>1208</v>
      </c>
      <c r="E58" s="30" t="s">
        <v>1757</v>
      </c>
      <c r="F58" s="30" t="s">
        <v>1233</v>
      </c>
      <c r="G58" s="39" t="str">
        <f>VLOOKUP(F58,glossary!J:N,2,FALSE)</f>
        <v>Camera Height (m)</v>
      </c>
      <c r="H58" s="30" t="s">
        <v>1233</v>
      </c>
      <c r="I58" s="45" t="str">
        <f t="shared" si="0"/>
        <v>cam_height_tu_nu</v>
      </c>
      <c r="J58" s="39" t="s">
        <v>1065</v>
      </c>
      <c r="K58" s="39" t="str">
        <f>VLOOKUP(F58,glossary!J:N,5,FALSE)</f>
        <v>The height from the ground (below snow) to the bottom of the lens (metres; to the nearest 0.05 m).</v>
      </c>
      <c r="L58" s="30" t="s">
        <v>1737</v>
      </c>
      <c r="M58" s="30" t="str">
        <f t="shared" si="1"/>
        <v>{{ cam_height_tu_nu }}</v>
      </c>
      <c r="N58" t="s">
        <v>896</v>
      </c>
      <c r="O58" s="13" t="s">
        <v>1816</v>
      </c>
      <c r="P58" t="s">
        <v>4582</v>
      </c>
      <c r="Q58"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8" t="b" cm="1">
        <f t="array" ref="R58">SUMPRODUCT(--EXACT($J$2:$J$490,J58))&gt;1</f>
        <v>0</v>
      </c>
      <c r="S58" t="s">
        <v>4733</v>
      </c>
    </row>
    <row r="59" spans="1:19">
      <c r="A59" s="30">
        <v>3</v>
      </c>
      <c r="B59" s="30" t="s">
        <v>1393</v>
      </c>
      <c r="C59" s="30"/>
      <c r="D59" s="30" t="s">
        <v>1208</v>
      </c>
      <c r="E59" s="30" t="s">
        <v>1751</v>
      </c>
      <c r="F59" s="30" t="s">
        <v>1233</v>
      </c>
      <c r="G59" s="39" t="str">
        <f>VLOOKUP(F59,glossary!J:N,2,FALSE)</f>
        <v>Camera Height (m)</v>
      </c>
      <c r="H59" s="34" t="s">
        <v>1233</v>
      </c>
      <c r="I59" s="45" t="str">
        <f t="shared" si="0"/>
        <v>cam_height_tu_u</v>
      </c>
      <c r="J59" s="42" t="s">
        <v>1398</v>
      </c>
      <c r="K59" s="39" t="str">
        <f>VLOOKUP(F59,glossary!J:N,5,FALSE)</f>
        <v>The height from the ground (below snow) to the bottom of the lens (metres; to the nearest 0.05 m).</v>
      </c>
      <c r="L59" t="s">
        <v>1762</v>
      </c>
      <c r="M59" s="30" t="str">
        <f t="shared" si="1"/>
        <v>{{ cam_height_tu_u }}</v>
      </c>
      <c r="N59" t="s">
        <v>896</v>
      </c>
      <c r="O59" s="13" t="s">
        <v>1816</v>
      </c>
      <c r="P59" t="s">
        <v>4582</v>
      </c>
      <c r="Q59"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9" t="b" cm="1">
        <f t="array" ref="R59">SUMPRODUCT(--EXACT($J$2:$J$490,J59))&gt;1</f>
        <v>0</v>
      </c>
      <c r="S59" t="s">
        <v>4734</v>
      </c>
    </row>
    <row r="60" spans="1:19">
      <c r="A60" s="30">
        <v>3</v>
      </c>
      <c r="B60" s="30" t="s">
        <v>1393</v>
      </c>
      <c r="C60" s="30"/>
      <c r="D60" s="30" t="s">
        <v>1208</v>
      </c>
      <c r="E60" s="30" t="s">
        <v>984</v>
      </c>
      <c r="F60" s="30" t="s">
        <v>1234</v>
      </c>
      <c r="G60" s="39" t="str">
        <f>VLOOKUP(F60,glossary!J:N,2,FALSE)</f>
        <v>Camera ID</v>
      </c>
      <c r="H60" s="34" t="s">
        <v>1234</v>
      </c>
      <c r="I60" s="45" t="str">
        <f t="shared" si="0"/>
        <v>cam_id_tu</v>
      </c>
      <c r="J60" s="42" t="s">
        <v>682</v>
      </c>
      <c r="K60" s="39" t="str">
        <f>VLOOKUP(F60,glossary!J:N,5,FALSE)</f>
        <v>A unique alphanumeric ID for the camera that distinguishes it from other cameras of the same make or model.</v>
      </c>
      <c r="L60" t="s">
        <v>1683</v>
      </c>
      <c r="M60" s="30" t="str">
        <f t="shared" si="1"/>
        <v>{{ cam_id_tu }}</v>
      </c>
      <c r="N60" t="s">
        <v>896</v>
      </c>
      <c r="O60" s="13" t="s">
        <v>1816</v>
      </c>
      <c r="P60" t="s">
        <v>4582</v>
      </c>
      <c r="Q60"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60" t="b" cm="1">
        <f t="array" ref="R60">SUMPRODUCT(--EXACT($J$2:$J$490,J60))&gt;1</f>
        <v>0</v>
      </c>
      <c r="S60" t="s">
        <v>4735</v>
      </c>
    </row>
    <row r="61" spans="1:19">
      <c r="A61" s="30">
        <v>3</v>
      </c>
      <c r="B61" s="30" t="s">
        <v>1393</v>
      </c>
      <c r="C61" s="30"/>
      <c r="D61" s="30" t="s">
        <v>1208</v>
      </c>
      <c r="E61" s="30" t="s">
        <v>984</v>
      </c>
      <c r="F61" s="30" t="s">
        <v>351</v>
      </c>
      <c r="G61" s="39" t="str">
        <f>VLOOKUP(F61,glossary!J:N,2,FALSE)</f>
        <v>New Camera ID</v>
      </c>
      <c r="H61" s="34" t="s">
        <v>351</v>
      </c>
      <c r="I61" s="45" t="str">
        <f t="shared" si="0"/>
        <v>cam_id_new_tu</v>
      </c>
      <c r="J61" s="42" t="s">
        <v>681</v>
      </c>
      <c r="K61" s="30" t="s">
        <v>984</v>
      </c>
      <c r="L61" t="s">
        <v>1682</v>
      </c>
      <c r="M61" s="30" t="str">
        <f t="shared" si="1"/>
        <v>{{ cam_id_new_tu }}</v>
      </c>
      <c r="N61" t="s">
        <v>896</v>
      </c>
      <c r="O61" s="13" t="s">
        <v>1816</v>
      </c>
      <c r="P61" t="s">
        <v>4582</v>
      </c>
      <c r="Q61" t="str">
        <f t="shared" si="2"/>
        <v>-</v>
      </c>
      <c r="R61" t="b" cm="1">
        <f t="array" ref="R61">SUMPRODUCT(--EXACT($J$2:$J$490,J61))&gt;1</f>
        <v>0</v>
      </c>
      <c r="S61" t="s">
        <v>4736</v>
      </c>
    </row>
    <row r="62" spans="1:19">
      <c r="A62" s="30">
        <v>1</v>
      </c>
      <c r="B62" s="30" t="s">
        <v>1064</v>
      </c>
      <c r="C62" s="30" t="s">
        <v>429</v>
      </c>
      <c r="D62" s="30" t="s">
        <v>1207</v>
      </c>
      <c r="E62" s="30" t="s">
        <v>984</v>
      </c>
      <c r="F62" s="30" t="s">
        <v>1235</v>
      </c>
      <c r="G62" s="39" t="str">
        <f>VLOOKUP(F62,glossary!J:N,2,FALSE)</f>
        <v>Camera location</v>
      </c>
      <c r="H62" s="34" t="s">
        <v>1235</v>
      </c>
      <c r="I62" s="45" t="str">
        <f t="shared" si="0"/>
        <v>cam_location_tl</v>
      </c>
      <c r="J62" s="42" t="s">
        <v>1748</v>
      </c>
      <c r="K62" s="39" t="str">
        <f>VLOOKUP(F62,glossary!J:N,5,FALSE)</f>
        <v>The location where a single camera was placed (recorded as 'Camera Location Name').</v>
      </c>
      <c r="L62" s="40" t="s">
        <v>1736</v>
      </c>
      <c r="M62" s="30" t="str">
        <f t="shared" si="1"/>
        <v>{{ cam_location_tl }}</v>
      </c>
      <c r="N62" t="s">
        <v>896</v>
      </c>
      <c r="O62" s="13" t="s">
        <v>1816</v>
      </c>
      <c r="P62" t="s">
        <v>4582</v>
      </c>
      <c r="Q62"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2" t="b" cm="1">
        <f t="array" ref="R62">SUMPRODUCT(--EXACT($J$2:$J$490,J62))&gt;1</f>
        <v>0</v>
      </c>
      <c r="S62" t="s">
        <v>4737</v>
      </c>
    </row>
    <row r="63" spans="1:19">
      <c r="A63" s="30">
        <v>1</v>
      </c>
      <c r="B63" s="30" t="s">
        <v>1064</v>
      </c>
      <c r="C63" s="30" t="s">
        <v>429</v>
      </c>
      <c r="D63" s="30" t="s">
        <v>1207</v>
      </c>
      <c r="E63" s="30" t="s">
        <v>1758</v>
      </c>
      <c r="F63" s="30" t="s">
        <v>1235</v>
      </c>
      <c r="G63" s="39" t="str">
        <f>VLOOKUP(F63,glossary!J:N,2,FALSE)</f>
        <v>Camera location</v>
      </c>
      <c r="H63" s="30" t="s">
        <v>1235</v>
      </c>
      <c r="I63" s="45" t="str">
        <f t="shared" si="0"/>
        <v>cam_location_tl_pl</v>
      </c>
      <c r="J63" s="39" t="s">
        <v>1193</v>
      </c>
      <c r="K63" s="39" t="str">
        <f>VLOOKUP(F63,glossary!J:N,5,FALSE)</f>
        <v>The location where a single camera was placed (recorded as 'Camera Location Name').</v>
      </c>
      <c r="L63" s="30" t="s">
        <v>1735</v>
      </c>
      <c r="M63" s="30" t="str">
        <f t="shared" si="1"/>
        <v>{{ cam_location_tl_pl }}</v>
      </c>
      <c r="N63" t="s">
        <v>896</v>
      </c>
      <c r="O63" s="13" t="s">
        <v>1816</v>
      </c>
      <c r="P63" t="s">
        <v>4582</v>
      </c>
      <c r="Q63"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3" t="b" cm="1">
        <f t="array" ref="R63">SUMPRODUCT(--EXACT($J$2:$J$490,J63))&gt;1</f>
        <v>0</v>
      </c>
      <c r="S63" t="s">
        <v>4738</v>
      </c>
    </row>
    <row r="64" spans="1:19">
      <c r="A64" s="30">
        <v>3</v>
      </c>
      <c r="B64" s="30" t="s">
        <v>1393</v>
      </c>
      <c r="C64" s="30"/>
      <c r="D64" s="30" t="s">
        <v>1208</v>
      </c>
      <c r="E64" s="30" t="s">
        <v>984</v>
      </c>
      <c r="F64" s="30" t="s">
        <v>1235</v>
      </c>
      <c r="G64" s="39" t="str">
        <f>VLOOKUP(F64,glossary!J:N,2,FALSE)</f>
        <v>Camera location</v>
      </c>
      <c r="H64" s="34" t="s">
        <v>1235</v>
      </c>
      <c r="I64" s="45" t="str">
        <f t="shared" si="0"/>
        <v>cam_location_tu</v>
      </c>
      <c r="J64" s="42" t="s">
        <v>229</v>
      </c>
      <c r="K64" s="39" t="str">
        <f>VLOOKUP(F64,glossary!J:N,5,FALSE)</f>
        <v>The location where a single camera was placed (recorded as 'Camera Location Name').</v>
      </c>
      <c r="L64" t="s">
        <v>1681</v>
      </c>
      <c r="M64" s="30" t="str">
        <f t="shared" si="1"/>
        <v>{{ cam_location_tu }}</v>
      </c>
      <c r="N64" t="s">
        <v>896</v>
      </c>
      <c r="O64" s="13" t="s">
        <v>1816</v>
      </c>
      <c r="P64" t="s">
        <v>4582</v>
      </c>
      <c r="Q64"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4" t="b" cm="1">
        <f t="array" ref="R64">SUMPRODUCT(--EXACT($J$2:$J$490,J64))&gt;1</f>
        <v>0</v>
      </c>
      <c r="S64" t="s">
        <v>4739</v>
      </c>
    </row>
    <row r="65" spans="1:19">
      <c r="A65" s="30">
        <v>1</v>
      </c>
      <c r="B65" s="30" t="s">
        <v>1064</v>
      </c>
      <c r="C65" s="30" t="s">
        <v>0</v>
      </c>
      <c r="D65" s="30" t="s">
        <v>1208</v>
      </c>
      <c r="E65" s="30" t="s">
        <v>1758</v>
      </c>
      <c r="F65" s="30" t="s">
        <v>1235</v>
      </c>
      <c r="G65" s="39" t="str">
        <f>VLOOKUP(F65,glossary!J:N,2,FALSE)</f>
        <v>Camera location</v>
      </c>
      <c r="H65" s="30" t="s">
        <v>1235</v>
      </c>
      <c r="I65" s="45" t="str">
        <f t="shared" si="0"/>
        <v>cam_location_tu_pl</v>
      </c>
      <c r="J65" s="39" t="s">
        <v>1071</v>
      </c>
      <c r="K65" s="39" t="str">
        <f>VLOOKUP(F65,glossary!J:N,5,FALSE)</f>
        <v>The location where a single camera was placed (recorded as 'Camera Location Name').</v>
      </c>
      <c r="L65" s="30" t="s">
        <v>1734</v>
      </c>
      <c r="M65" s="30" t="str">
        <f t="shared" si="1"/>
        <v>{{ cam_location_tu_pl }}</v>
      </c>
      <c r="N65" t="s">
        <v>896</v>
      </c>
      <c r="O65" s="13" t="s">
        <v>1816</v>
      </c>
      <c r="P65" t="s">
        <v>4582</v>
      </c>
      <c r="Q65"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5" t="b" cm="1">
        <f t="array" ref="R65">SUMPRODUCT(--EXACT($J$2:$J$490,J65))&gt;1</f>
        <v>0</v>
      </c>
      <c r="S65" t="s">
        <v>4740</v>
      </c>
    </row>
    <row r="66" spans="1:19">
      <c r="A66" s="30">
        <v>3</v>
      </c>
      <c r="B66" s="30" t="s">
        <v>1393</v>
      </c>
      <c r="C66" s="30"/>
      <c r="D66" s="30" t="s">
        <v>1208</v>
      </c>
      <c r="E66" s="30" t="s">
        <v>1764</v>
      </c>
      <c r="F66" s="30" t="s">
        <v>1236</v>
      </c>
      <c r="G66" s="39" t="str">
        <f>VLOOKUP(F66,glossary!J:N,2,FALSE)</f>
        <v>Camera Location Characteristic(s)</v>
      </c>
      <c r="H66" s="34" t="s">
        <v>1236</v>
      </c>
      <c r="I66" s="45" t="str">
        <f t="shared" ref="I66:I129" si="3">IF(D66="-","-",IF(E66&lt;&gt;"-",(H66&amp;"_"&amp;D66&amp;"_"&amp;E66),H66&amp;"_"&amp;D66))</f>
        <v>cam_location_characteristics_tu_es</v>
      </c>
      <c r="J66" s="42" t="s">
        <v>738</v>
      </c>
      <c r="K66" s="39" t="str">
        <f>VLOOKUP(F66,glossary!J:N,5,FALSE)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6" t="s">
        <v>1680</v>
      </c>
      <c r="M66" s="30" t="str">
        <f t="shared" ref="M66:M129" si="4">"{{ "&amp;I66&amp;" }}"</f>
        <v>{{ cam_location_characteristics_tu_es }}</v>
      </c>
      <c r="N66" t="s">
        <v>896</v>
      </c>
      <c r="O66" s="13" t="s">
        <v>1816</v>
      </c>
      <c r="P66" t="s">
        <v>4582</v>
      </c>
      <c r="Q66" t="str">
        <f t="shared" ref="Q66:Q129" si="5">IF(K66&lt;&gt;"-",("    "&amp;I66&amp;": "&amp;""""&amp;"&lt;a href=\"&amp;""""&amp;"09_glossary.html#"&amp;H66&amp;N66&amp;G66&amp;": "&amp;K66&amp;O66&amp;J66&amp;P66&amp;""""),"-")</f>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6" t="b" cm="1">
        <f t="array" ref="R66">SUMPRODUCT(--EXACT($J$2:$J$490,J66))&gt;1</f>
        <v>0</v>
      </c>
      <c r="S66" t="s">
        <v>4741</v>
      </c>
    </row>
    <row r="67" spans="1:19">
      <c r="A67" s="30">
        <v>1</v>
      </c>
      <c r="B67" s="30" t="s">
        <v>1064</v>
      </c>
      <c r="C67" s="30" t="s">
        <v>0</v>
      </c>
      <c r="D67" s="30" t="s">
        <v>1208</v>
      </c>
      <c r="E67" s="30" t="s">
        <v>1755</v>
      </c>
      <c r="F67" s="30" t="s">
        <v>1236</v>
      </c>
      <c r="G67" s="39" t="str">
        <f>VLOOKUP(F67,glossary!J:N,2,FALSE)</f>
        <v>Camera Location Characteristic(s)</v>
      </c>
      <c r="H67" s="30" t="s">
        <v>1236</v>
      </c>
      <c r="I67" s="45" t="str">
        <f t="shared" si="3"/>
        <v>cam_location_characteristics_tu_mod</v>
      </c>
      <c r="J67" s="39" t="s">
        <v>1070</v>
      </c>
      <c r="K67" s="39" t="str">
        <f>VLOOKUP(F67,glossary!J:N,5,FALSE)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7" s="30" t="s">
        <v>1733</v>
      </c>
      <c r="M67" s="30" t="str">
        <f t="shared" si="4"/>
        <v>{{ cam_location_characteristics_tu_mod }}</v>
      </c>
      <c r="N67" t="s">
        <v>896</v>
      </c>
      <c r="O67" s="13" t="s">
        <v>1816</v>
      </c>
      <c r="P67" t="s">
        <v>4582</v>
      </c>
      <c r="Q67" t="str">
        <f t="shared" si="5"/>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7" t="b" cm="1">
        <f t="array" ref="R67">SUMPRODUCT(--EXACT($J$2:$J$490,J67))&gt;1</f>
        <v>0</v>
      </c>
      <c r="S67" t="s">
        <v>4742</v>
      </c>
    </row>
    <row r="68" spans="1:19">
      <c r="A68" s="30">
        <v>3</v>
      </c>
      <c r="B68" s="30" t="s">
        <v>1393</v>
      </c>
      <c r="C68" s="30"/>
      <c r="D68" s="30" t="s">
        <v>1208</v>
      </c>
      <c r="E68" s="30" t="s">
        <v>984</v>
      </c>
      <c r="F68" s="30" t="s">
        <v>1237</v>
      </c>
      <c r="G68" s="39" t="str">
        <f>VLOOKUP(F68,glossary!J:N,2,FALSE)</f>
        <v>Camera Location Comments</v>
      </c>
      <c r="H68" s="34" t="s">
        <v>1237</v>
      </c>
      <c r="I68" s="45" t="str">
        <f t="shared" si="3"/>
        <v>cam_location_comments_tu</v>
      </c>
      <c r="J68" s="42" t="s">
        <v>739</v>
      </c>
      <c r="K68" s="39" t="str">
        <f>VLOOKUP(F68,glossary!J:N,5,FALSE)</f>
        <v>Comments describing additional details about a camera location.</v>
      </c>
      <c r="L68" t="s">
        <v>1679</v>
      </c>
      <c r="M68" s="30" t="str">
        <f t="shared" si="4"/>
        <v>{{ cam_location_comments_tu }}</v>
      </c>
      <c r="N68" t="s">
        <v>896</v>
      </c>
      <c r="O68" s="13" t="s">
        <v>1816</v>
      </c>
      <c r="P68" t="s">
        <v>4582</v>
      </c>
      <c r="Q68" t="str">
        <f t="shared" si="5"/>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8" t="b" cm="1">
        <f t="array" ref="R68">SUMPRODUCT(--EXACT($J$2:$J$490,J68))&gt;1</f>
        <v>0</v>
      </c>
      <c r="S68" t="s">
        <v>4743</v>
      </c>
    </row>
    <row r="69" spans="1:19">
      <c r="A69" s="30">
        <v>3</v>
      </c>
      <c r="B69" s="30" t="s">
        <v>1393</v>
      </c>
      <c r="C69" s="30"/>
      <c r="D69" s="30" t="s">
        <v>1208</v>
      </c>
      <c r="E69" s="30" t="s">
        <v>984</v>
      </c>
      <c r="F69" s="30" t="s">
        <v>1238</v>
      </c>
      <c r="G69" s="39" t="str">
        <f>VLOOKUP(F69,glossary!J:N,2,FALSE)</f>
        <v>Camera Location Name</v>
      </c>
      <c r="H69" s="34" t="s">
        <v>1238</v>
      </c>
      <c r="I69" s="45" t="str">
        <f t="shared" si="3"/>
        <v>cam_location_name_tu</v>
      </c>
      <c r="J69" s="42" t="s">
        <v>683</v>
      </c>
      <c r="K69" s="39" t="str">
        <f>VLOOKUP(F69,glossary!J:N,5,FALSE)</f>
        <v>A unique alphanumeric identifier for the location where a single camera was placed (e.g., 'bh1,' 'bh2').</v>
      </c>
      <c r="L69" t="s">
        <v>1678</v>
      </c>
      <c r="M69" s="30" t="str">
        <f t="shared" si="4"/>
        <v>{{ cam_location_name_tu }}</v>
      </c>
      <c r="N69" t="s">
        <v>896</v>
      </c>
      <c r="O69" s="13" t="s">
        <v>1816</v>
      </c>
      <c r="P69" t="s">
        <v>4582</v>
      </c>
      <c r="Q69" t="str">
        <f t="shared" si="5"/>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9" t="b" cm="1">
        <f t="array" ref="R69">SUMPRODUCT(--EXACT($J$2:$J$490,J69))&gt;1</f>
        <v>0</v>
      </c>
      <c r="S69" t="s">
        <v>4744</v>
      </c>
    </row>
    <row r="70" spans="1:19">
      <c r="A70" s="30">
        <v>1</v>
      </c>
      <c r="B70" s="30" t="s">
        <v>1064</v>
      </c>
      <c r="C70" s="30" t="s">
        <v>0</v>
      </c>
      <c r="D70" s="30" t="s">
        <v>1207</v>
      </c>
      <c r="E70" s="30" t="s">
        <v>1752</v>
      </c>
      <c r="F70" s="30" t="s">
        <v>1239</v>
      </c>
      <c r="G70" s="39" t="str">
        <f>VLOOKUP(F70,glossary!J:N,2,FALSE)</f>
        <v>Camera Make</v>
      </c>
      <c r="H70" s="30" t="s">
        <v>1239</v>
      </c>
      <c r="I70" s="45" t="str">
        <f t="shared" si="3"/>
        <v>cam_make_tl_abrv</v>
      </c>
      <c r="J70" s="39" t="s">
        <v>1180</v>
      </c>
      <c r="K70" s="39" t="str">
        <f>VLOOKUP(F70,glossary!J:N,5,FALSE)</f>
        <v>The make of a particular camera (i.e., the manufacturer, e.g., 'Reconyx' or 'Bushnell').</v>
      </c>
      <c r="L70" s="30" t="s">
        <v>1732</v>
      </c>
      <c r="M70" s="30" t="str">
        <f t="shared" si="4"/>
        <v>{{ cam_make_tl_abrv }}</v>
      </c>
      <c r="N70" t="s">
        <v>896</v>
      </c>
      <c r="O70" s="13" t="s">
        <v>1816</v>
      </c>
      <c r="P70" t="s">
        <v>4582</v>
      </c>
      <c r="Q70"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0" t="b" cm="1">
        <f t="array" ref="R70">SUMPRODUCT(--EXACT($J$2:$J$490,J70))&gt;1</f>
        <v>0</v>
      </c>
      <c r="S70" t="s">
        <v>4745</v>
      </c>
    </row>
    <row r="71" spans="1:19">
      <c r="A71" s="30">
        <v>3</v>
      </c>
      <c r="B71" s="30" t="s">
        <v>1393</v>
      </c>
      <c r="C71" s="30"/>
      <c r="D71" s="30" t="s">
        <v>1208</v>
      </c>
      <c r="E71" s="30" t="s">
        <v>984</v>
      </c>
      <c r="F71" s="30" t="s">
        <v>1239</v>
      </c>
      <c r="G71" s="39" t="str">
        <f>VLOOKUP(F71,glossary!J:N,2,FALSE)</f>
        <v>Camera Make</v>
      </c>
      <c r="H71" s="34" t="s">
        <v>1239</v>
      </c>
      <c r="I71" s="45" t="str">
        <f t="shared" si="3"/>
        <v>cam_make_tu</v>
      </c>
      <c r="J71" s="42" t="s">
        <v>684</v>
      </c>
      <c r="K71" s="39" t="str">
        <f>VLOOKUP(F71,glossary!J:N,5,FALSE)</f>
        <v>The make of a particular camera (i.e., the manufacturer, e.g., 'Reconyx' or 'Bushnell').</v>
      </c>
      <c r="L71" t="s">
        <v>1677</v>
      </c>
      <c r="M71" s="30" t="str">
        <f t="shared" si="4"/>
        <v>{{ cam_make_tu }}</v>
      </c>
      <c r="N71" t="s">
        <v>896</v>
      </c>
      <c r="O71" s="13" t="s">
        <v>1816</v>
      </c>
      <c r="P71" t="s">
        <v>4582</v>
      </c>
      <c r="Q71"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71" t="b" cm="1">
        <f t="array" ref="R71">SUMPRODUCT(--EXACT($J$2:$J$490,J71))&gt;1</f>
        <v>0</v>
      </c>
      <c r="S71" t="s">
        <v>4746</v>
      </c>
    </row>
    <row r="72" spans="1:19">
      <c r="A72" s="30">
        <v>1</v>
      </c>
      <c r="B72" s="30" t="s">
        <v>1064</v>
      </c>
      <c r="C72" s="30" t="s">
        <v>0</v>
      </c>
      <c r="D72" s="30" t="s">
        <v>1208</v>
      </c>
      <c r="E72" s="30" t="s">
        <v>1752</v>
      </c>
      <c r="F72" s="30" t="s">
        <v>1239</v>
      </c>
      <c r="G72" s="39" t="str">
        <f>VLOOKUP(F72,glossary!J:N,2,FALSE)</f>
        <v>Camera Make</v>
      </c>
      <c r="H72" s="30" t="s">
        <v>1239</v>
      </c>
      <c r="I72" s="45" t="str">
        <f t="shared" si="3"/>
        <v>cam_make_tu_abrv</v>
      </c>
      <c r="J72" s="39" t="s">
        <v>1148</v>
      </c>
      <c r="K72" s="39" t="str">
        <f>VLOOKUP(F72,glossary!J:N,5,FALSE)</f>
        <v>The make of a particular camera (i.e., the manufacturer, e.g., 'Reconyx' or 'Bushnell').</v>
      </c>
      <c r="L72" s="30" t="s">
        <v>1731</v>
      </c>
      <c r="M72" s="30" t="str">
        <f t="shared" si="4"/>
        <v>{{ cam_make_tu_abrv }}</v>
      </c>
      <c r="N72" t="s">
        <v>896</v>
      </c>
      <c r="O72" s="13" t="s">
        <v>1816</v>
      </c>
      <c r="P72" t="s">
        <v>4582</v>
      </c>
      <c r="Q72"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2" t="b" cm="1">
        <f t="array" ref="R72">SUMPRODUCT(--EXACT($J$2:$J$490,J72))&gt;1</f>
        <v>0</v>
      </c>
      <c r="S72" t="s">
        <v>4747</v>
      </c>
    </row>
    <row r="73" spans="1:19">
      <c r="A73" s="30">
        <v>3</v>
      </c>
      <c r="B73" s="30" t="s">
        <v>1393</v>
      </c>
      <c r="C73" s="30"/>
      <c r="D73" s="30" t="s">
        <v>1208</v>
      </c>
      <c r="E73" s="30" t="s">
        <v>984</v>
      </c>
      <c r="F73" s="30" t="s">
        <v>1240</v>
      </c>
      <c r="G73" s="39" t="str">
        <f>VLOOKUP(F73,glossary!J:N,2,FALSE)</f>
        <v>New Camera Make</v>
      </c>
      <c r="H73" s="34" t="s">
        <v>1240</v>
      </c>
      <c r="I73" s="45" t="str">
        <f t="shared" si="3"/>
        <v>cam_make_new_tu</v>
      </c>
      <c r="J73" s="42" t="s">
        <v>685</v>
      </c>
      <c r="K73" s="39" t="str">
        <f>VLOOKUP(F73,glossary!J:N,5,FALSE)</f>
        <v>-</v>
      </c>
      <c r="L73" t="s">
        <v>1676</v>
      </c>
      <c r="M73" s="30" t="str">
        <f t="shared" si="4"/>
        <v>{{ cam_make_new_tu }}</v>
      </c>
      <c r="N73" t="s">
        <v>896</v>
      </c>
      <c r="O73" s="13" t="s">
        <v>1816</v>
      </c>
      <c r="P73" t="s">
        <v>4582</v>
      </c>
      <c r="Q73" t="str">
        <f t="shared" si="5"/>
        <v>-</v>
      </c>
      <c r="R73" t="b" cm="1">
        <f t="array" ref="R73">SUMPRODUCT(--EXACT($J$2:$J$490,J73))&gt;1</f>
        <v>0</v>
      </c>
      <c r="S73" t="s">
        <v>4748</v>
      </c>
    </row>
    <row r="74" spans="1:19">
      <c r="A74" s="30">
        <v>1</v>
      </c>
      <c r="B74" s="30" t="s">
        <v>1064</v>
      </c>
      <c r="C74" s="30" t="s">
        <v>0</v>
      </c>
      <c r="D74" s="30" t="s">
        <v>1207</v>
      </c>
      <c r="E74" s="30" t="s">
        <v>1752</v>
      </c>
      <c r="F74" s="30" t="s">
        <v>1241</v>
      </c>
      <c r="G74" s="39" t="str">
        <f>VLOOKUP(F74,glossary!J:N,2,FALSE)</f>
        <v>Camera Model</v>
      </c>
      <c r="H74" s="30" t="s">
        <v>1241</v>
      </c>
      <c r="I74" s="45" t="str">
        <f t="shared" si="3"/>
        <v>cam_model_tl_abrv</v>
      </c>
      <c r="J74" s="39" t="s">
        <v>1181</v>
      </c>
      <c r="K74" s="39" t="str">
        <f>VLOOKUP(F74,glossary!J:N,5,FALSE)</f>
        <v>The model number or name of a particular camera (e.g., 'PC900' or 'Trophy Cam HD').</v>
      </c>
      <c r="L74" s="30" t="s">
        <v>1730</v>
      </c>
      <c r="M74" s="30" t="str">
        <f t="shared" si="4"/>
        <v>{{ cam_model_tl_abrv }}</v>
      </c>
      <c r="N74" t="s">
        <v>896</v>
      </c>
      <c r="O74" s="13" t="s">
        <v>1816</v>
      </c>
      <c r="P74" t="s">
        <v>4582</v>
      </c>
      <c r="Q74"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4" t="b" cm="1">
        <f t="array" ref="R74">SUMPRODUCT(--EXACT($J$2:$J$490,J74))&gt;1</f>
        <v>0</v>
      </c>
      <c r="S74" t="s">
        <v>4749</v>
      </c>
    </row>
    <row r="75" spans="1:19">
      <c r="A75" s="30">
        <v>3</v>
      </c>
      <c r="B75" s="30" t="s">
        <v>1393</v>
      </c>
      <c r="C75" s="30"/>
      <c r="D75" s="30" t="s">
        <v>1208</v>
      </c>
      <c r="E75" s="30" t="s">
        <v>984</v>
      </c>
      <c r="F75" s="30" t="s">
        <v>1241</v>
      </c>
      <c r="G75" s="39" t="str">
        <f>VLOOKUP(F75,glossary!J:N,2,FALSE)</f>
        <v>Camera Model</v>
      </c>
      <c r="H75" s="34" t="s">
        <v>1241</v>
      </c>
      <c r="I75" s="45" t="str">
        <f t="shared" si="3"/>
        <v>cam_model_tu</v>
      </c>
      <c r="J75" s="42" t="s">
        <v>686</v>
      </c>
      <c r="K75" s="39" t="str">
        <f>VLOOKUP(F75,glossary!J:N,5,FALSE)</f>
        <v>The model number or name of a particular camera (e.g., 'PC900' or 'Trophy Cam HD').</v>
      </c>
      <c r="L75" t="s">
        <v>1675</v>
      </c>
      <c r="M75" s="30" t="str">
        <f t="shared" si="4"/>
        <v>{{ cam_model_tu }}</v>
      </c>
      <c r="N75" t="s">
        <v>896</v>
      </c>
      <c r="O75" s="13" t="s">
        <v>1816</v>
      </c>
      <c r="P75" t="s">
        <v>4582</v>
      </c>
      <c r="Q75"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5" t="b" cm="1">
        <f t="array" ref="R75">SUMPRODUCT(--EXACT($J$2:$J$490,J75))&gt;1</f>
        <v>0</v>
      </c>
      <c r="S75" t="s">
        <v>4750</v>
      </c>
    </row>
    <row r="76" spans="1:19">
      <c r="A76" s="30">
        <v>1</v>
      </c>
      <c r="B76" s="30" t="s">
        <v>1064</v>
      </c>
      <c r="C76" s="30" t="s">
        <v>0</v>
      </c>
      <c r="D76" s="30" t="s">
        <v>1208</v>
      </c>
      <c r="E76" s="30" t="s">
        <v>1752</v>
      </c>
      <c r="F76" s="30" t="s">
        <v>1241</v>
      </c>
      <c r="G76" s="39" t="str">
        <f>VLOOKUP(F76,glossary!J:N,2,FALSE)</f>
        <v>Camera Model</v>
      </c>
      <c r="H76" s="30" t="s">
        <v>1241</v>
      </c>
      <c r="I76" s="45" t="str">
        <f t="shared" si="3"/>
        <v>cam_model_tu_abrv</v>
      </c>
      <c r="J76" s="39" t="s">
        <v>1149</v>
      </c>
      <c r="K76" s="39" t="str">
        <f>VLOOKUP(F76,glossary!J:N,5,FALSE)</f>
        <v>The model number or name of a particular camera (e.g., 'PC900' or 'Trophy Cam HD').</v>
      </c>
      <c r="L76" s="30" t="s">
        <v>1729</v>
      </c>
      <c r="M76" s="30" t="str">
        <f t="shared" si="4"/>
        <v>{{ cam_model_tu_abrv }}</v>
      </c>
      <c r="N76" t="s">
        <v>896</v>
      </c>
      <c r="O76" s="13" t="s">
        <v>1816</v>
      </c>
      <c r="P76" t="s">
        <v>4582</v>
      </c>
      <c r="Q76"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6" t="b" cm="1">
        <f t="array" ref="R76">SUMPRODUCT(--EXACT($J$2:$J$490,J76))&gt;1</f>
        <v>0</v>
      </c>
      <c r="S76" t="s">
        <v>4751</v>
      </c>
    </row>
    <row r="77" spans="1:19">
      <c r="A77" s="30">
        <v>3</v>
      </c>
      <c r="B77" s="30" t="s">
        <v>1393</v>
      </c>
      <c r="C77" s="30"/>
      <c r="D77" s="30" t="s">
        <v>1208</v>
      </c>
      <c r="E77" s="30" t="s">
        <v>984</v>
      </c>
      <c r="F77" s="30" t="s">
        <v>1242</v>
      </c>
      <c r="G77" s="39" t="str">
        <f>VLOOKUP(F77,glossary!J:N,2,FALSE)</f>
        <v>New Camera Model</v>
      </c>
      <c r="H77" s="34" t="s">
        <v>1242</v>
      </c>
      <c r="I77" s="45" t="str">
        <f t="shared" si="3"/>
        <v>cam_model_new_tu</v>
      </c>
      <c r="J77" s="42" t="s">
        <v>687</v>
      </c>
      <c r="K77" s="39" t="str">
        <f>VLOOKUP(F77,glossary!J:N,5,FALSE)</f>
        <v>-</v>
      </c>
      <c r="L77" t="s">
        <v>1674</v>
      </c>
      <c r="M77" s="30" t="str">
        <f t="shared" si="4"/>
        <v>{{ cam_model_new_tu }}</v>
      </c>
      <c r="N77" t="s">
        <v>896</v>
      </c>
      <c r="O77" s="13" t="s">
        <v>1816</v>
      </c>
      <c r="P77" t="s">
        <v>4582</v>
      </c>
      <c r="Q77" t="str">
        <f t="shared" si="5"/>
        <v>-</v>
      </c>
      <c r="R77" t="b" cm="1">
        <f t="array" ref="R77">SUMPRODUCT(--EXACT($J$2:$J$490,J77))&gt;1</f>
        <v>0</v>
      </c>
      <c r="S77" t="s">
        <v>4752</v>
      </c>
    </row>
    <row r="78" spans="1:19">
      <c r="A78" s="30">
        <v>3</v>
      </c>
      <c r="B78" s="30" t="s">
        <v>1393</v>
      </c>
      <c r="C78" s="30"/>
      <c r="D78" s="30" t="s">
        <v>1208</v>
      </c>
      <c r="E78" s="30" t="s">
        <v>984</v>
      </c>
      <c r="F78" s="30" t="s">
        <v>1243</v>
      </c>
      <c r="G78" s="39" t="str">
        <f>VLOOKUP(F78,glossary!J:N,2,FALSE)</f>
        <v>Camera Serial Number</v>
      </c>
      <c r="H78" s="34" t="s">
        <v>1243</v>
      </c>
      <c r="I78" s="45" t="str">
        <f t="shared" si="3"/>
        <v>cam_serial_number_tu</v>
      </c>
      <c r="J78" s="42" t="s">
        <v>688</v>
      </c>
      <c r="K78" s="39" t="str">
        <f>VLOOKUP(F78,glossary!J:N,5,FALSE)</f>
        <v>The serial number of a particular camera, which is usually found inside the camera cover (e.g., 'P900FF04152022').</v>
      </c>
      <c r="L78" t="s">
        <v>1673</v>
      </c>
      <c r="M78" s="30" t="str">
        <f t="shared" si="4"/>
        <v>{{ cam_serial_number_tu }}</v>
      </c>
      <c r="N78" t="s">
        <v>896</v>
      </c>
      <c r="O78" s="13" t="s">
        <v>1816</v>
      </c>
      <c r="P78" t="s">
        <v>4582</v>
      </c>
      <c r="Q78"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8" t="b" cm="1">
        <f t="array" ref="R78">SUMPRODUCT(--EXACT($J$2:$J$490,J78))&gt;1</f>
        <v>0</v>
      </c>
      <c r="S78" t="s">
        <v>4753</v>
      </c>
    </row>
    <row r="79" spans="1:19">
      <c r="A79" s="30">
        <v>1</v>
      </c>
      <c r="B79" s="30" t="s">
        <v>1064</v>
      </c>
      <c r="C79" s="30" t="s">
        <v>0</v>
      </c>
      <c r="D79" s="30" t="s">
        <v>1208</v>
      </c>
      <c r="E79" s="30" t="s">
        <v>1752</v>
      </c>
      <c r="F79" s="30" t="s">
        <v>1243</v>
      </c>
      <c r="G79" s="39" t="str">
        <f>VLOOKUP(F79,glossary!J:N,2,FALSE)</f>
        <v>Camera Serial Number</v>
      </c>
      <c r="H79" s="30" t="s">
        <v>1243</v>
      </c>
      <c r="I79" s="45" t="str">
        <f t="shared" si="3"/>
        <v>cam_serial_number_tu_abrv</v>
      </c>
      <c r="J79" s="39" t="s">
        <v>1150</v>
      </c>
      <c r="K79" s="39" t="str">
        <f>VLOOKUP(F79,glossary!J:N,5,FALSE)</f>
        <v>The serial number of a particular camera, which is usually found inside the camera cover (e.g., 'P900FF04152022').</v>
      </c>
      <c r="L79" s="30" t="s">
        <v>1728</v>
      </c>
      <c r="M79" s="30" t="str">
        <f t="shared" si="4"/>
        <v>{{ cam_serial_number_tu_abrv }}</v>
      </c>
      <c r="N79" t="s">
        <v>896</v>
      </c>
      <c r="O79" s="13" t="s">
        <v>1816</v>
      </c>
      <c r="P79" t="s">
        <v>4582</v>
      </c>
      <c r="Q79"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9" t="b" cm="1">
        <f t="array" ref="R79">SUMPRODUCT(--EXACT($J$2:$J$490,J79))&gt;1</f>
        <v>0</v>
      </c>
      <c r="S79" t="s">
        <v>4754</v>
      </c>
    </row>
    <row r="80" spans="1:19">
      <c r="A80" s="30">
        <v>3</v>
      </c>
      <c r="B80" s="30" t="s">
        <v>1393</v>
      </c>
      <c r="C80" s="30"/>
      <c r="D80" s="30" t="s">
        <v>1208</v>
      </c>
      <c r="E80" s="30" t="s">
        <v>984</v>
      </c>
      <c r="F80" s="30" t="s">
        <v>1244</v>
      </c>
      <c r="G80" s="39" t="str">
        <f>VLOOKUP(F80,glossary!J:N,2,FALSE)</f>
        <v>New Camera Serial Number</v>
      </c>
      <c r="H80" s="34" t="s">
        <v>1244</v>
      </c>
      <c r="I80" s="45" t="str">
        <f t="shared" si="3"/>
        <v>cam_serial_number_new_tu</v>
      </c>
      <c r="J80" s="42" t="s">
        <v>689</v>
      </c>
      <c r="K80" s="39" t="str">
        <f>VLOOKUP(F80,glossary!J:N,5,FALSE)</f>
        <v>-</v>
      </c>
      <c r="L80" t="s">
        <v>1672</v>
      </c>
      <c r="M80" s="30" t="str">
        <f t="shared" si="4"/>
        <v>{{ cam_serial_number_new_tu }}</v>
      </c>
      <c r="N80" t="s">
        <v>896</v>
      </c>
      <c r="O80" s="13" t="s">
        <v>1816</v>
      </c>
      <c r="P80" t="s">
        <v>4582</v>
      </c>
      <c r="Q80" t="str">
        <f t="shared" si="5"/>
        <v>-</v>
      </c>
      <c r="R80" t="b" cm="1">
        <f t="array" ref="R80">SUMPRODUCT(--EXACT($J$2:$J$490,J80))&gt;1</f>
        <v>0</v>
      </c>
      <c r="S80" t="s">
        <v>4755</v>
      </c>
    </row>
    <row r="81" spans="1:19">
      <c r="A81" s="30">
        <v>3</v>
      </c>
      <c r="B81" s="30" t="s">
        <v>1393</v>
      </c>
      <c r="C81" s="30"/>
      <c r="D81" s="30" t="s">
        <v>1207</v>
      </c>
      <c r="E81" s="30" t="s">
        <v>984</v>
      </c>
      <c r="F81" s="30" t="s">
        <v>1245</v>
      </c>
      <c r="G81" s="39" t="str">
        <f>VLOOKUP(F81,glossary!J:N,2,FALSE)</f>
        <v>Camera spacing</v>
      </c>
      <c r="H81" s="34" t="s">
        <v>1245</v>
      </c>
      <c r="I81" s="45" t="str">
        <f t="shared" si="3"/>
        <v>cam_spacing_tl</v>
      </c>
      <c r="J81" s="43" t="s">
        <v>907</v>
      </c>
      <c r="K81" s="39" t="str">
        <f>VLOOKUP(F81,glossary!J:N,5,FALSE)</f>
        <v>The distance between cameras (i.e., also referred to as 'inter-trap distance'). This will be influenced by the chosen sampling design, the survey Objectives, the Target Species and data analysis.</v>
      </c>
      <c r="L81" t="s">
        <v>1671</v>
      </c>
      <c r="M81" s="30" t="str">
        <f t="shared" si="4"/>
        <v>{{ cam_spacing_tl }}</v>
      </c>
      <c r="N81" t="s">
        <v>896</v>
      </c>
      <c r="O81" s="13" t="s">
        <v>1816</v>
      </c>
      <c r="P81" t="s">
        <v>4582</v>
      </c>
      <c r="Q81"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1" t="b" cm="1">
        <f t="array" ref="R81">SUMPRODUCT(--EXACT($J$2:$J$490,J81))&gt;1</f>
        <v>0</v>
      </c>
      <c r="S81" t="s">
        <v>4756</v>
      </c>
    </row>
    <row r="82" spans="1:19">
      <c r="A82" s="30">
        <v>3</v>
      </c>
      <c r="B82" s="30" t="s">
        <v>1393</v>
      </c>
      <c r="C82" s="30"/>
      <c r="D82" s="30" t="s">
        <v>1208</v>
      </c>
      <c r="E82" s="30" t="s">
        <v>984</v>
      </c>
      <c r="F82" s="30" t="s">
        <v>1245</v>
      </c>
      <c r="G82" s="39" t="str">
        <f>VLOOKUP(F82,glossary!J:N,2,FALSE)</f>
        <v>Camera spacing</v>
      </c>
      <c r="H82" s="34" t="s">
        <v>1245</v>
      </c>
      <c r="I82" s="45" t="str">
        <f t="shared" si="3"/>
        <v>cam_spacing_tu</v>
      </c>
      <c r="J82" s="42" t="s">
        <v>228</v>
      </c>
      <c r="K82" s="39" t="str">
        <f>VLOOKUP(F82,glossary!J:N,5,FALSE)</f>
        <v>The distance between cameras (i.e., also referred to as 'inter-trap distance'). This will be influenced by the chosen sampling design, the survey Objectives, the Target Species and data analysis.</v>
      </c>
      <c r="L82" t="s">
        <v>1670</v>
      </c>
      <c r="M82" s="30" t="str">
        <f t="shared" si="4"/>
        <v>{{ cam_spacing_tu }}</v>
      </c>
      <c r="N82" t="s">
        <v>896</v>
      </c>
      <c r="O82" s="13" t="s">
        <v>1816</v>
      </c>
      <c r="P82" t="s">
        <v>4582</v>
      </c>
      <c r="Q82"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2" t="b" cm="1">
        <f t="array" ref="R82">SUMPRODUCT(--EXACT($J$2:$J$490,J82))&gt;1</f>
        <v>0</v>
      </c>
      <c r="S82" t="s">
        <v>4757</v>
      </c>
    </row>
    <row r="83" spans="1:19">
      <c r="A83" s="30">
        <v>2</v>
      </c>
      <c r="B83" s="30" t="s">
        <v>1400</v>
      </c>
      <c r="C83" s="30"/>
      <c r="D83" s="30" t="s">
        <v>1207</v>
      </c>
      <c r="E83" s="30" t="s">
        <v>984</v>
      </c>
      <c r="F83" s="30" t="s">
        <v>220</v>
      </c>
      <c r="G83" s="39" t="str">
        <f>VLOOKUP(F83,glossary!J:N,2,FALSE)</f>
        <v>Crew</v>
      </c>
      <c r="H83" s="30" t="s">
        <v>220</v>
      </c>
      <c r="I83" s="45" t="str">
        <f t="shared" si="3"/>
        <v>crew_tl</v>
      </c>
      <c r="J83" s="39" t="s">
        <v>220</v>
      </c>
      <c r="K83" s="39" t="str">
        <f>VLOOKUP(F83,glossary!J:N,5,FALSE)</f>
        <v>The first and last names of all the individuals who collected data during the deployment visit ('Deployment Crew') and Service*/Retrieval visit ('Service*/Retrieval Crew').</v>
      </c>
      <c r="L83" s="30" t="s">
        <v>1669</v>
      </c>
      <c r="M83" s="30" t="str">
        <f t="shared" si="4"/>
        <v>{{ crew_tl }}</v>
      </c>
      <c r="N83" t="s">
        <v>896</v>
      </c>
      <c r="O83" s="13" t="s">
        <v>1816</v>
      </c>
      <c r="P83" t="s">
        <v>4582</v>
      </c>
      <c r="Q83"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3" t="b" cm="1">
        <f t="array" ref="R83">SUMPRODUCT(--EXACT($J$2:$J$490,J83))&gt;1</f>
        <v>0</v>
      </c>
      <c r="S83" t="s">
        <v>4758</v>
      </c>
    </row>
    <row r="84" spans="1:19">
      <c r="A84" s="30">
        <v>2</v>
      </c>
      <c r="B84" s="30" t="s">
        <v>1400</v>
      </c>
      <c r="C84" s="30"/>
      <c r="D84" s="30" t="s">
        <v>1208</v>
      </c>
      <c r="E84" s="30" t="s">
        <v>984</v>
      </c>
      <c r="F84" s="30" t="s">
        <v>220</v>
      </c>
      <c r="G84" s="39" t="str">
        <f>VLOOKUP(F84,glossary!J:N,2,FALSE)</f>
        <v>Crew</v>
      </c>
      <c r="H84" s="30" t="s">
        <v>220</v>
      </c>
      <c r="I84" s="45" t="str">
        <f t="shared" si="3"/>
        <v>crew_tu</v>
      </c>
      <c r="J84" s="39" t="s">
        <v>221</v>
      </c>
      <c r="K84" s="39" t="str">
        <f>VLOOKUP(F84,glossary!J:N,5,FALSE)</f>
        <v>The first and last names of all the individuals who collected data during the deployment visit ('Deployment Crew') and Service*/Retrieval visit ('Service*/Retrieval Crew').</v>
      </c>
      <c r="L84" s="30" t="s">
        <v>1668</v>
      </c>
      <c r="M84" s="30" t="str">
        <f t="shared" si="4"/>
        <v>{{ crew_tu }}</v>
      </c>
      <c r="N84" t="s">
        <v>896</v>
      </c>
      <c r="O84" s="13" t="s">
        <v>1816</v>
      </c>
      <c r="P84" t="s">
        <v>4582</v>
      </c>
      <c r="Q84"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4" t="b" cm="1">
        <f t="array" ref="R84">SUMPRODUCT(--EXACT($J$2:$J$490,J84))&gt;1</f>
        <v>0</v>
      </c>
      <c r="S84" t="s">
        <v>4759</v>
      </c>
    </row>
    <row r="85" spans="1:19">
      <c r="A85" s="30">
        <v>3</v>
      </c>
      <c r="B85" s="30" t="s">
        <v>1393</v>
      </c>
      <c r="C85" s="30"/>
      <c r="D85" s="30" t="s">
        <v>1207</v>
      </c>
      <c r="E85" s="30" t="s">
        <v>984</v>
      </c>
      <c r="F85" s="30" t="s">
        <v>218</v>
      </c>
      <c r="G85" s="39" t="str">
        <f>VLOOKUP(F85,glossary!J:N,2,FALSE)</f>
        <v>Cumulative detection probability</v>
      </c>
      <c r="H85" s="34" t="s">
        <v>218</v>
      </c>
      <c r="I85" s="45" t="str">
        <f t="shared" si="3"/>
        <v>cumulative_det_probability_tl</v>
      </c>
      <c r="J85" s="43" t="s">
        <v>910</v>
      </c>
      <c r="K85" s="39" t="str">
        <f>VLOOKUP(F85,glossary!J:N,5,FALSE)</f>
        <v>The probability of detecting a species at least once during the entire survey (Steenweg et al., 2019).</v>
      </c>
      <c r="L85" t="s">
        <v>1667</v>
      </c>
      <c r="M85" s="30" t="str">
        <f t="shared" si="4"/>
        <v>{{ cumulative_det_probability_tl }}</v>
      </c>
      <c r="N85" t="s">
        <v>896</v>
      </c>
      <c r="O85" s="13" t="s">
        <v>1816</v>
      </c>
      <c r="P85" t="s">
        <v>4582</v>
      </c>
      <c r="Q85"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5" t="b" cm="1">
        <f t="array" ref="R85">SUMPRODUCT(--EXACT($J$2:$J$490,J85))&gt;1</f>
        <v>0</v>
      </c>
      <c r="S85" t="s">
        <v>4760</v>
      </c>
    </row>
    <row r="86" spans="1:19">
      <c r="A86" s="30">
        <v>3</v>
      </c>
      <c r="B86" s="30" t="s">
        <v>1393</v>
      </c>
      <c r="C86" s="30"/>
      <c r="D86" s="30" t="s">
        <v>1208</v>
      </c>
      <c r="E86" s="30" t="s">
        <v>984</v>
      </c>
      <c r="F86" s="30" t="s">
        <v>218</v>
      </c>
      <c r="G86" s="39" t="str">
        <f>VLOOKUP(F86,glossary!J:N,2,FALSE)</f>
        <v>Cumulative detection probability</v>
      </c>
      <c r="H86" s="34" t="s">
        <v>218</v>
      </c>
      <c r="I86" s="45" t="str">
        <f t="shared" si="3"/>
        <v>cumulative_det_probability_tu</v>
      </c>
      <c r="J86" s="42" t="s">
        <v>219</v>
      </c>
      <c r="K86" s="39" t="str">
        <f>VLOOKUP(F86,glossary!J:N,5,FALSE)</f>
        <v>The probability of detecting a species at least once during the entire survey (Steenweg et al., 2019).</v>
      </c>
      <c r="L86" t="s">
        <v>1666</v>
      </c>
      <c r="M86" s="30" t="str">
        <f t="shared" si="4"/>
        <v>{{ cumulative_det_probability_tu }}</v>
      </c>
      <c r="N86" t="s">
        <v>896</v>
      </c>
      <c r="O86" s="13" t="s">
        <v>1816</v>
      </c>
      <c r="P86" t="s">
        <v>4582</v>
      </c>
      <c r="Q86"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6" t="b" cm="1">
        <f t="array" ref="R86">SUMPRODUCT(--EXACT($J$2:$J$490,J86))&gt;1</f>
        <v>0</v>
      </c>
      <c r="S86" t="s">
        <v>4761</v>
      </c>
    </row>
    <row r="87" spans="1:19">
      <c r="B87" s="30" t="s">
        <v>768</v>
      </c>
      <c r="D87" s="30" t="s">
        <v>1207</v>
      </c>
      <c r="E87" s="30" t="s">
        <v>984</v>
      </c>
      <c r="F87" s="30" t="s">
        <v>780</v>
      </c>
      <c r="G87" s="39" t="str">
        <f>VLOOKUP(F87,glossary!J:N,2,FALSE)</f>
        <v>Data</v>
      </c>
      <c r="H87" s="30" t="s">
        <v>780</v>
      </c>
      <c r="I87" s="45" t="str">
        <f t="shared" si="3"/>
        <v>data_tl</v>
      </c>
      <c r="J87" s="30" t="s">
        <v>780</v>
      </c>
      <c r="K87" s="39" t="str">
        <f>VLOOKUP(F87,glossary!J:N,5,FALSE)</f>
        <v>Information, commonly facts or numbers, that are collected and can be examined and/or measured to help guide decision-making.' (Kemp et al., 2022).</v>
      </c>
      <c r="L87" s="30" t="s">
        <v>984</v>
      </c>
      <c r="M87" s="30" t="str">
        <f t="shared" si="4"/>
        <v>{{ data_tl }}</v>
      </c>
      <c r="N87" t="s">
        <v>896</v>
      </c>
      <c r="O87" s="13" t="s">
        <v>1816</v>
      </c>
      <c r="P87" t="s">
        <v>4582</v>
      </c>
      <c r="Q87"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7" t="b" cm="1">
        <f t="array" ref="R87">SUMPRODUCT(--EXACT($J$2:$J$490,J87))&gt;1</f>
        <v>0</v>
      </c>
      <c r="S87" t="s">
        <v>4762</v>
      </c>
    </row>
    <row r="88" spans="1:19">
      <c r="B88" s="30" t="s">
        <v>768</v>
      </c>
      <c r="D88" s="30" t="s">
        <v>1208</v>
      </c>
      <c r="E88" s="30" t="s">
        <v>984</v>
      </c>
      <c r="F88" s="30" t="s">
        <v>780</v>
      </c>
      <c r="G88" s="39" t="str">
        <f>VLOOKUP(F88,glossary!J:N,2,FALSE)</f>
        <v>Data</v>
      </c>
      <c r="H88" s="30" t="s">
        <v>780</v>
      </c>
      <c r="I88" s="45" t="str">
        <f t="shared" si="3"/>
        <v>data_tu</v>
      </c>
      <c r="J88" s="30" t="s">
        <v>630</v>
      </c>
      <c r="K88" s="39" t="str">
        <f>VLOOKUP(F88,glossary!J:N,5,FALSE)</f>
        <v>Information, commonly facts or numbers, that are collected and can be examined and/or measured to help guide decision-making.' (Kemp et al., 2022).</v>
      </c>
      <c r="L88" s="30" t="s">
        <v>984</v>
      </c>
      <c r="M88" s="30" t="str">
        <f t="shared" si="4"/>
        <v>{{ data_tu }}</v>
      </c>
      <c r="N88" t="s">
        <v>896</v>
      </c>
      <c r="O88" s="13" t="s">
        <v>1816</v>
      </c>
      <c r="P88" t="s">
        <v>4582</v>
      </c>
      <c r="Q88"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8" t="b" cm="1">
        <f t="array" ref="R88">SUMPRODUCT(--EXACT($J$2:$J$490,J88))&gt;1</f>
        <v>0</v>
      </c>
      <c r="S88" t="s">
        <v>4763</v>
      </c>
    </row>
    <row r="89" spans="1:19">
      <c r="A89" s="30">
        <v>2</v>
      </c>
      <c r="B89" s="30" t="s">
        <v>1400</v>
      </c>
      <c r="C89" s="30"/>
      <c r="D89" s="30" t="s">
        <v>1207</v>
      </c>
      <c r="E89" s="30" t="s">
        <v>984</v>
      </c>
      <c r="F89" s="30" t="s">
        <v>216</v>
      </c>
      <c r="G89" s="39" t="str">
        <f>VLOOKUP(F89,glossary!J:N,2,FALSE)</f>
        <v>Deployment</v>
      </c>
      <c r="H89" s="30" t="s">
        <v>216</v>
      </c>
      <c r="I89" s="45" t="str">
        <f t="shared" si="3"/>
        <v>deployment_tl</v>
      </c>
      <c r="J89" s="39" t="s">
        <v>216</v>
      </c>
      <c r="K89" s="39" t="str">
        <f>VLOOKUP(F89,glossary!J:N,5,FALSE)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89" s="30" t="s">
        <v>1665</v>
      </c>
      <c r="M89" s="30" t="str">
        <f t="shared" si="4"/>
        <v>{{ deployment_tl }}</v>
      </c>
      <c r="N89" t="s">
        <v>896</v>
      </c>
      <c r="O89" s="13" t="s">
        <v>1816</v>
      </c>
      <c r="P89" t="s">
        <v>4582</v>
      </c>
      <c r="Q89"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89" t="b" cm="1">
        <f t="array" ref="R89">SUMPRODUCT(--EXACT($J$2:$J$490,J89))&gt;1</f>
        <v>0</v>
      </c>
      <c r="S89" t="s">
        <v>4764</v>
      </c>
    </row>
    <row r="90" spans="1:19">
      <c r="A90" s="30">
        <v>2</v>
      </c>
      <c r="B90" s="30" t="s">
        <v>1400</v>
      </c>
      <c r="C90" s="30"/>
      <c r="D90" s="30" t="s">
        <v>1208</v>
      </c>
      <c r="E90" s="30" t="s">
        <v>984</v>
      </c>
      <c r="F90" s="30" t="s">
        <v>216</v>
      </c>
      <c r="G90" s="39" t="str">
        <f>VLOOKUP(F90,glossary!J:N,2,FALSE)</f>
        <v>Deployment</v>
      </c>
      <c r="H90" s="30" t="s">
        <v>216</v>
      </c>
      <c r="I90" s="45" t="str">
        <f t="shared" si="3"/>
        <v>deployment_tu</v>
      </c>
      <c r="J90" s="39" t="s">
        <v>217</v>
      </c>
      <c r="K90" s="39" t="str">
        <f>VLOOKUP(F90,glossary!J:N,5,FALSE)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90" s="30" t="s">
        <v>1664</v>
      </c>
      <c r="M90" s="30" t="str">
        <f t="shared" si="4"/>
        <v>{{ deployment_tu }}</v>
      </c>
      <c r="N90" t="s">
        <v>896</v>
      </c>
      <c r="O90" s="13" t="s">
        <v>1816</v>
      </c>
      <c r="P90" t="s">
        <v>4582</v>
      </c>
      <c r="Q90"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90" t="b" cm="1">
        <f t="array" ref="R90">SUMPRODUCT(--EXACT($J$2:$J$490,J90))&gt;1</f>
        <v>0</v>
      </c>
      <c r="S90" t="s">
        <v>4765</v>
      </c>
    </row>
    <row r="91" spans="1:19">
      <c r="A91" s="30">
        <v>3</v>
      </c>
      <c r="B91" s="30" t="s">
        <v>1393</v>
      </c>
      <c r="C91" s="30"/>
      <c r="D91" s="30" t="s">
        <v>1208</v>
      </c>
      <c r="E91" s="30" t="s">
        <v>984</v>
      </c>
      <c r="F91" s="30" t="s">
        <v>334</v>
      </c>
      <c r="G91" s="39" t="str">
        <f>VLOOKUP(F91,glossary!J:N,2,FALSE)</f>
        <v>Deployment Area Photo Numbers</v>
      </c>
      <c r="H91" s="34" t="s">
        <v>334</v>
      </c>
      <c r="I91" s="45" t="str">
        <f t="shared" si="3"/>
        <v>deployment_area_photo_numbers_tu</v>
      </c>
      <c r="J91" s="42" t="s">
        <v>740</v>
      </c>
      <c r="K91" s="39" t="str">
        <f>VLOOKUP(F91,glossary!J:N,5,FALSE)</f>
        <v>The image numbers for the deployment area photos (if collected, e.g., 'DSC  100'). These are optionally documented on a Camera Deployment Field Datasheet for each set of camera deployment area photos. Leave blank if not applicable.</v>
      </c>
      <c r="L91" t="s">
        <v>1663</v>
      </c>
      <c r="M91" s="30" t="str">
        <f t="shared" si="4"/>
        <v>{{ deployment_area_photo_numbers_tu }}</v>
      </c>
      <c r="N91" t="s">
        <v>896</v>
      </c>
      <c r="O91" s="13" t="s">
        <v>1816</v>
      </c>
      <c r="P91" t="s">
        <v>4582</v>
      </c>
      <c r="Q91"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91" t="b" cm="1">
        <f t="array" ref="R91">SUMPRODUCT(--EXACT($J$2:$J$490,J91))&gt;1</f>
        <v>0</v>
      </c>
      <c r="S91" t="s">
        <v>4766</v>
      </c>
    </row>
    <row r="92" spans="1:19">
      <c r="A92" s="30">
        <v>3</v>
      </c>
      <c r="B92" s="30" t="s">
        <v>1393</v>
      </c>
      <c r="C92" s="30"/>
      <c r="D92" s="30" t="s">
        <v>1207</v>
      </c>
      <c r="E92" s="30" t="s">
        <v>984</v>
      </c>
      <c r="F92" s="30" t="s">
        <v>214</v>
      </c>
      <c r="G92" s="39" t="str">
        <f>VLOOKUP(F92,glossary!J:N,2,FALSE)</f>
        <v>Deployment area photos</v>
      </c>
      <c r="H92" s="34" t="s">
        <v>214</v>
      </c>
      <c r="I92" s="45" t="str">
        <f t="shared" si="3"/>
        <v>deployment_area_photos_tl</v>
      </c>
      <c r="J92" s="43" t="s">
        <v>911</v>
      </c>
      <c r="K92" s="39" t="str">
        <f>VLOOKUP(F92,glossary!J:N,5,FALSE)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2" t="s">
        <v>1662</v>
      </c>
      <c r="M92" s="30" t="str">
        <f t="shared" si="4"/>
        <v>{{ deployment_area_photos_tl }}</v>
      </c>
      <c r="N92" t="s">
        <v>896</v>
      </c>
      <c r="O92" s="13" t="s">
        <v>1816</v>
      </c>
      <c r="P92" t="s">
        <v>4582</v>
      </c>
      <c r="Q92"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2" t="b" cm="1">
        <f t="array" ref="R92">SUMPRODUCT(--EXACT($J$2:$J$490,J92))&gt;1</f>
        <v>0</v>
      </c>
      <c r="S92" t="s">
        <v>4767</v>
      </c>
    </row>
    <row r="93" spans="1:19">
      <c r="A93" s="30">
        <v>3</v>
      </c>
      <c r="B93" s="30" t="s">
        <v>1393</v>
      </c>
      <c r="C93" s="30"/>
      <c r="D93" s="30" t="s">
        <v>1208</v>
      </c>
      <c r="E93" s="30" t="s">
        <v>984</v>
      </c>
      <c r="F93" s="30" t="s">
        <v>214</v>
      </c>
      <c r="G93" s="39" t="str">
        <f>VLOOKUP(F93,glossary!J:N,2,FALSE)</f>
        <v>Deployment area photos</v>
      </c>
      <c r="H93" s="34" t="s">
        <v>214</v>
      </c>
      <c r="I93" s="45" t="str">
        <f t="shared" si="3"/>
        <v>deployment_area_photos_tu</v>
      </c>
      <c r="J93" s="42" t="s">
        <v>215</v>
      </c>
      <c r="K93" s="39" t="str">
        <f>VLOOKUP(F93,glossary!J:N,5,FALSE)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3" t="s">
        <v>1661</v>
      </c>
      <c r="M93" s="30" t="str">
        <f t="shared" si="4"/>
        <v>{{ deployment_area_photos_tu }}</v>
      </c>
      <c r="N93" t="s">
        <v>896</v>
      </c>
      <c r="O93" s="13" t="s">
        <v>1816</v>
      </c>
      <c r="P93" t="s">
        <v>4582</v>
      </c>
      <c r="Q93"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3" t="b" cm="1">
        <f t="array" ref="R93">SUMPRODUCT(--EXACT($J$2:$J$490,J93))&gt;1</f>
        <v>0</v>
      </c>
      <c r="S93" t="s">
        <v>4768</v>
      </c>
    </row>
    <row r="94" spans="1:19">
      <c r="A94" s="30">
        <v>3</v>
      </c>
      <c r="B94" s="30" t="s">
        <v>1393</v>
      </c>
      <c r="C94" s="30"/>
      <c r="D94" s="30" t="s">
        <v>1208</v>
      </c>
      <c r="E94" s="30" t="s">
        <v>984</v>
      </c>
      <c r="F94" s="30" t="s">
        <v>333</v>
      </c>
      <c r="G94" s="39" t="str">
        <f>VLOOKUP(F94,glossary!J:N,2,FALSE)</f>
        <v>Deployment Area Photos Taken</v>
      </c>
      <c r="H94" s="34" t="s">
        <v>333</v>
      </c>
      <c r="I94" s="45" t="str">
        <f t="shared" si="3"/>
        <v>deployment_area_photos_taken_tu</v>
      </c>
      <c r="J94" s="42" t="s">
        <v>741</v>
      </c>
      <c r="K94" s="39" t="str">
        <f>VLOOKUP(F94,glossary!J:N,5,FALSE)</f>
        <v>Whether deployment area photos were taken (yes*/no; optional). The recommendation includes collecting four photos taken from the centre of the target detection zone (Figure 5), facing each of the four cardinal directions.</v>
      </c>
      <c r="L94" t="s">
        <v>1660</v>
      </c>
      <c r="M94" s="30" t="str">
        <f t="shared" si="4"/>
        <v>{{ deployment_area_photos_taken_tu }}</v>
      </c>
      <c r="N94" t="s">
        <v>896</v>
      </c>
      <c r="O94" s="13" t="s">
        <v>1816</v>
      </c>
      <c r="P94" t="s">
        <v>4582</v>
      </c>
      <c r="Q94"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94" t="b" cm="1">
        <f t="array" ref="R94">SUMPRODUCT(--EXACT($J$2:$J$490,J94))&gt;1</f>
        <v>0</v>
      </c>
      <c r="S94" t="s">
        <v>4769</v>
      </c>
    </row>
    <row r="95" spans="1:19">
      <c r="A95" s="30">
        <v>3</v>
      </c>
      <c r="B95" s="30" t="s">
        <v>1393</v>
      </c>
      <c r="C95" s="30"/>
      <c r="D95" s="30" t="s">
        <v>1208</v>
      </c>
      <c r="E95" s="30" t="s">
        <v>984</v>
      </c>
      <c r="F95" s="30" t="s">
        <v>331</v>
      </c>
      <c r="G95" s="39" t="str">
        <f>VLOOKUP(F95,glossary!J:N,2,FALSE)</f>
        <v>Deployment Comments</v>
      </c>
      <c r="H95" s="34" t="s">
        <v>331</v>
      </c>
      <c r="I95" s="45" t="str">
        <f t="shared" si="3"/>
        <v>deployment_comments_tu</v>
      </c>
      <c r="J95" s="42" t="s">
        <v>742</v>
      </c>
      <c r="K95" s="39" t="str">
        <f>VLOOKUP(F95,glossary!J:N,5,FALSE)</f>
        <v>Comments describing additional details about the deployment.</v>
      </c>
      <c r="L95" t="s">
        <v>1659</v>
      </c>
      <c r="M95" s="30" t="str">
        <f t="shared" si="4"/>
        <v>{{ deployment_comments_tu }}</v>
      </c>
      <c r="N95" t="s">
        <v>896</v>
      </c>
      <c r="O95" s="13" t="s">
        <v>1816</v>
      </c>
      <c r="P95" t="s">
        <v>4582</v>
      </c>
      <c r="Q95"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95" t="b" cm="1">
        <f t="array" ref="R95">SUMPRODUCT(--EXACT($J$2:$J$490,J95))&gt;1</f>
        <v>0</v>
      </c>
      <c r="S95" t="s">
        <v>4770</v>
      </c>
    </row>
    <row r="96" spans="1:19">
      <c r="A96" s="30">
        <v>3</v>
      </c>
      <c r="B96" s="30" t="s">
        <v>1393</v>
      </c>
      <c r="C96" s="30"/>
      <c r="D96" s="30" t="s">
        <v>1208</v>
      </c>
      <c r="E96" s="30" t="s">
        <v>984</v>
      </c>
      <c r="F96" s="30" t="s">
        <v>295</v>
      </c>
      <c r="G96" s="39" t="str">
        <f>VLOOKUP(F96,glossary!J:N,2,FALSE)</f>
        <v>Deployment Crew</v>
      </c>
      <c r="H96" s="34" t="s">
        <v>295</v>
      </c>
      <c r="I96" s="45" t="str">
        <f t="shared" si="3"/>
        <v>deployment_crew_tu</v>
      </c>
      <c r="J96" s="42" t="s">
        <v>690</v>
      </c>
      <c r="K96" s="39" t="str">
        <f>VLOOKUP(F96,glossary!J:N,5,FALSE)</f>
        <v>The first and last names of the individuals who collected data during the deployment visit.</v>
      </c>
      <c r="L96" t="s">
        <v>1658</v>
      </c>
      <c r="M96" s="30" t="str">
        <f t="shared" si="4"/>
        <v>{{ deployment_crew_tu }}</v>
      </c>
      <c r="N96" t="s">
        <v>896</v>
      </c>
      <c r="O96" s="13" t="s">
        <v>1816</v>
      </c>
      <c r="P96" t="s">
        <v>4582</v>
      </c>
      <c r="Q96"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96" t="b" cm="1">
        <f t="array" ref="R96">SUMPRODUCT(--EXACT($J$2:$J$490,J96))&gt;1</f>
        <v>0</v>
      </c>
      <c r="S96" t="s">
        <v>4771</v>
      </c>
    </row>
    <row r="97" spans="1:19">
      <c r="A97" s="30">
        <v>1</v>
      </c>
      <c r="B97" s="30" t="s">
        <v>1064</v>
      </c>
      <c r="C97" s="30"/>
      <c r="D97" s="30" t="s">
        <v>1208</v>
      </c>
      <c r="E97" s="30" t="s">
        <v>1757</v>
      </c>
      <c r="F97" s="30" t="s">
        <v>293</v>
      </c>
      <c r="G97" s="39" t="str">
        <f>VLOOKUP(F97,glossary!J:N,2,FALSE)</f>
        <v>Deployment End Date Time (DD-MMM-YYYY HH:MM:SS)</v>
      </c>
      <c r="H97" s="30" t="s">
        <v>293</v>
      </c>
      <c r="I97" s="45" t="str">
        <f t="shared" si="3"/>
        <v>deployment_end_date_time_tu_nu</v>
      </c>
      <c r="J97" s="39" t="s">
        <v>1068</v>
      </c>
      <c r="K97" s="39" t="str">
        <f>VLOOKUP(F97,glossary!J:N,5,FALSE)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7" s="30" t="s">
        <v>1089</v>
      </c>
      <c r="M97" s="30" t="str">
        <f t="shared" si="4"/>
        <v>{{ deployment_end_date_time_tu_nu }}</v>
      </c>
      <c r="N97" t="s">
        <v>896</v>
      </c>
      <c r="O97" s="13" t="s">
        <v>1816</v>
      </c>
      <c r="P97" t="s">
        <v>4582</v>
      </c>
      <c r="Q97"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97" t="b" cm="1">
        <f t="array" ref="R97">SUMPRODUCT(--EXACT($J$2:$J$490,J97))&gt;1</f>
        <v>0</v>
      </c>
      <c r="S97" t="s">
        <v>4772</v>
      </c>
    </row>
    <row r="98" spans="1:19">
      <c r="A98" s="30">
        <v>3</v>
      </c>
      <c r="B98" s="30" t="s">
        <v>1393</v>
      </c>
      <c r="C98" s="30"/>
      <c r="D98" s="30" t="s">
        <v>1208</v>
      </c>
      <c r="E98" s="30" t="s">
        <v>1751</v>
      </c>
      <c r="F98" s="30" t="s">
        <v>293</v>
      </c>
      <c r="G98" s="39" t="str">
        <f>VLOOKUP(F98,glossary!J:N,2,FALSE)</f>
        <v>Deployment End Date Time (DD-MMM-YYYY HH:MM:SS)</v>
      </c>
      <c r="H98" s="34" t="s">
        <v>293</v>
      </c>
      <c r="I98" s="45" t="str">
        <f t="shared" si="3"/>
        <v>deployment_end_date_time_tu_u</v>
      </c>
      <c r="J98" s="42" t="s">
        <v>691</v>
      </c>
      <c r="K98" s="39" t="str">
        <f>VLOOKUP(F98,glossary!J:N,5,FALSE)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8" t="s">
        <v>1657</v>
      </c>
      <c r="M98" s="30" t="str">
        <f t="shared" si="4"/>
        <v>{{ deployment_end_date_time_tu_u }}</v>
      </c>
      <c r="N98" t="s">
        <v>896</v>
      </c>
      <c r="O98" s="13" t="s">
        <v>1816</v>
      </c>
      <c r="P98" t="s">
        <v>4582</v>
      </c>
      <c r="Q98"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98" t="b" cm="1">
        <f t="array" ref="R98">SUMPRODUCT(--EXACT($J$2:$J$490,J98))&gt;1</f>
        <v>0</v>
      </c>
      <c r="S98" t="s">
        <v>4773</v>
      </c>
    </row>
    <row r="99" spans="1:19">
      <c r="A99" s="30">
        <v>3</v>
      </c>
      <c r="B99" s="30" t="s">
        <v>1393</v>
      </c>
      <c r="C99" s="30"/>
      <c r="D99" s="30" t="s">
        <v>1208</v>
      </c>
      <c r="E99" s="30" t="s">
        <v>984</v>
      </c>
      <c r="F99" s="30" t="s">
        <v>1250</v>
      </c>
      <c r="G99" s="39" t="str">
        <f>VLOOKUP(F99,glossary!J:N,2,FALSE)</f>
        <v>Deployment Image Count</v>
      </c>
      <c r="H99" s="34" t="s">
        <v>1250</v>
      </c>
      <c r="I99" s="45" t="str">
        <f t="shared" si="3"/>
        <v>deployment_img_count_tu</v>
      </c>
      <c r="J99" s="42" t="s">
        <v>743</v>
      </c>
      <c r="K99" s="39" t="str">
        <f>VLOOKUP(F99,glossary!J:N,5,FALSE)</f>
        <v>The total number of images collected during the deployment, including false triggers (i.e., empty images with no wildlife or human present species) and those triggered by a time-lapse setting (if applicable).</v>
      </c>
      <c r="L99" t="s">
        <v>1656</v>
      </c>
      <c r="M99" s="30" t="str">
        <f t="shared" si="4"/>
        <v>{{ deployment_img_count_tu }}</v>
      </c>
      <c r="N99" t="s">
        <v>896</v>
      </c>
      <c r="O99" s="13" t="s">
        <v>1816</v>
      </c>
      <c r="P99" t="s">
        <v>4582</v>
      </c>
      <c r="Q99"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99" t="b" cm="1">
        <f t="array" ref="R99">SUMPRODUCT(--EXACT($J$2:$J$490,J99))&gt;1</f>
        <v>0</v>
      </c>
      <c r="S99" t="s">
        <v>4774</v>
      </c>
    </row>
    <row r="100" spans="1:19">
      <c r="A100" s="30">
        <v>3</v>
      </c>
      <c r="B100" s="30" t="s">
        <v>1393</v>
      </c>
      <c r="C100" s="30"/>
      <c r="D100" s="30" t="s">
        <v>1207</v>
      </c>
      <c r="E100" s="30" t="s">
        <v>984</v>
      </c>
      <c r="F100" s="30" t="s">
        <v>211</v>
      </c>
      <c r="G100" s="39" t="str">
        <f>VLOOKUP(F100,glossary!J:N,2,FALSE)</f>
        <v>Deployment metadata</v>
      </c>
      <c r="H100" s="34" t="s">
        <v>211</v>
      </c>
      <c r="I100" s="45" t="str">
        <f t="shared" si="3"/>
        <v>deployment_metadata_tl</v>
      </c>
      <c r="J100" s="43" t="s">
        <v>912</v>
      </c>
      <c r="K100" s="39" t="str">
        <f>VLOOKUP(F100,glossary!J:N,5,FALSE)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0" t="s">
        <v>1655</v>
      </c>
      <c r="M100" s="30" t="str">
        <f t="shared" si="4"/>
        <v>{{ deployment_metadata_tl }}</v>
      </c>
      <c r="N100" t="s">
        <v>896</v>
      </c>
      <c r="O100" s="13" t="s">
        <v>1816</v>
      </c>
      <c r="P100" t="s">
        <v>4582</v>
      </c>
      <c r="Q100"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0" t="b" cm="1">
        <f t="array" ref="R100">SUMPRODUCT(--EXACT($J$2:$J$490,J100))&gt;1</f>
        <v>0</v>
      </c>
      <c r="S100" t="s">
        <v>4775</v>
      </c>
    </row>
    <row r="101" spans="1:19">
      <c r="A101" s="30">
        <v>3</v>
      </c>
      <c r="B101" s="30" t="s">
        <v>1393</v>
      </c>
      <c r="C101" s="30"/>
      <c r="D101" s="30" t="s">
        <v>1208</v>
      </c>
      <c r="E101" s="30" t="s">
        <v>984</v>
      </c>
      <c r="F101" s="30" t="s">
        <v>211</v>
      </c>
      <c r="G101" s="39" t="str">
        <f>VLOOKUP(F101,glossary!J:N,2,FALSE)</f>
        <v>Deployment metadata</v>
      </c>
      <c r="H101" s="34" t="s">
        <v>211</v>
      </c>
      <c r="I101" s="45" t="str">
        <f t="shared" si="3"/>
        <v>deployment_metadata_tu</v>
      </c>
      <c r="J101" s="42" t="s">
        <v>213</v>
      </c>
      <c r="K101" s="39" t="str">
        <f>VLOOKUP(F101,glossary!J:N,5,FALSE)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1" t="s">
        <v>1654</v>
      </c>
      <c r="M101" s="30" t="str">
        <f t="shared" si="4"/>
        <v>{{ deployment_metadata_tu }}</v>
      </c>
      <c r="N101" t="s">
        <v>896</v>
      </c>
      <c r="O101" s="13" t="s">
        <v>1816</v>
      </c>
      <c r="P101" t="s">
        <v>4582</v>
      </c>
      <c r="Q101"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1" t="b" cm="1">
        <f t="array" ref="R101">SUMPRODUCT(--EXACT($J$2:$J$490,J101))&gt;1</f>
        <v>0</v>
      </c>
      <c r="S101" t="s">
        <v>4776</v>
      </c>
    </row>
    <row r="102" spans="1:19">
      <c r="A102" s="30">
        <v>3</v>
      </c>
      <c r="B102" s="30" t="s">
        <v>1393</v>
      </c>
      <c r="C102" s="30"/>
      <c r="D102" s="30" t="s">
        <v>1208</v>
      </c>
      <c r="E102" s="30" t="s">
        <v>984</v>
      </c>
      <c r="F102" s="30" t="s">
        <v>292</v>
      </c>
      <c r="G102" s="39" t="str">
        <f>VLOOKUP(F102,glossary!J:N,2,FALSE)</f>
        <v>Deployment Name</v>
      </c>
      <c r="H102" s="34" t="s">
        <v>292</v>
      </c>
      <c r="I102" s="45" t="str">
        <f t="shared" si="3"/>
        <v>deployment_name_tu</v>
      </c>
      <c r="J102" s="42" t="s">
        <v>692</v>
      </c>
      <c r="K102" s="39" t="str">
        <f>VLOOKUP(F102,glossary!J:N,5,FALSE)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02" t="s">
        <v>1653</v>
      </c>
      <c r="M102" s="30" t="str">
        <f t="shared" si="4"/>
        <v>{{ deployment_name_tu }}</v>
      </c>
      <c r="N102" t="s">
        <v>896</v>
      </c>
      <c r="O102" s="13" t="s">
        <v>1816</v>
      </c>
      <c r="P102" t="s">
        <v>4582</v>
      </c>
      <c r="Q102"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02" t="b" cm="1">
        <f t="array" ref="R102">SUMPRODUCT(--EXACT($J$2:$J$490,J102))&gt;1</f>
        <v>0</v>
      </c>
      <c r="S102" t="s">
        <v>4777</v>
      </c>
    </row>
    <row r="103" spans="1:19">
      <c r="A103" s="30">
        <v>1</v>
      </c>
      <c r="B103" s="30" t="s">
        <v>1064</v>
      </c>
      <c r="C103" s="30"/>
      <c r="D103" s="30" t="s">
        <v>1208</v>
      </c>
      <c r="E103" s="30" t="s">
        <v>1757</v>
      </c>
      <c r="F103" s="30" t="s">
        <v>290</v>
      </c>
      <c r="G103" s="39" t="str">
        <f>VLOOKUP(F103,glossary!J:N,2,FALSE)</f>
        <v>Deployment Start Date Time (DD-MMM-YYYY HH:MM:SS)</v>
      </c>
      <c r="H103" s="30" t="s">
        <v>290</v>
      </c>
      <c r="I103" s="45" t="str">
        <f t="shared" si="3"/>
        <v>deployment_start_date_time_tu_nu</v>
      </c>
      <c r="J103" s="39" t="s">
        <v>1067</v>
      </c>
      <c r="K103" s="39" t="str">
        <f>VLOOKUP(F103,glossary!J:N,5,FALSE)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3" s="30" t="s">
        <v>1090</v>
      </c>
      <c r="M103" s="30" t="str">
        <f t="shared" si="4"/>
        <v>{{ deployment_start_date_time_tu_nu }}</v>
      </c>
      <c r="N103" t="s">
        <v>896</v>
      </c>
      <c r="O103" s="13" t="s">
        <v>1816</v>
      </c>
      <c r="P103" t="s">
        <v>4582</v>
      </c>
      <c r="Q103"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03" t="b" cm="1">
        <f t="array" ref="R103">SUMPRODUCT(--EXACT($J$2:$J$490,J103))&gt;1</f>
        <v>0</v>
      </c>
      <c r="S103" t="s">
        <v>4778</v>
      </c>
    </row>
    <row r="104" spans="1:19">
      <c r="A104" s="30">
        <v>3</v>
      </c>
      <c r="B104" s="30" t="s">
        <v>1393</v>
      </c>
      <c r="C104" s="30"/>
      <c r="D104" s="30" t="s">
        <v>1208</v>
      </c>
      <c r="E104" s="30" t="s">
        <v>1751</v>
      </c>
      <c r="F104" s="30" t="s">
        <v>290</v>
      </c>
      <c r="G104" s="39" t="str">
        <f>VLOOKUP(F104,glossary!J:N,2,FALSE)</f>
        <v>Deployment Start Date Time (DD-MMM-YYYY HH:MM:SS)</v>
      </c>
      <c r="H104" s="34" t="s">
        <v>290</v>
      </c>
      <c r="I104" s="45" t="str">
        <f t="shared" si="3"/>
        <v>deployment_start_date_time_tu_u</v>
      </c>
      <c r="J104" s="42" t="s">
        <v>693</v>
      </c>
      <c r="K104" s="39" t="str">
        <f>VLOOKUP(F104,glossary!J:N,5,FALSE)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4" t="s">
        <v>1652</v>
      </c>
      <c r="M104" s="30" t="str">
        <f t="shared" si="4"/>
        <v>{{ deployment_start_date_time_tu_u }}</v>
      </c>
      <c r="N104" t="s">
        <v>896</v>
      </c>
      <c r="O104" s="13" t="s">
        <v>1816</v>
      </c>
      <c r="P104" t="s">
        <v>4582</v>
      </c>
      <c r="Q104"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04" t="b" cm="1">
        <f t="array" ref="R104">SUMPRODUCT(--EXACT($J$2:$J$490,J104))&gt;1</f>
        <v>0</v>
      </c>
      <c r="S104" t="s">
        <v>4779</v>
      </c>
    </row>
    <row r="105" spans="1:19">
      <c r="A105" s="30">
        <v>3</v>
      </c>
      <c r="B105" s="30" t="s">
        <v>1393</v>
      </c>
      <c r="C105" s="30"/>
      <c r="D105" s="30" t="s">
        <v>1207</v>
      </c>
      <c r="E105" s="30" t="s">
        <v>984</v>
      </c>
      <c r="F105" s="30" t="s">
        <v>208</v>
      </c>
      <c r="G105" s="39" t="str">
        <f>VLOOKUP(F105,glossary!J:N,2,FALSE)</f>
        <v>Deployment visit</v>
      </c>
      <c r="H105" s="34" t="s">
        <v>208</v>
      </c>
      <c r="I105" s="45" t="str">
        <f t="shared" si="3"/>
        <v>deployment_visit_tl</v>
      </c>
      <c r="J105" s="43" t="s">
        <v>913</v>
      </c>
      <c r="K105" s="39" t="str">
        <f>VLOOKUP(F105,glossary!J:N,5,FALSE)</f>
        <v>When a crew has gone to a location to deploy a remote camera.</v>
      </c>
      <c r="L105" t="s">
        <v>1651</v>
      </c>
      <c r="M105" s="30" t="str">
        <f t="shared" si="4"/>
        <v>{{ deployment_visit_tl }}</v>
      </c>
      <c r="N105" t="s">
        <v>896</v>
      </c>
      <c r="O105" s="13" t="s">
        <v>1816</v>
      </c>
      <c r="P105" t="s">
        <v>4582</v>
      </c>
      <c r="Q105"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5" t="b" cm="1">
        <f t="array" ref="R105">SUMPRODUCT(--EXACT($J$2:$J$490,J105))&gt;1</f>
        <v>0</v>
      </c>
      <c r="S105" t="s">
        <v>4780</v>
      </c>
    </row>
    <row r="106" spans="1:19">
      <c r="A106" s="30">
        <v>3</v>
      </c>
      <c r="B106" s="30" t="s">
        <v>1393</v>
      </c>
      <c r="C106" s="30"/>
      <c r="D106" s="30" t="s">
        <v>1208</v>
      </c>
      <c r="E106" s="30" t="s">
        <v>984</v>
      </c>
      <c r="F106" s="30" t="s">
        <v>208</v>
      </c>
      <c r="G106" s="39" t="str">
        <f>VLOOKUP(F106,glossary!J:N,2,FALSE)</f>
        <v>Deployment visit</v>
      </c>
      <c r="H106" s="34" t="s">
        <v>208</v>
      </c>
      <c r="I106" s="45" t="str">
        <f t="shared" si="3"/>
        <v>deployment_visit_tu</v>
      </c>
      <c r="J106" s="42" t="s">
        <v>210</v>
      </c>
      <c r="K106" s="39" t="str">
        <f>VLOOKUP(F106,glossary!J:N,5,FALSE)</f>
        <v>When a crew has gone to a location to deploy a remote camera.</v>
      </c>
      <c r="L106" t="s">
        <v>1650</v>
      </c>
      <c r="M106" s="30" t="str">
        <f t="shared" si="4"/>
        <v>{{ deployment_visit_tu }}</v>
      </c>
      <c r="N106" t="s">
        <v>896</v>
      </c>
      <c r="O106" s="13" t="s">
        <v>1816</v>
      </c>
      <c r="P106" t="s">
        <v>4582</v>
      </c>
      <c r="Q106"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6" t="b" cm="1">
        <f t="array" ref="R106">SUMPRODUCT(--EXACT($J$2:$J$490,J106))&gt;1</f>
        <v>0</v>
      </c>
      <c r="S106" t="s">
        <v>4781</v>
      </c>
    </row>
    <row r="107" spans="1:19">
      <c r="A107" s="30">
        <v>3</v>
      </c>
      <c r="B107" s="30" t="s">
        <v>1393</v>
      </c>
      <c r="C107" s="30"/>
      <c r="D107" s="30" t="s">
        <v>1207</v>
      </c>
      <c r="E107" s="30" t="s">
        <v>984</v>
      </c>
      <c r="F107" s="30" t="s">
        <v>205</v>
      </c>
      <c r="G107" s="39" t="str">
        <f>VLOOKUP(F107,glossary!J:N,2,FALSE)</f>
        <v>Detection distance</v>
      </c>
      <c r="H107" s="34" t="s">
        <v>205</v>
      </c>
      <c r="I107" s="45" t="str">
        <f t="shared" si="3"/>
        <v>detection_distance_tl</v>
      </c>
      <c r="J107" s="43" t="s">
        <v>914</v>
      </c>
      <c r="K107" s="39" t="str">
        <f>VLOOKUP(F107,glossary!J:N,5,FALSE)</f>
        <v>The maximum distance that a sensor can detect a target' (Wearn and Glover-Kapfer, 2017).</v>
      </c>
      <c r="L107" t="s">
        <v>1649</v>
      </c>
      <c r="M107" s="30" t="str">
        <f t="shared" si="4"/>
        <v>{{ detection_distance_tl }}</v>
      </c>
      <c r="N107" t="s">
        <v>896</v>
      </c>
      <c r="O107" s="13" t="s">
        <v>1816</v>
      </c>
      <c r="P107" t="s">
        <v>4582</v>
      </c>
      <c r="Q107"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7" t="b" cm="1">
        <f t="array" ref="R107">SUMPRODUCT(--EXACT($J$2:$J$490,J107))&gt;1</f>
        <v>0</v>
      </c>
      <c r="S107" t="s">
        <v>4782</v>
      </c>
    </row>
    <row r="108" spans="1:19">
      <c r="A108" s="30">
        <v>3</v>
      </c>
      <c r="B108" s="30" t="s">
        <v>1393</v>
      </c>
      <c r="C108" s="30"/>
      <c r="D108" s="30" t="s">
        <v>1208</v>
      </c>
      <c r="E108" s="30" t="s">
        <v>984</v>
      </c>
      <c r="F108" s="30" t="s">
        <v>205</v>
      </c>
      <c r="G108" s="39" t="str">
        <f>VLOOKUP(F108,glossary!J:N,2,FALSE)</f>
        <v>Detection distance</v>
      </c>
      <c r="H108" s="34" t="s">
        <v>205</v>
      </c>
      <c r="I108" s="45" t="str">
        <f t="shared" si="3"/>
        <v>detection_distance_tu</v>
      </c>
      <c r="J108" s="42" t="s">
        <v>206</v>
      </c>
      <c r="K108" s="39" t="str">
        <f>VLOOKUP(F108,glossary!J:N,5,FALSE)</f>
        <v>The maximum distance that a sensor can detect a target' (Wearn and Glover-Kapfer, 2017).</v>
      </c>
      <c r="L108" t="s">
        <v>1648</v>
      </c>
      <c r="M108" s="30" t="str">
        <f t="shared" si="4"/>
        <v>{{ detection_distance_tu }}</v>
      </c>
      <c r="N108" t="s">
        <v>896</v>
      </c>
      <c r="O108" s="13" t="s">
        <v>1816</v>
      </c>
      <c r="P108" t="s">
        <v>4582</v>
      </c>
      <c r="Q108"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8" t="b" cm="1">
        <f t="array" ref="R108">SUMPRODUCT(--EXACT($J$2:$J$490,J108))&gt;1</f>
        <v>0</v>
      </c>
      <c r="S108" t="s">
        <v>4783</v>
      </c>
    </row>
    <row r="109" spans="1:19">
      <c r="A109" s="30">
        <v>3</v>
      </c>
      <c r="B109" s="30" t="s">
        <v>1393</v>
      </c>
      <c r="C109" s="30"/>
      <c r="D109" s="30" t="s">
        <v>1207</v>
      </c>
      <c r="E109" s="30" t="s">
        <v>984</v>
      </c>
      <c r="F109" s="30" t="s">
        <v>207</v>
      </c>
      <c r="G109" s="39" t="str">
        <f>VLOOKUP(F109,glossary!J:N,2,FALSE)</f>
        <v>Detection 'event'</v>
      </c>
      <c r="H109" s="34" t="s">
        <v>207</v>
      </c>
      <c r="I109" s="45" t="str">
        <f t="shared" si="3"/>
        <v>detection_event_tl</v>
      </c>
      <c r="J109" s="43" t="s">
        <v>915</v>
      </c>
      <c r="K109" s="39" t="str">
        <f>VLOOKUP(F109,glossary!J:N,5,FALSE)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09" t="s">
        <v>1647</v>
      </c>
      <c r="M109" s="30" t="str">
        <f t="shared" si="4"/>
        <v>{{ detection_event_tl }}</v>
      </c>
      <c r="N109" t="s">
        <v>896</v>
      </c>
      <c r="O109" s="13" t="s">
        <v>1816</v>
      </c>
      <c r="P109" t="s">
        <v>4582</v>
      </c>
      <c r="Q109"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09" t="b" cm="1">
        <f t="array" ref="R109">SUMPRODUCT(--EXACT($J$2:$J$490,J109))&gt;1</f>
        <v>0</v>
      </c>
      <c r="S109" t="s">
        <v>4784</v>
      </c>
    </row>
    <row r="110" spans="1:19">
      <c r="A110" s="30">
        <v>3</v>
      </c>
      <c r="B110" s="30" t="s">
        <v>1393</v>
      </c>
      <c r="C110" s="30"/>
      <c r="D110" s="30" t="s">
        <v>1208</v>
      </c>
      <c r="E110" s="30" t="s">
        <v>984</v>
      </c>
      <c r="F110" s="30" t="s">
        <v>207</v>
      </c>
      <c r="G110" s="39" t="str">
        <f>VLOOKUP(F110,glossary!J:N,2,FALSE)</f>
        <v>Detection 'event'</v>
      </c>
      <c r="H110" s="34" t="s">
        <v>207</v>
      </c>
      <c r="I110" s="45" t="str">
        <f t="shared" si="3"/>
        <v>detection_event_tu</v>
      </c>
      <c r="J110" s="42" t="s">
        <v>455</v>
      </c>
      <c r="K110" s="39" t="str">
        <f>VLOOKUP(F110,glossary!J:N,5,FALSE)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0" t="s">
        <v>1646</v>
      </c>
      <c r="M110" s="30" t="str">
        <f t="shared" si="4"/>
        <v>{{ detection_event_tu }}</v>
      </c>
      <c r="N110" t="s">
        <v>896</v>
      </c>
      <c r="O110" s="13" t="s">
        <v>1816</v>
      </c>
      <c r="P110" t="s">
        <v>4582</v>
      </c>
      <c r="Q110"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0" t="b" cm="1">
        <f t="array" ref="R110">SUMPRODUCT(--EXACT($J$2:$J$490,J110))&gt;1</f>
        <v>0</v>
      </c>
      <c r="S110" t="s">
        <v>4785</v>
      </c>
    </row>
    <row r="111" spans="1:19">
      <c r="A111" s="30">
        <v>3</v>
      </c>
      <c r="B111" s="30" t="s">
        <v>1064</v>
      </c>
      <c r="C111" s="30"/>
      <c r="D111" s="30" t="s">
        <v>1207</v>
      </c>
      <c r="E111" s="30" t="s">
        <v>1752</v>
      </c>
      <c r="F111" s="30" t="s">
        <v>203</v>
      </c>
      <c r="G111" s="39" t="str">
        <f>VLOOKUP(F111,glossary!J:N,2,FALSE)</f>
        <v>Detection probability (aka detectability)</v>
      </c>
      <c r="H111" s="30" t="s">
        <v>203</v>
      </c>
      <c r="I111" s="45" t="str">
        <f t="shared" si="3"/>
        <v>detection_probability_tl_abrv</v>
      </c>
      <c r="J111" s="43" t="s">
        <v>1191</v>
      </c>
      <c r="K111" s="39" t="str">
        <f>VLOOKUP(F111,glossary!J:N,5,FALSE)</f>
        <v>The probability (likelihood) that an individual of the population of interest is included in the count at time or location *i*.</v>
      </c>
      <c r="L111" t="s">
        <v>1726</v>
      </c>
      <c r="M111" s="30" t="str">
        <f t="shared" si="4"/>
        <v>{{ detection_probability_tl_abrv }}</v>
      </c>
      <c r="N111" t="s">
        <v>896</v>
      </c>
      <c r="O111" s="13" t="s">
        <v>1816</v>
      </c>
      <c r="P111" t="s">
        <v>4582</v>
      </c>
      <c r="Q111"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1" t="b" cm="1">
        <f t="array" ref="R111">SUMPRODUCT(--EXACT($J$2:$J$490,J111))&gt;1</f>
        <v>0</v>
      </c>
      <c r="S111" t="s">
        <v>4786</v>
      </c>
    </row>
    <row r="112" spans="1:19">
      <c r="A112" s="30">
        <v>1</v>
      </c>
      <c r="B112" s="30" t="s">
        <v>1064</v>
      </c>
      <c r="C112" s="30" t="s">
        <v>429</v>
      </c>
      <c r="D112" s="30" t="s">
        <v>1207</v>
      </c>
      <c r="E112" s="30" t="s">
        <v>1753</v>
      </c>
      <c r="F112" s="30" t="s">
        <v>203</v>
      </c>
      <c r="G112" s="39" t="str">
        <f>VLOOKUP(F112,glossary!J:N,2,FALSE)</f>
        <v>Detection probability (aka detectability)</v>
      </c>
      <c r="H112" s="30" t="s">
        <v>203</v>
      </c>
      <c r="I112" s="45" t="str">
        <f t="shared" si="3"/>
        <v>detection_probability_tl_abrv2</v>
      </c>
      <c r="J112" s="39" t="s">
        <v>1727</v>
      </c>
      <c r="K112" s="39" t="str">
        <f>VLOOKUP(F112,glossary!J:N,5,FALSE)</f>
        <v>The probability (likelihood) that an individual of the population of interest is included in the count at time or location *i*.</v>
      </c>
      <c r="L112" s="30" t="s">
        <v>1100</v>
      </c>
      <c r="M112" s="30" t="str">
        <f t="shared" si="4"/>
        <v>{{ detection_probability_tl_abrv2 }}</v>
      </c>
      <c r="N112" t="s">
        <v>896</v>
      </c>
      <c r="O112" s="13" t="s">
        <v>1816</v>
      </c>
      <c r="P112" t="s">
        <v>4582</v>
      </c>
      <c r="Q112"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12" t="b" cm="1">
        <f t="array" ref="R112">SUMPRODUCT(--EXACT($J$2:$J$490,J112))&gt;1</f>
        <v>0</v>
      </c>
      <c r="S112" t="s">
        <v>4787</v>
      </c>
    </row>
    <row r="113" spans="1:19">
      <c r="A113" s="30">
        <v>3</v>
      </c>
      <c r="B113" s="30" t="s">
        <v>1393</v>
      </c>
      <c r="C113" s="30"/>
      <c r="D113" s="30" t="s">
        <v>1207</v>
      </c>
      <c r="E113" s="30" t="s">
        <v>1754</v>
      </c>
      <c r="F113" s="30" t="s">
        <v>203</v>
      </c>
      <c r="G113" s="39" t="str">
        <f>VLOOKUP(F113,glossary!J:N,2,FALSE)</f>
        <v>Detection probability (aka detectability)</v>
      </c>
      <c r="H113" s="30" t="s">
        <v>203</v>
      </c>
      <c r="I113" s="45" t="str">
        <f t="shared" si="3"/>
        <v>detection_probability_tl_aka</v>
      </c>
      <c r="J113" s="43" t="s">
        <v>916</v>
      </c>
      <c r="K113" s="39" t="str">
        <f>VLOOKUP(F113,glossary!J:N,5,FALSE)</f>
        <v>The probability (likelihood) that an individual of the population of interest is included in the count at time or location *i*.</v>
      </c>
      <c r="L113" t="s">
        <v>1645</v>
      </c>
      <c r="M113" s="30" t="str">
        <f t="shared" si="4"/>
        <v>{{ detection_probability_tl_aka }}</v>
      </c>
      <c r="N113" t="s">
        <v>896</v>
      </c>
      <c r="O113" s="13" t="s">
        <v>1816</v>
      </c>
      <c r="P113" t="s">
        <v>4582</v>
      </c>
      <c r="Q113"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3" t="b" cm="1">
        <f t="array" ref="R113">SUMPRODUCT(--EXACT($J$2:$J$490,J113))&gt;1</f>
        <v>0</v>
      </c>
      <c r="S113" t="s">
        <v>4788</v>
      </c>
    </row>
    <row r="114" spans="1:19">
      <c r="A114" s="30">
        <v>1</v>
      </c>
      <c r="B114" s="30" t="s">
        <v>1064</v>
      </c>
      <c r="C114" s="30" t="s">
        <v>429</v>
      </c>
      <c r="D114" s="30" t="s">
        <v>1207</v>
      </c>
      <c r="E114" s="30" t="s">
        <v>1758</v>
      </c>
      <c r="F114" s="30" t="s">
        <v>203</v>
      </c>
      <c r="G114" s="39" t="str">
        <f>VLOOKUP(F114,glossary!J:N,2,FALSE)</f>
        <v>Detection probability (aka detectability)</v>
      </c>
      <c r="H114" s="30" t="s">
        <v>203</v>
      </c>
      <c r="I114" s="45" t="str">
        <f t="shared" si="3"/>
        <v>detection_probability_tl_pl</v>
      </c>
      <c r="J114" s="39" t="s">
        <v>1200</v>
      </c>
      <c r="K114" s="39" t="str">
        <f>VLOOKUP(F114,glossary!J:N,5,FALSE)</f>
        <v>The probability (likelihood) that an individual of the population of interest is included in the count at time or location *i*.</v>
      </c>
      <c r="L114" s="30" t="s">
        <v>1201</v>
      </c>
      <c r="M114" s="30" t="str">
        <f t="shared" si="4"/>
        <v>{{ detection_probability_tl_pl }}</v>
      </c>
      <c r="N114" t="s">
        <v>896</v>
      </c>
      <c r="O114" s="13" t="s">
        <v>1816</v>
      </c>
      <c r="P114" t="s">
        <v>4582</v>
      </c>
      <c r="Q114"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14" t="b" cm="1">
        <f t="array" ref="R114">SUMPRODUCT(--EXACT($J$2:$J$490,J114))&gt;1</f>
        <v>0</v>
      </c>
      <c r="S114" t="s">
        <v>4789</v>
      </c>
    </row>
    <row r="115" spans="1:19">
      <c r="A115" s="30">
        <v>3</v>
      </c>
      <c r="B115" s="30" t="s">
        <v>1064</v>
      </c>
      <c r="C115" s="30"/>
      <c r="D115" s="30" t="s">
        <v>1208</v>
      </c>
      <c r="E115" s="30" t="s">
        <v>1752</v>
      </c>
      <c r="F115" s="30" t="s">
        <v>203</v>
      </c>
      <c r="G115" s="39" t="str">
        <f>VLOOKUP(F115,glossary!J:N,2,FALSE)</f>
        <v>Detection probability (aka detectability)</v>
      </c>
      <c r="H115" s="30" t="s">
        <v>203</v>
      </c>
      <c r="I115" s="45" t="str">
        <f t="shared" si="3"/>
        <v>detection_probability_tu_abrv</v>
      </c>
      <c r="J115" s="42" t="s">
        <v>531</v>
      </c>
      <c r="K115" s="39" t="str">
        <f>VLOOKUP(F115,glossary!J:N,5,FALSE)</f>
        <v>The probability (likelihood) that an individual of the population of interest is included in the count at time or location *i*.</v>
      </c>
      <c r="L115" t="s">
        <v>1101</v>
      </c>
      <c r="M115" s="30" t="str">
        <f t="shared" si="4"/>
        <v>{{ detection_probability_tu_abrv }}</v>
      </c>
      <c r="N115" t="s">
        <v>896</v>
      </c>
      <c r="O115" s="13" t="s">
        <v>1816</v>
      </c>
      <c r="P115" t="s">
        <v>4582</v>
      </c>
      <c r="Q115"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5" t="b" cm="1">
        <f t="array" ref="R115">SUMPRODUCT(--EXACT($J$2:$J$490,J115))&gt;1</f>
        <v>0</v>
      </c>
      <c r="S115" t="s">
        <v>4790</v>
      </c>
    </row>
    <row r="116" spans="1:19">
      <c r="A116" s="30">
        <v>3</v>
      </c>
      <c r="B116" s="30" t="s">
        <v>1393</v>
      </c>
      <c r="C116" s="30"/>
      <c r="D116" s="30" t="s">
        <v>1208</v>
      </c>
      <c r="E116" s="30" t="s">
        <v>1754</v>
      </c>
      <c r="F116" s="30" t="s">
        <v>203</v>
      </c>
      <c r="G116" s="39" t="str">
        <f>VLOOKUP(F116,glossary!J:N,2,FALSE)</f>
        <v>Detection probability (aka detectability)</v>
      </c>
      <c r="H116" s="30" t="s">
        <v>203</v>
      </c>
      <c r="I116" s="45" t="str">
        <f t="shared" si="3"/>
        <v>detection_probability_tu_aka</v>
      </c>
      <c r="J116" s="42" t="s">
        <v>204</v>
      </c>
      <c r="K116" s="39" t="str">
        <f>VLOOKUP(F116,glossary!J:N,5,FALSE)</f>
        <v>The probability (likelihood) that an individual of the population of interest is included in the count at time or location *i*.</v>
      </c>
      <c r="L116" t="s">
        <v>1644</v>
      </c>
      <c r="M116" s="30" t="str">
        <f t="shared" si="4"/>
        <v>{{ detection_probability_tu_aka }}</v>
      </c>
      <c r="N116" t="s">
        <v>896</v>
      </c>
      <c r="O116" s="13" t="s">
        <v>1816</v>
      </c>
      <c r="P116" t="s">
        <v>4582</v>
      </c>
      <c r="Q116"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6" t="b" cm="1">
        <f t="array" ref="R116">SUMPRODUCT(--EXACT($J$2:$J$490,J116))&gt;1</f>
        <v>0</v>
      </c>
      <c r="S116" t="s">
        <v>4791</v>
      </c>
    </row>
    <row r="117" spans="1:19">
      <c r="A117" s="30">
        <v>3</v>
      </c>
      <c r="B117" s="30" t="s">
        <v>1393</v>
      </c>
      <c r="C117" s="30"/>
      <c r="D117" s="30" t="s">
        <v>1207</v>
      </c>
      <c r="E117" s="30" t="s">
        <v>984</v>
      </c>
      <c r="F117" s="30" t="s">
        <v>200</v>
      </c>
      <c r="G117" s="39" t="str">
        <f>VLOOKUP(F117,glossary!J:N,2,FALSE)</f>
        <v>Detection rate</v>
      </c>
      <c r="H117" s="34" t="s">
        <v>200</v>
      </c>
      <c r="I117" s="45" t="str">
        <f t="shared" si="3"/>
        <v>detection_rate_tl</v>
      </c>
      <c r="J117" s="43" t="s">
        <v>917</v>
      </c>
      <c r="K117" s="39" t="str">
        <f>VLOOKUP(F117,glossary!J:N,5,FALSE)</f>
        <v>The frequency of independent detections within a specified time period.</v>
      </c>
      <c r="L117" t="s">
        <v>1643</v>
      </c>
      <c r="M117" s="30" t="str">
        <f t="shared" si="4"/>
        <v>{{ detection_rate_tl }}</v>
      </c>
      <c r="N117" t="s">
        <v>896</v>
      </c>
      <c r="O117" s="13" t="s">
        <v>1816</v>
      </c>
      <c r="P117" t="s">
        <v>4582</v>
      </c>
      <c r="Q117"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7" t="b" cm="1">
        <f t="array" ref="R117">SUMPRODUCT(--EXACT($J$2:$J$490,J117))&gt;1</f>
        <v>0</v>
      </c>
      <c r="S117" t="s">
        <v>4792</v>
      </c>
    </row>
    <row r="118" spans="1:19">
      <c r="A118" s="30">
        <v>1</v>
      </c>
      <c r="B118" s="30" t="s">
        <v>1064</v>
      </c>
      <c r="C118" s="30" t="s">
        <v>0</v>
      </c>
      <c r="D118" s="30" t="s">
        <v>1207</v>
      </c>
      <c r="E118" s="30" t="s">
        <v>1758</v>
      </c>
      <c r="F118" s="30" t="s">
        <v>200</v>
      </c>
      <c r="G118" s="39" t="str">
        <f>VLOOKUP(F118,glossary!J:N,2,FALSE)</f>
        <v>Detection rate</v>
      </c>
      <c r="H118" s="30" t="s">
        <v>200</v>
      </c>
      <c r="I118" s="45" t="str">
        <f t="shared" si="3"/>
        <v>detection_rate_tl_pl</v>
      </c>
      <c r="J118" s="39" t="s">
        <v>1206</v>
      </c>
      <c r="K118" s="39" t="str">
        <f>VLOOKUP(F118,glossary!J:N,5,FALSE)</f>
        <v>The frequency of independent detections within a specified time period.</v>
      </c>
      <c r="L118" s="30" t="s">
        <v>1204</v>
      </c>
      <c r="M118" s="30" t="str">
        <f t="shared" si="4"/>
        <v>{{ detection_rate_tl_pl }}</v>
      </c>
      <c r="N118" t="s">
        <v>896</v>
      </c>
      <c r="O118" s="13" t="s">
        <v>1816</v>
      </c>
      <c r="P118" t="s">
        <v>4582</v>
      </c>
      <c r="Q118"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18" t="b" cm="1">
        <f t="array" ref="R118">SUMPRODUCT(--EXACT($J$2:$J$490,J118))&gt;1</f>
        <v>0</v>
      </c>
      <c r="S118" t="s">
        <v>4793</v>
      </c>
    </row>
    <row r="119" spans="1:19">
      <c r="A119" s="30">
        <v>3</v>
      </c>
      <c r="B119" s="30" t="s">
        <v>1393</v>
      </c>
      <c r="C119" s="30"/>
      <c r="D119" s="30" t="s">
        <v>1208</v>
      </c>
      <c r="E119" s="30" t="s">
        <v>984</v>
      </c>
      <c r="F119" s="30" t="s">
        <v>200</v>
      </c>
      <c r="G119" s="39" t="str">
        <f>VLOOKUP(F119,glossary!J:N,2,FALSE)</f>
        <v>Detection rate</v>
      </c>
      <c r="H119" s="34" t="s">
        <v>200</v>
      </c>
      <c r="I119" s="45" t="str">
        <f t="shared" si="3"/>
        <v>detection_rate_tu</v>
      </c>
      <c r="J119" s="42" t="s">
        <v>202</v>
      </c>
      <c r="K119" s="39" t="str">
        <f>VLOOKUP(F119,glossary!J:N,5,FALSE)</f>
        <v>The frequency of independent detections within a specified time period.</v>
      </c>
      <c r="L119" t="s">
        <v>1642</v>
      </c>
      <c r="M119" s="30" t="str">
        <f t="shared" si="4"/>
        <v>{{ detection_rate_tu }}</v>
      </c>
      <c r="N119" t="s">
        <v>896</v>
      </c>
      <c r="O119" s="13" t="s">
        <v>1816</v>
      </c>
      <c r="P119" t="s">
        <v>4582</v>
      </c>
      <c r="Q119" t="str">
        <f t="shared" si="5"/>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9" t="b" cm="1">
        <f t="array" ref="R119">SUMPRODUCT(--EXACT($J$2:$J$490,J119))&gt;1</f>
        <v>0</v>
      </c>
      <c r="S119" t="s">
        <v>4794</v>
      </c>
    </row>
    <row r="120" spans="1:19">
      <c r="A120" s="30">
        <v>1</v>
      </c>
      <c r="B120" s="30" t="s">
        <v>1064</v>
      </c>
      <c r="C120" s="30" t="s">
        <v>0</v>
      </c>
      <c r="D120" s="30" t="s">
        <v>1208</v>
      </c>
      <c r="E120" s="30" t="s">
        <v>1758</v>
      </c>
      <c r="F120" s="30" t="s">
        <v>200</v>
      </c>
      <c r="G120" s="39" t="str">
        <f>VLOOKUP(F120,glossary!J:N,2,FALSE)</f>
        <v>Detection rate</v>
      </c>
      <c r="H120" s="30" t="s">
        <v>200</v>
      </c>
      <c r="I120" s="45" t="str">
        <f t="shared" si="3"/>
        <v>detection_rate_tu_pl</v>
      </c>
      <c r="J120" s="39" t="s">
        <v>1205</v>
      </c>
      <c r="K120" s="39" t="str">
        <f>VLOOKUP(F120,glossary!J:N,5,FALSE)</f>
        <v>The frequency of independent detections within a specified time period.</v>
      </c>
      <c r="L120" s="30" t="s">
        <v>1203</v>
      </c>
      <c r="M120" s="30" t="str">
        <f t="shared" si="4"/>
        <v>{{ detection_rate_tu_pl }}</v>
      </c>
      <c r="N120" t="s">
        <v>896</v>
      </c>
      <c r="O120" s="13" t="s">
        <v>1816</v>
      </c>
      <c r="P120" t="s">
        <v>4582</v>
      </c>
      <c r="Q120" t="str">
        <f t="shared" si="5"/>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0" t="b" cm="1">
        <f t="array" ref="R120">SUMPRODUCT(--EXACT($J$2:$J$490,J120))&gt;1</f>
        <v>0</v>
      </c>
      <c r="S120" t="s">
        <v>4795</v>
      </c>
    </row>
    <row r="121" spans="1:19">
      <c r="A121" s="30">
        <v>3</v>
      </c>
      <c r="B121" s="30" t="s">
        <v>1393</v>
      </c>
      <c r="C121" s="30"/>
      <c r="D121" s="30" t="s">
        <v>1207</v>
      </c>
      <c r="E121" s="30" t="s">
        <v>984</v>
      </c>
      <c r="F121" s="30" t="s">
        <v>197</v>
      </c>
      <c r="G121" s="39" t="str">
        <f>VLOOKUP(F121,glossary!J:N,2,FALSE)</f>
        <v>Detection zone</v>
      </c>
      <c r="H121" s="34" t="s">
        <v>197</v>
      </c>
      <c r="I121" s="45" t="str">
        <f t="shared" si="3"/>
        <v>detection_zone_tl</v>
      </c>
      <c r="J121" s="43" t="s">
        <v>918</v>
      </c>
      <c r="K121" s="39" t="str">
        <f>VLOOKUP(F121,glossary!J:N,5,FALSE)</f>
        <v>The area (conical in shape) in which a remote camera can detect the heat signature and motion of an object (Rovero &amp; Zimmermann, 2016) (Figure 5).</v>
      </c>
      <c r="L121" t="s">
        <v>1641</v>
      </c>
      <c r="M121" s="30" t="str">
        <f t="shared" si="4"/>
        <v>{{ detection_zone_tl }}</v>
      </c>
      <c r="N121" t="s">
        <v>896</v>
      </c>
      <c r="O121" s="13" t="s">
        <v>1816</v>
      </c>
      <c r="P121" t="s">
        <v>4582</v>
      </c>
      <c r="Q121" t="str">
        <f t="shared" si="5"/>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1" t="b" cm="1">
        <f t="array" ref="R121">SUMPRODUCT(--EXACT($J$2:$J$490,J121))&gt;1</f>
        <v>0</v>
      </c>
      <c r="S121" t="s">
        <v>4796</v>
      </c>
    </row>
    <row r="122" spans="1:19">
      <c r="A122" s="30">
        <v>3</v>
      </c>
      <c r="B122" s="30" t="s">
        <v>1393</v>
      </c>
      <c r="C122" s="30"/>
      <c r="D122" s="30" t="s">
        <v>1208</v>
      </c>
      <c r="E122" s="30" t="s">
        <v>984</v>
      </c>
      <c r="F122" s="30" t="s">
        <v>197</v>
      </c>
      <c r="G122" s="39" t="str">
        <f>VLOOKUP(F122,glossary!J:N,2,FALSE)</f>
        <v>Detection zone</v>
      </c>
      <c r="H122" s="34" t="s">
        <v>197</v>
      </c>
      <c r="I122" s="45" t="str">
        <f t="shared" si="3"/>
        <v>detection_zone_tu</v>
      </c>
      <c r="J122" s="42" t="s">
        <v>199</v>
      </c>
      <c r="K122" s="39" t="str">
        <f>VLOOKUP(F122,glossary!J:N,5,FALSE)</f>
        <v>The area (conical in shape) in which a remote camera can detect the heat signature and motion of an object (Rovero &amp; Zimmermann, 2016) (Figure 5).</v>
      </c>
      <c r="L122" t="s">
        <v>1640</v>
      </c>
      <c r="M122" s="30" t="str">
        <f t="shared" si="4"/>
        <v>{{ detection_zone_tu }}</v>
      </c>
      <c r="N122" t="s">
        <v>896</v>
      </c>
      <c r="O122" s="13" t="s">
        <v>1816</v>
      </c>
      <c r="P122" t="s">
        <v>4582</v>
      </c>
      <c r="Q122" t="str">
        <f t="shared" si="5"/>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2" t="b" cm="1">
        <f t="array" ref="R122">SUMPRODUCT(--EXACT($J$2:$J$490,J122))&gt;1</f>
        <v>0</v>
      </c>
      <c r="S122" t="s">
        <v>4797</v>
      </c>
    </row>
    <row r="123" spans="1:19">
      <c r="B123" s="30" t="s">
        <v>768</v>
      </c>
      <c r="D123" s="30" t="s">
        <v>1207</v>
      </c>
      <c r="E123" s="30" t="s">
        <v>984</v>
      </c>
      <c r="F123" s="30" t="s">
        <v>1785</v>
      </c>
      <c r="G123" s="39" t="str">
        <f>VLOOKUP(F123,glossary!J:N,2,FALSE)</f>
        <v>Species distribution</v>
      </c>
      <c r="H123" s="30" t="s">
        <v>1785</v>
      </c>
      <c r="I123" s="45" t="str">
        <f t="shared" si="3"/>
        <v>distribution_species_tl</v>
      </c>
      <c r="J123" s="30" t="s">
        <v>1808</v>
      </c>
      <c r="K123" s="39" t="str">
        <f>VLOOKUP(F123,glossary!J:N,5,FALSE)</f>
        <v>the manner in which a species is spatially arranged. The geographic limits of a particular taxon's distribution is its range, often represented as shaded areas on a map.</v>
      </c>
      <c r="L123" s="30" t="s">
        <v>984</v>
      </c>
      <c r="M123" s="30" t="str">
        <f t="shared" si="4"/>
        <v>{{ distribution_species_tl }}</v>
      </c>
      <c r="N123" t="s">
        <v>896</v>
      </c>
      <c r="O123" s="13" t="s">
        <v>1816</v>
      </c>
      <c r="P123" t="s">
        <v>4582</v>
      </c>
      <c r="Q123" t="str">
        <f t="shared" si="5"/>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3" t="b" cm="1">
        <f t="array" ref="R123">SUMPRODUCT(--EXACT($J$2:$J$490,J123))&gt;1</f>
        <v>0</v>
      </c>
      <c r="S123" t="s">
        <v>4798</v>
      </c>
    </row>
    <row r="124" spans="1:19">
      <c r="B124" s="30" t="s">
        <v>768</v>
      </c>
      <c r="D124" s="30" t="s">
        <v>1208</v>
      </c>
      <c r="E124" s="30" t="s">
        <v>984</v>
      </c>
      <c r="F124" s="30" t="s">
        <v>1785</v>
      </c>
      <c r="G124" s="39" t="str">
        <f>VLOOKUP(F124,glossary!J:N,2,FALSE)</f>
        <v>Species distribution</v>
      </c>
      <c r="H124" s="30" t="s">
        <v>1785</v>
      </c>
      <c r="I124" s="45" t="str">
        <f t="shared" si="3"/>
        <v>distribution_species_tu</v>
      </c>
      <c r="J124" s="30" t="s">
        <v>1272</v>
      </c>
      <c r="K124" s="39" t="str">
        <f>VLOOKUP(F124,glossary!J:N,5,FALSE)</f>
        <v>the manner in which a species is spatially arranged. The geographic limits of a particular taxon's distribution is its range, often represented as shaded areas on a map.</v>
      </c>
      <c r="L124" s="30" t="s">
        <v>984</v>
      </c>
      <c r="M124" s="30" t="str">
        <f t="shared" si="4"/>
        <v>{{ distribution_species_tu }}</v>
      </c>
      <c r="N124" t="s">
        <v>896</v>
      </c>
      <c r="O124" s="13" t="s">
        <v>1816</v>
      </c>
      <c r="P124" t="s">
        <v>4582</v>
      </c>
      <c r="Q124" t="str">
        <f t="shared" si="5"/>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4" t="b" cm="1">
        <f t="array" ref="R124">SUMPRODUCT(--EXACT($J$2:$J$490,J124))&gt;1</f>
        <v>0</v>
      </c>
      <c r="S124" t="s">
        <v>4799</v>
      </c>
    </row>
    <row r="125" spans="1:19">
      <c r="A125" s="30">
        <v>3</v>
      </c>
      <c r="B125" s="30" t="s">
        <v>1393</v>
      </c>
      <c r="C125" s="30"/>
      <c r="D125" s="30" t="s">
        <v>1208</v>
      </c>
      <c r="E125" s="30" t="s">
        <v>984</v>
      </c>
      <c r="F125" s="30" t="s">
        <v>1221</v>
      </c>
      <c r="G125" s="39" t="str">
        <f>VLOOKUP(F125,glossary!J:N,2,FALSE)</f>
        <v>Easting Camera Location</v>
      </c>
      <c r="H125" s="34" t="s">
        <v>1221</v>
      </c>
      <c r="I125" s="45" t="str">
        <f t="shared" si="3"/>
        <v>easting_cam_location_tu</v>
      </c>
      <c r="J125" s="42" t="s">
        <v>694</v>
      </c>
      <c r="K125" s="39" t="str">
        <f>VLOOKUP(F125,glossary!J:N,5,FALSE)</f>
        <v>The easting UTM coordinate of the camera location (e.g., '337875'). Record using the NAD83 datum. Leave blank if recording the Longitude instead.</v>
      </c>
      <c r="L125" t="s">
        <v>1639</v>
      </c>
      <c r="M125" s="30" t="str">
        <f t="shared" si="4"/>
        <v>{{ easting_cam_location_tu }}</v>
      </c>
      <c r="N125" t="s">
        <v>896</v>
      </c>
      <c r="O125" s="13" t="s">
        <v>1816</v>
      </c>
      <c r="P125" t="s">
        <v>4582</v>
      </c>
      <c r="Q125" t="str">
        <f t="shared" si="5"/>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25" t="b" cm="1">
        <f t="array" ref="R125">SUMPRODUCT(--EXACT($J$2:$J$490,J125))&gt;1</f>
        <v>0</v>
      </c>
      <c r="S125" t="s">
        <v>4800</v>
      </c>
    </row>
    <row r="126" spans="1:19">
      <c r="A126" s="30">
        <v>3</v>
      </c>
      <c r="B126" s="30" t="s">
        <v>1393</v>
      </c>
      <c r="C126" s="30"/>
      <c r="D126" s="30" t="s">
        <v>1207</v>
      </c>
      <c r="E126" s="30" t="s">
        <v>984</v>
      </c>
      <c r="F126" s="30" t="s">
        <v>193</v>
      </c>
      <c r="G126" s="39" t="str">
        <f>VLOOKUP(F126,glossary!J:N,2,FALSE)</f>
        <v>Effective detection distance</v>
      </c>
      <c r="H126" s="34" t="s">
        <v>193</v>
      </c>
      <c r="I126" s="45" t="str">
        <f t="shared" si="3"/>
        <v>effective_detection_distance_tl</v>
      </c>
      <c r="J126" s="43" t="s">
        <v>919</v>
      </c>
      <c r="K126" s="39" t="str">
        <f>VLOOKUP(F126,glossary!J:N,5,FALSE)</f>
        <v>The distance from a camera that would give the same number of detections if all animals up to that distance are perfectly detected, and no animals that are farther away are detected; Buckland, 1987, Becker et al., 2022).</v>
      </c>
      <c r="L126" t="s">
        <v>1638</v>
      </c>
      <c r="M126" s="30" t="str">
        <f t="shared" si="4"/>
        <v>{{ effective_detection_distance_tl }}</v>
      </c>
      <c r="N126" t="s">
        <v>896</v>
      </c>
      <c r="O126" s="13" t="s">
        <v>1816</v>
      </c>
      <c r="P126" t="s">
        <v>4582</v>
      </c>
      <c r="Q126" t="str">
        <f t="shared" si="5"/>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6" t="b" cm="1">
        <f t="array" ref="R126">SUMPRODUCT(--EXACT($J$2:$J$490,J126))&gt;1</f>
        <v>0</v>
      </c>
      <c r="S126" t="s">
        <v>4801</v>
      </c>
    </row>
    <row r="127" spans="1:19">
      <c r="A127" s="30">
        <v>3</v>
      </c>
      <c r="B127" s="30" t="s">
        <v>1393</v>
      </c>
      <c r="C127" s="30"/>
      <c r="D127" s="30" t="s">
        <v>1208</v>
      </c>
      <c r="E127" s="30" t="s">
        <v>984</v>
      </c>
      <c r="F127" s="30" t="s">
        <v>193</v>
      </c>
      <c r="G127" s="39" t="str">
        <f>VLOOKUP(F127,glossary!J:N,2,FALSE)</f>
        <v>Effective detection distance</v>
      </c>
      <c r="H127" s="34" t="s">
        <v>193</v>
      </c>
      <c r="I127" s="45" t="str">
        <f t="shared" si="3"/>
        <v>effective_detection_distance_tu</v>
      </c>
      <c r="J127" s="42" t="s">
        <v>195</v>
      </c>
      <c r="K127" s="39" t="str">
        <f>VLOOKUP(F127,glossary!J:N,5,FALSE)</f>
        <v>The distance from a camera that would give the same number of detections if all animals up to that distance are perfectly detected, and no animals that are farther away are detected; Buckland, 1987, Becker et al., 2022).</v>
      </c>
      <c r="L127" t="s">
        <v>1637</v>
      </c>
      <c r="M127" s="30" t="str">
        <f t="shared" si="4"/>
        <v>{{ effective_detection_distance_tu }}</v>
      </c>
      <c r="N127" t="s">
        <v>896</v>
      </c>
      <c r="O127" s="13" t="s">
        <v>1816</v>
      </c>
      <c r="P127" t="s">
        <v>4582</v>
      </c>
      <c r="Q127" t="str">
        <f t="shared" si="5"/>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7" t="b" cm="1">
        <f t="array" ref="R127">SUMPRODUCT(--EXACT($J$2:$J$490,J127))&gt;1</f>
        <v>0</v>
      </c>
      <c r="S127" t="s">
        <v>4802</v>
      </c>
    </row>
    <row r="128" spans="1:19">
      <c r="A128" s="30">
        <v>3</v>
      </c>
      <c r="B128" s="30" t="s">
        <v>1393</v>
      </c>
      <c r="C128" s="30"/>
      <c r="D128" s="30" t="s">
        <v>1208</v>
      </c>
      <c r="E128" s="30" t="s">
        <v>984</v>
      </c>
      <c r="F128" s="30" t="s">
        <v>288</v>
      </c>
      <c r="G128" s="39" t="str">
        <f>VLOOKUP(F128,glossary!J:N,2,FALSE)</f>
        <v>Event Type</v>
      </c>
      <c r="H128" s="34" t="s">
        <v>288</v>
      </c>
      <c r="I128" s="45" t="str">
        <f t="shared" si="3"/>
        <v>event_type_tu</v>
      </c>
      <c r="J128" s="42" t="s">
        <v>695</v>
      </c>
      <c r="K128" s="39" t="str">
        <f>VLOOKUP(F128,glossary!J:N,5,FALSE)</f>
        <v>Whether detections were reported as an individual image captured by the camera ('Image'), a 'Sequence,' or 'Tag.'</v>
      </c>
      <c r="L128" t="s">
        <v>1636</v>
      </c>
      <c r="M128" s="30" t="str">
        <f t="shared" si="4"/>
        <v>{{ event_type_tu }}</v>
      </c>
      <c r="N128" t="s">
        <v>896</v>
      </c>
      <c r="O128" s="13" t="s">
        <v>1816</v>
      </c>
      <c r="P128" t="s">
        <v>4582</v>
      </c>
      <c r="Q128" t="str">
        <f t="shared" si="5"/>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28" t="b" cm="1">
        <f t="array" ref="R128">SUMPRODUCT(--EXACT($J$2:$J$490,J128))&gt;1</f>
        <v>0</v>
      </c>
      <c r="S128" t="s">
        <v>4803</v>
      </c>
    </row>
    <row r="129" spans="1:19">
      <c r="A129" s="30">
        <v>3</v>
      </c>
      <c r="B129" s="30" t="s">
        <v>1393</v>
      </c>
      <c r="C129" s="30"/>
      <c r="D129" s="30" t="s">
        <v>1207</v>
      </c>
      <c r="E129" s="30" t="s">
        <v>984</v>
      </c>
      <c r="F129" s="30" t="s">
        <v>190</v>
      </c>
      <c r="G129" s="39" t="str">
        <f>VLOOKUP(F129,glossary!J:N,2,FALSE)</f>
        <v>False trigger</v>
      </c>
      <c r="H129" s="34" t="s">
        <v>190</v>
      </c>
      <c r="I129" s="45" t="str">
        <f t="shared" si="3"/>
        <v>false_trigger_tl</v>
      </c>
      <c r="J129" s="43" t="s">
        <v>920</v>
      </c>
      <c r="K129" s="39" t="str">
        <f>VLOOKUP(F129,glossary!J:N,5,FALSE)</f>
        <v>Blank images (no wildlife or human present). These images commonly occur when a camera is triggered by vegetation blowing in the wind.</v>
      </c>
      <c r="L129" t="s">
        <v>1635</v>
      </c>
      <c r="M129" s="30" t="str">
        <f t="shared" si="4"/>
        <v>{{ false_trigger_tl }}</v>
      </c>
      <c r="N129" t="s">
        <v>896</v>
      </c>
      <c r="O129" s="13" t="s">
        <v>1816</v>
      </c>
      <c r="P129" t="s">
        <v>4582</v>
      </c>
      <c r="Q129" t="str">
        <f t="shared" si="5"/>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29" t="b" cm="1">
        <f t="array" ref="R129">SUMPRODUCT(--EXACT($J$2:$J$490,J129))&gt;1</f>
        <v>0</v>
      </c>
      <c r="S129" t="s">
        <v>4804</v>
      </c>
    </row>
    <row r="130" spans="1:19">
      <c r="A130" s="30">
        <v>1</v>
      </c>
      <c r="B130" s="30" t="s">
        <v>1064</v>
      </c>
      <c r="C130" s="30" t="s">
        <v>0</v>
      </c>
      <c r="D130" s="30" t="s">
        <v>1207</v>
      </c>
      <c r="E130" s="30" t="s">
        <v>1758</v>
      </c>
      <c r="F130" s="30" t="s">
        <v>190</v>
      </c>
      <c r="G130" s="39" t="str">
        <f>VLOOKUP(F130,glossary!J:N,2,FALSE)</f>
        <v>False trigger</v>
      </c>
      <c r="H130" s="30" t="s">
        <v>190</v>
      </c>
      <c r="I130" s="45" t="str">
        <f t="shared" ref="I130:I193" si="6">IF(D130="-","-",IF(E130&lt;&gt;"-",(H130&amp;"_"&amp;D130&amp;"_"&amp;E130),H130&amp;"_"&amp;D130))</f>
        <v>false_trigger_tl_pl</v>
      </c>
      <c r="J130" s="39" t="s">
        <v>1179</v>
      </c>
      <c r="K130" s="39" t="str">
        <f>VLOOKUP(F130,glossary!J:N,5,FALSE)</f>
        <v>Blank images (no wildlife or human present). These images commonly occur when a camera is triggered by vegetation blowing in the wind.</v>
      </c>
      <c r="L130" s="30" t="s">
        <v>1120</v>
      </c>
      <c r="M130" s="30" t="str">
        <f t="shared" ref="M130:M193" si="7">"{{ "&amp;I130&amp;" }}"</f>
        <v>{{ false_trigger_tl_pl }}</v>
      </c>
      <c r="N130" t="s">
        <v>896</v>
      </c>
      <c r="O130" s="13" t="s">
        <v>1816</v>
      </c>
      <c r="P130" t="s">
        <v>4582</v>
      </c>
      <c r="Q130" t="str">
        <f t="shared" ref="Q130:Q193" si="8">IF(K130&lt;&gt;"-",("    "&amp;I130&amp;": "&amp;""""&amp;"&lt;a href=\"&amp;""""&amp;"09_glossary.html#"&amp;H130&amp;N130&amp;G130&amp;": "&amp;K130&amp;O130&amp;J130&amp;P130&amp;""""),"-")</f>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0" t="b" cm="1">
        <f t="array" ref="R130">SUMPRODUCT(--EXACT($J$2:$J$490,J130))&gt;1</f>
        <v>0</v>
      </c>
      <c r="S130" t="s">
        <v>4805</v>
      </c>
    </row>
    <row r="131" spans="1:19">
      <c r="A131" s="30">
        <v>3</v>
      </c>
      <c r="B131" s="30" t="s">
        <v>1393</v>
      </c>
      <c r="C131" s="30"/>
      <c r="D131" s="30" t="s">
        <v>1208</v>
      </c>
      <c r="E131" s="30" t="s">
        <v>984</v>
      </c>
      <c r="F131" s="30" t="s">
        <v>190</v>
      </c>
      <c r="G131" s="39" t="str">
        <f>VLOOKUP(F131,glossary!J:N,2,FALSE)</f>
        <v>False trigger</v>
      </c>
      <c r="H131" s="34" t="s">
        <v>190</v>
      </c>
      <c r="I131" s="45" t="str">
        <f t="shared" si="6"/>
        <v>false_trigger_tu</v>
      </c>
      <c r="J131" s="42" t="s">
        <v>192</v>
      </c>
      <c r="K131" s="39" t="str">
        <f>VLOOKUP(F131,glossary!J:N,5,FALSE)</f>
        <v>Blank images (no wildlife or human present). These images commonly occur when a camera is triggered by vegetation blowing in the wind.</v>
      </c>
      <c r="L131" t="s">
        <v>1634</v>
      </c>
      <c r="M131" s="30" t="str">
        <f t="shared" si="7"/>
        <v>{{ false_trigger_tu }}</v>
      </c>
      <c r="N131" t="s">
        <v>896</v>
      </c>
      <c r="O131" s="13" t="s">
        <v>1816</v>
      </c>
      <c r="P131" t="s">
        <v>4582</v>
      </c>
      <c r="Q131"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1" t="b" cm="1">
        <f t="array" ref="R131">SUMPRODUCT(--EXACT($J$2:$J$490,J131))&gt;1</f>
        <v>0</v>
      </c>
      <c r="S131" t="s">
        <v>4806</v>
      </c>
    </row>
    <row r="132" spans="1:19">
      <c r="A132" s="30">
        <v>1</v>
      </c>
      <c r="B132" s="30" t="s">
        <v>1064</v>
      </c>
      <c r="C132" s="30" t="s">
        <v>0</v>
      </c>
      <c r="D132" s="30" t="s">
        <v>1208</v>
      </c>
      <c r="E132" s="30" t="s">
        <v>1758</v>
      </c>
      <c r="F132" s="30" t="s">
        <v>190</v>
      </c>
      <c r="G132" s="39" t="str">
        <f>VLOOKUP(F132,glossary!J:N,2,FALSE)</f>
        <v>False trigger</v>
      </c>
      <c r="H132" s="30" t="s">
        <v>190</v>
      </c>
      <c r="I132" s="45" t="str">
        <f t="shared" si="6"/>
        <v>false_trigger_tu_pl</v>
      </c>
      <c r="J132" s="39" t="s">
        <v>1164</v>
      </c>
      <c r="K132" s="39" t="str">
        <f>VLOOKUP(F132,glossary!J:N,5,FALSE)</f>
        <v>Blank images (no wildlife or human present). These images commonly occur when a camera is triggered by vegetation blowing in the wind.</v>
      </c>
      <c r="L132" s="30" t="s">
        <v>1103</v>
      </c>
      <c r="M132" s="30" t="str">
        <f t="shared" si="7"/>
        <v>{{ false_trigger_tu_pl }}</v>
      </c>
      <c r="N132" t="s">
        <v>896</v>
      </c>
      <c r="O132" s="13" t="s">
        <v>1816</v>
      </c>
      <c r="P132" t="s">
        <v>4582</v>
      </c>
      <c r="Q132"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2" t="b" cm="1">
        <f t="array" ref="R132">SUMPRODUCT(--EXACT($J$2:$J$490,J132))&gt;1</f>
        <v>0</v>
      </c>
      <c r="S132" t="s">
        <v>4807</v>
      </c>
    </row>
    <row r="133" spans="1:19">
      <c r="A133" s="30">
        <v>3</v>
      </c>
      <c r="B133" s="30" t="s">
        <v>1393</v>
      </c>
      <c r="C133" s="30"/>
      <c r="D133" s="30" t="s">
        <v>1208</v>
      </c>
      <c r="E133" s="30" t="s">
        <v>984</v>
      </c>
      <c r="F133" s="30" t="s">
        <v>188</v>
      </c>
      <c r="G133" s="39" t="str">
        <f>VLOOKUP(F133,glossary!J:N,2,FALSE)</f>
        <v>Field of View (FOV)</v>
      </c>
      <c r="H133" s="34" t="s">
        <v>188</v>
      </c>
      <c r="I133" s="45" t="str">
        <f t="shared" si="6"/>
        <v>field_of_view_tu</v>
      </c>
      <c r="J133" s="42" t="s">
        <v>189</v>
      </c>
      <c r="K133" s="39" t="str">
        <f>VLOOKUP(F133,glossary!J:N,5,FALSE)</f>
        <v>The extent of a scene that is visible in an image; a large FOV is obtained by 'zooming out' from a scene, whilst 'zooming in' will result in a smaller FOV (Wearn &amp; Glover-Kapfer, 2017).</v>
      </c>
      <c r="L133" t="s">
        <v>1633</v>
      </c>
      <c r="M133" s="30" t="str">
        <f t="shared" si="7"/>
        <v>{{ field_of_view_tu }}</v>
      </c>
      <c r="N133" t="s">
        <v>896</v>
      </c>
      <c r="O133" s="13" t="s">
        <v>1816</v>
      </c>
      <c r="P133" t="s">
        <v>4582</v>
      </c>
      <c r="Q133"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33" t="b" cm="1">
        <f t="array" ref="R133">SUMPRODUCT(--EXACT($J$2:$J$490,J133))&gt;1</f>
        <v>0</v>
      </c>
      <c r="S133" t="s">
        <v>4808</v>
      </c>
    </row>
    <row r="134" spans="1:19">
      <c r="A134" s="30">
        <v>1</v>
      </c>
      <c r="B134" s="30" t="s">
        <v>1064</v>
      </c>
      <c r="C134" s="30" t="s">
        <v>0</v>
      </c>
      <c r="D134" s="30" t="s">
        <v>1208</v>
      </c>
      <c r="E134" s="30" t="s">
        <v>1752</v>
      </c>
      <c r="F134" s="30" t="s">
        <v>188</v>
      </c>
      <c r="G134" s="39" t="str">
        <f>VLOOKUP(F134,glossary!J:N,2,FALSE)</f>
        <v>Field of View (FOV)</v>
      </c>
      <c r="H134" s="30" t="s">
        <v>188</v>
      </c>
      <c r="I134" s="45" t="str">
        <f t="shared" si="6"/>
        <v>field_of_view_tu_abrv</v>
      </c>
      <c r="J134" s="39" t="s">
        <v>1161</v>
      </c>
      <c r="K134" s="39" t="str">
        <f>VLOOKUP(F134,glossary!J:N,5,FALSE)</f>
        <v>The extent of a scene that is visible in an image; a large FOV is obtained by 'zooming out' from a scene, whilst 'zooming in' will result in a smaller FOV (Wearn &amp; Glover-Kapfer, 2017).</v>
      </c>
      <c r="L134" s="30" t="s">
        <v>1102</v>
      </c>
      <c r="M134" s="30" t="str">
        <f t="shared" si="7"/>
        <v>{{ field_of_view_tu_abrv }}</v>
      </c>
      <c r="N134" t="s">
        <v>896</v>
      </c>
      <c r="O134" s="13" t="s">
        <v>1816</v>
      </c>
      <c r="P134" t="s">
        <v>4582</v>
      </c>
      <c r="Q134"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34" t="b" cm="1">
        <f t="array" ref="R134">SUMPRODUCT(--EXACT($J$2:$J$490,J134))&gt;1</f>
        <v>0</v>
      </c>
      <c r="S134" t="s">
        <v>4809</v>
      </c>
    </row>
    <row r="135" spans="1:19">
      <c r="A135" s="30">
        <v>3</v>
      </c>
      <c r="B135" s="30" t="s">
        <v>1393</v>
      </c>
      <c r="C135" s="30"/>
      <c r="D135" s="30" t="s">
        <v>1207</v>
      </c>
      <c r="E135" s="30" t="s">
        <v>984</v>
      </c>
      <c r="F135" s="30" t="s">
        <v>126</v>
      </c>
      <c r="G135" s="39" t="str">
        <f>VLOOKUP(F135,glossary!J:N,2,FALSE)</f>
        <v>Registration area</v>
      </c>
      <c r="H135" s="34" t="s">
        <v>126</v>
      </c>
      <c r="I135" s="45" t="str">
        <f t="shared" si="6"/>
        <v>fov_registration_area_tl</v>
      </c>
      <c r="J135" s="43" t="s">
        <v>945</v>
      </c>
      <c r="K135" s="39" t="str">
        <f>VLOOKUP(F135,glossary!J:N,5,FALSE)</f>
        <v>The area in which an animal entering has at least some probability of being captured on the image.</v>
      </c>
      <c r="L135" t="s">
        <v>1632</v>
      </c>
      <c r="M135" s="30" t="str">
        <f t="shared" si="7"/>
        <v>{{ fov_registration_area_tl }}</v>
      </c>
      <c r="N135" t="s">
        <v>896</v>
      </c>
      <c r="O135" s="13" t="s">
        <v>1816</v>
      </c>
      <c r="P135" t="s">
        <v>4582</v>
      </c>
      <c r="Q135" t="str">
        <f t="shared" si="8"/>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5" t="b" cm="1">
        <f t="array" ref="R135">SUMPRODUCT(--EXACT($J$2:$J$490,J135))&gt;1</f>
        <v>0</v>
      </c>
      <c r="S135" t="s">
        <v>4810</v>
      </c>
    </row>
    <row r="136" spans="1:19">
      <c r="A136" s="30">
        <v>3</v>
      </c>
      <c r="B136" s="30" t="s">
        <v>1393</v>
      </c>
      <c r="C136" s="30"/>
      <c r="D136" s="30" t="s">
        <v>1208</v>
      </c>
      <c r="E136" s="30" t="s">
        <v>984</v>
      </c>
      <c r="F136" s="30" t="s">
        <v>126</v>
      </c>
      <c r="G136" s="39" t="str">
        <f>VLOOKUP(F136,glossary!J:N,2,FALSE)</f>
        <v>Registration area</v>
      </c>
      <c r="H136" s="34" t="s">
        <v>126</v>
      </c>
      <c r="I136" s="45" t="str">
        <f t="shared" si="6"/>
        <v>fov_registration_area_tu</v>
      </c>
      <c r="J136" s="42" t="s">
        <v>128</v>
      </c>
      <c r="K136" s="39" t="str">
        <f>VLOOKUP(F136,glossary!J:N,5,FALSE)</f>
        <v>The area in which an animal entering has at least some probability of being captured on the image.</v>
      </c>
      <c r="L136" t="s">
        <v>1631</v>
      </c>
      <c r="M136" s="30" t="str">
        <f t="shared" si="7"/>
        <v>{{ fov_registration_area_tu }}</v>
      </c>
      <c r="N136" t="s">
        <v>896</v>
      </c>
      <c r="O136" s="13" t="s">
        <v>1816</v>
      </c>
      <c r="P136" t="s">
        <v>4582</v>
      </c>
      <c r="Q136" t="str">
        <f t="shared" si="8"/>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6" t="b" cm="1">
        <f t="array" ref="R136">SUMPRODUCT(--EXACT($J$2:$J$490,J136))&gt;1</f>
        <v>0</v>
      </c>
      <c r="S136" t="s">
        <v>4811</v>
      </c>
    </row>
    <row r="137" spans="1:19">
      <c r="A137" s="30">
        <v>3</v>
      </c>
      <c r="B137" s="30" t="s">
        <v>1393</v>
      </c>
      <c r="C137" s="30"/>
      <c r="D137" s="30" t="s">
        <v>1208</v>
      </c>
      <c r="E137" s="30" t="s">
        <v>984</v>
      </c>
      <c r="F137" s="30" t="s">
        <v>286</v>
      </c>
      <c r="G137" s="39" t="str">
        <f>VLOOKUP(F137,glossary!J:N,2,FALSE)</f>
        <v>FOV Target Feature</v>
      </c>
      <c r="H137" s="34" t="s">
        <v>286</v>
      </c>
      <c r="I137" s="45" t="str">
        <f t="shared" si="6"/>
        <v>fov_target_tu</v>
      </c>
      <c r="J137" s="42" t="s">
        <v>696</v>
      </c>
      <c r="K137" s="39" t="str">
        <f>VLOOKUP(F137,glossary!J:N,5,FALSE)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37" t="s">
        <v>1630</v>
      </c>
      <c r="M137" s="30" t="str">
        <f t="shared" si="7"/>
        <v>{{ fov_target_tu }}</v>
      </c>
      <c r="N137" t="s">
        <v>896</v>
      </c>
      <c r="O137" s="13" t="s">
        <v>1816</v>
      </c>
      <c r="P137" t="s">
        <v>4582</v>
      </c>
      <c r="Q137"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37" t="b" cm="1">
        <f t="array" ref="R137">SUMPRODUCT(--EXACT($J$2:$J$490,J137))&gt;1</f>
        <v>0</v>
      </c>
      <c r="S137" t="s">
        <v>4812</v>
      </c>
    </row>
    <row r="138" spans="1:19">
      <c r="A138" s="30">
        <v>1</v>
      </c>
      <c r="B138" s="30" t="s">
        <v>1064</v>
      </c>
      <c r="C138" s="30" t="s">
        <v>0</v>
      </c>
      <c r="D138" s="30" t="s">
        <v>1208</v>
      </c>
      <c r="E138" s="30" t="s">
        <v>1757</v>
      </c>
      <c r="F138" s="30" t="s">
        <v>328</v>
      </c>
      <c r="G138" s="39" t="str">
        <f>VLOOKUP(F138,glossary!J:N,2,FALSE)</f>
        <v>FOV Target Feature Distance (m)</v>
      </c>
      <c r="H138" s="30" t="s">
        <v>328</v>
      </c>
      <c r="I138" s="45" t="str">
        <f t="shared" si="6"/>
        <v>fov_target_distance_tu_nu</v>
      </c>
      <c r="J138" s="39" t="s">
        <v>1080</v>
      </c>
      <c r="K138" s="39" t="str">
        <f>VLOOKUP(F138,glossary!J:N,5,FALSE)</f>
        <v>The distance from the camera to the FOV Target Feature (in metres; to the nearest 0.5 m). Leave blank if not applicable.</v>
      </c>
      <c r="L138" s="30" t="s">
        <v>1091</v>
      </c>
      <c r="M138" s="30" t="str">
        <f t="shared" si="7"/>
        <v>{{ fov_target_distance_tu_nu }}</v>
      </c>
      <c r="N138" t="s">
        <v>896</v>
      </c>
      <c r="O138" s="13" t="s">
        <v>1816</v>
      </c>
      <c r="P138" t="s">
        <v>4582</v>
      </c>
      <c r="Q138"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38" t="b" cm="1">
        <f t="array" ref="R138">SUMPRODUCT(--EXACT($J$2:$J$490,J138))&gt;1</f>
        <v>0</v>
      </c>
      <c r="S138" t="s">
        <v>4813</v>
      </c>
    </row>
    <row r="139" spans="1:19">
      <c r="A139" s="30">
        <v>3</v>
      </c>
      <c r="B139" s="30" t="s">
        <v>1393</v>
      </c>
      <c r="C139" s="30"/>
      <c r="D139" s="30" t="s">
        <v>1208</v>
      </c>
      <c r="E139" s="30" t="s">
        <v>1751</v>
      </c>
      <c r="F139" s="30" t="s">
        <v>328</v>
      </c>
      <c r="G139" s="39" t="str">
        <f>VLOOKUP(F139,glossary!J:N,2,FALSE)</f>
        <v>FOV Target Feature Distance (m)</v>
      </c>
      <c r="H139" s="34" t="s">
        <v>328</v>
      </c>
      <c r="I139" s="45" t="str">
        <f t="shared" si="6"/>
        <v>fov_target_distance_tu_u</v>
      </c>
      <c r="J139" s="42" t="s">
        <v>744</v>
      </c>
      <c r="K139" s="39" t="str">
        <f>VLOOKUP(F139,glossary!J:N,5,FALSE)</f>
        <v>The distance from the camera to the FOV Target Feature (in metres; to the nearest 0.5 m). Leave blank if not applicable.</v>
      </c>
      <c r="L139" t="s">
        <v>1629</v>
      </c>
      <c r="M139" s="30" t="str">
        <f t="shared" si="7"/>
        <v>{{ fov_target_distance_tu_u }}</v>
      </c>
      <c r="N139" t="s">
        <v>896</v>
      </c>
      <c r="O139" s="13" t="s">
        <v>1816</v>
      </c>
      <c r="P139" t="s">
        <v>4582</v>
      </c>
      <c r="Q139"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39" t="b" cm="1">
        <f t="array" ref="R139">SUMPRODUCT(--EXACT($J$2:$J$490,J139))&gt;1</f>
        <v>0</v>
      </c>
      <c r="S139" t="s">
        <v>4814</v>
      </c>
    </row>
    <row r="140" spans="1:19">
      <c r="A140" s="30">
        <v>2</v>
      </c>
      <c r="B140" s="30" t="s">
        <v>1400</v>
      </c>
      <c r="C140" s="30"/>
      <c r="D140" s="30" t="s">
        <v>1207</v>
      </c>
      <c r="E140" s="30" t="s">
        <v>984</v>
      </c>
      <c r="F140" s="30" t="s">
        <v>66</v>
      </c>
      <c r="G140" s="39" t="str">
        <f>VLOOKUP(F140,glossary!J:N,2,FALSE)</f>
        <v>Viewshed</v>
      </c>
      <c r="H140" s="30" t="s">
        <v>66</v>
      </c>
      <c r="I140" s="45" t="str">
        <f t="shared" si="6"/>
        <v>fov_viewshed_tl</v>
      </c>
      <c r="J140" s="39" t="s">
        <v>791</v>
      </c>
      <c r="K140" s="39" t="str">
        <f>VLOOKUP(F140,glossary!J:N,5,FALSE)</f>
        <v>The area visible to the camera as determined by its lens angle (in degrees) and trigger distance (Moeller et al., 2023).</v>
      </c>
      <c r="L140" s="30" t="s">
        <v>1628</v>
      </c>
      <c r="M140" s="30" t="str">
        <f t="shared" si="7"/>
        <v>{{ fov_viewshed_tl }}</v>
      </c>
      <c r="N140" t="s">
        <v>896</v>
      </c>
      <c r="O140" s="13" t="s">
        <v>1816</v>
      </c>
      <c r="P140" t="s">
        <v>4582</v>
      </c>
      <c r="Q140" t="str">
        <f t="shared" si="8"/>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0" t="b" cm="1">
        <f t="array" ref="R140">SUMPRODUCT(--EXACT($J$2:$J$490,J140))&gt;1</f>
        <v>0</v>
      </c>
      <c r="S140" t="s">
        <v>4815</v>
      </c>
    </row>
    <row r="141" spans="1:19">
      <c r="A141" s="30">
        <v>2</v>
      </c>
      <c r="B141" s="30" t="s">
        <v>1400</v>
      </c>
      <c r="C141" s="30"/>
      <c r="D141" s="30" t="s">
        <v>1208</v>
      </c>
      <c r="E141" s="30" t="s">
        <v>984</v>
      </c>
      <c r="F141" s="30" t="s">
        <v>66</v>
      </c>
      <c r="G141" s="39" t="str">
        <f>VLOOKUP(F141,glossary!J:N,2,FALSE)</f>
        <v>Viewshed</v>
      </c>
      <c r="H141" s="30" t="s">
        <v>66</v>
      </c>
      <c r="I141" s="45" t="str">
        <f t="shared" si="6"/>
        <v>fov_viewshed_tu</v>
      </c>
      <c r="J141" s="39" t="s">
        <v>68</v>
      </c>
      <c r="K141" s="39" t="str">
        <f>VLOOKUP(F141,glossary!J:N,5,FALSE)</f>
        <v>The area visible to the camera as determined by its lens angle (in degrees) and trigger distance (Moeller et al., 2023).</v>
      </c>
      <c r="L141" s="30" t="s">
        <v>1627</v>
      </c>
      <c r="M141" s="30" t="str">
        <f t="shared" si="7"/>
        <v>{{ fov_viewshed_tu }}</v>
      </c>
      <c r="N141" t="s">
        <v>896</v>
      </c>
      <c r="O141" s="13" t="s">
        <v>1816</v>
      </c>
      <c r="P141" t="s">
        <v>4582</v>
      </c>
      <c r="Q141" t="str">
        <f t="shared" si="8"/>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1" t="b" cm="1">
        <f t="array" ref="R141">SUMPRODUCT(--EXACT($J$2:$J$490,J141))&gt;1</f>
        <v>0</v>
      </c>
      <c r="S141" t="s">
        <v>4816</v>
      </c>
    </row>
    <row r="142" spans="1:19">
      <c r="A142" s="30">
        <v>3</v>
      </c>
      <c r="B142" s="30" t="s">
        <v>1393</v>
      </c>
      <c r="C142" s="30"/>
      <c r="D142" s="30" t="s">
        <v>1207</v>
      </c>
      <c r="E142" s="30" t="s">
        <v>1758</v>
      </c>
      <c r="F142" s="30" t="s">
        <v>521</v>
      </c>
      <c r="G142" s="39" t="str">
        <f>VLOOKUP(F142,glossary!J:N,2,FALSE)</f>
        <v>Viewshed density estimators</v>
      </c>
      <c r="H142" s="34" t="s">
        <v>521</v>
      </c>
      <c r="I142" s="45" t="str">
        <f t="shared" si="6"/>
        <v>fov_viewshed_density_estimators_tl_pl</v>
      </c>
      <c r="J142" s="43" t="s">
        <v>967</v>
      </c>
      <c r="K142" s="39" t="str">
        <f>VLOOKUP(F142,glossary!J:N,5,FALSE)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2" t="s">
        <v>1626</v>
      </c>
      <c r="M142" s="30" t="str">
        <f t="shared" si="7"/>
        <v>{{ fov_viewshed_density_estimators_tl_pl }}</v>
      </c>
      <c r="N142" t="s">
        <v>896</v>
      </c>
      <c r="O142" s="13" t="s">
        <v>1816</v>
      </c>
      <c r="P142" t="s">
        <v>4582</v>
      </c>
      <c r="Q142" t="str">
        <f t="shared" si="8"/>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2" t="b" cm="1">
        <f t="array" ref="R142">SUMPRODUCT(--EXACT($J$2:$J$490,J142))&gt;1</f>
        <v>0</v>
      </c>
      <c r="S142" t="s">
        <v>4817</v>
      </c>
    </row>
    <row r="143" spans="1:19">
      <c r="A143" s="30">
        <v>3</v>
      </c>
      <c r="B143" s="30" t="s">
        <v>1393</v>
      </c>
      <c r="C143" s="30"/>
      <c r="D143" s="30" t="s">
        <v>1208</v>
      </c>
      <c r="E143" s="30" t="s">
        <v>1758</v>
      </c>
      <c r="F143" s="30" t="s">
        <v>521</v>
      </c>
      <c r="G143" s="39" t="str">
        <f>VLOOKUP(F143,glossary!J:N,2,FALSE)</f>
        <v>Viewshed density estimators</v>
      </c>
      <c r="H143" s="34" t="s">
        <v>521</v>
      </c>
      <c r="I143" s="45" t="str">
        <f t="shared" si="6"/>
        <v>fov_viewshed_density_estimators_tu_pl</v>
      </c>
      <c r="J143" s="42" t="s">
        <v>522</v>
      </c>
      <c r="K143" s="39" t="str">
        <f>VLOOKUP(F143,glossary!J:N,5,FALSE)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3" t="s">
        <v>1625</v>
      </c>
      <c r="M143" s="30" t="str">
        <f t="shared" si="7"/>
        <v>{{ fov_viewshed_density_estimators_tu_pl }}</v>
      </c>
      <c r="N143" t="s">
        <v>896</v>
      </c>
      <c r="O143" s="13" t="s">
        <v>1816</v>
      </c>
      <c r="P143" t="s">
        <v>4582</v>
      </c>
      <c r="Q143" t="str">
        <f t="shared" si="8"/>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3" t="b" cm="1">
        <f t="array" ref="R143">SUMPRODUCT(--EXACT($J$2:$J$490,J143))&gt;1</f>
        <v>0</v>
      </c>
      <c r="S143" t="s">
        <v>4818</v>
      </c>
    </row>
    <row r="144" spans="1:19">
      <c r="A144" s="30">
        <v>1</v>
      </c>
      <c r="B144" s="30" t="s">
        <v>1064</v>
      </c>
      <c r="C144" s="30" t="s">
        <v>0</v>
      </c>
      <c r="D144" s="30" t="s">
        <v>1208</v>
      </c>
      <c r="E144" s="30" t="s">
        <v>1757</v>
      </c>
      <c r="F144" s="30" t="s">
        <v>285</v>
      </c>
      <c r="G144" s="39" t="str">
        <f>VLOOKUP(F144,glossary!J:N,2,FALSE)</f>
        <v xml:space="preserve">GPS Unit Accuracy (m) </v>
      </c>
      <c r="H144" s="30" t="s">
        <v>285</v>
      </c>
      <c r="I144" s="45" t="str">
        <f t="shared" si="6"/>
        <v>gps_unit_accuracy_tu_nu</v>
      </c>
      <c r="J144" s="39" t="s">
        <v>1079</v>
      </c>
      <c r="K144" s="39" t="str">
        <f>VLOOKUP(F144,glossary!J:N,5,FALSE)</f>
        <v xml:space="preserve">The margin of error of the GPS unit used to record spatial information (e.g., '5' [m]), such as the coordinates of the camera location. On most GPS units (e.g., 'Garmin') this information is provided on the unit’s satellite information page. </v>
      </c>
      <c r="L144" s="30" t="s">
        <v>1092</v>
      </c>
      <c r="M144" s="30" t="str">
        <f t="shared" si="7"/>
        <v>{{ gps_unit_accuracy_tu_nu }}</v>
      </c>
      <c r="N144" t="s">
        <v>896</v>
      </c>
      <c r="O144" s="13" t="s">
        <v>1816</v>
      </c>
      <c r="P144" t="s">
        <v>4582</v>
      </c>
      <c r="Q14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44" t="b" cm="1">
        <f t="array" ref="R144">SUMPRODUCT(--EXACT($J$2:$J$490,J144))&gt;1</f>
        <v>0</v>
      </c>
      <c r="S144" t="s">
        <v>4819</v>
      </c>
    </row>
    <row r="145" spans="1:19">
      <c r="A145" s="30">
        <v>3</v>
      </c>
      <c r="B145" s="30" t="s">
        <v>1393</v>
      </c>
      <c r="C145" s="30"/>
      <c r="D145" s="30" t="s">
        <v>1208</v>
      </c>
      <c r="E145" s="30" t="s">
        <v>1751</v>
      </c>
      <c r="F145" s="30" t="s">
        <v>285</v>
      </c>
      <c r="G145" s="39" t="str">
        <f>VLOOKUP(F145,glossary!J:N,2,FALSE)</f>
        <v xml:space="preserve">GPS Unit Accuracy (m) </v>
      </c>
      <c r="H145" s="34" t="s">
        <v>285</v>
      </c>
      <c r="I145" s="45" t="str">
        <f t="shared" si="6"/>
        <v>gps_unit_accuracy_tu_u</v>
      </c>
      <c r="J145" s="42" t="s">
        <v>697</v>
      </c>
      <c r="K145" s="39" t="str">
        <f>VLOOKUP(F145,glossary!J:N,5,FALSE)</f>
        <v xml:space="preserve">The margin of error of the GPS unit used to record spatial information (e.g., '5' [m]), such as the coordinates of the camera location. On most GPS units (e.g., 'Garmin') this information is provided on the unit’s satellite information page. </v>
      </c>
      <c r="L145" t="s">
        <v>1624</v>
      </c>
      <c r="M145" s="30" t="str">
        <f t="shared" si="7"/>
        <v>{{ gps_unit_accuracy_tu_u }}</v>
      </c>
      <c r="N145" t="s">
        <v>896</v>
      </c>
      <c r="O145" s="13" t="s">
        <v>1816</v>
      </c>
      <c r="P145" t="s">
        <v>4582</v>
      </c>
      <c r="Q14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45" t="b" cm="1">
        <f t="array" ref="R145">SUMPRODUCT(--EXACT($J$2:$J$490,J145))&gt;1</f>
        <v>0</v>
      </c>
      <c r="S145" t="s">
        <v>4820</v>
      </c>
    </row>
    <row r="146" spans="1:19">
      <c r="B146" s="30" t="s">
        <v>768</v>
      </c>
      <c r="D146" s="30" t="s">
        <v>1207</v>
      </c>
      <c r="E146" s="30" t="s">
        <v>984</v>
      </c>
      <c r="F146" s="30" t="s">
        <v>4614</v>
      </c>
      <c r="G146" s="39" t="str">
        <f>VLOOKUP(F146,glossary!J:N,2,FALSE)</f>
        <v>Home range</v>
      </c>
      <c r="H146" s="30" t="s">
        <v>4614</v>
      </c>
      <c r="I146" s="45" t="str">
        <f t="shared" si="6"/>
        <v>hr_tl</v>
      </c>
      <c r="J146" s="30" t="s">
        <v>1807</v>
      </c>
      <c r="K146" s="39" t="str">
        <f>VLOOKUP(F146,glossary!J:N,5,FALSE)</f>
        <v>the area within which an animal normally lives and finds what it needs to survive and reproduce.</v>
      </c>
      <c r="L146" s="30" t="s">
        <v>984</v>
      </c>
      <c r="M146" s="30" t="str">
        <f t="shared" si="7"/>
        <v>{{ hr_tl }}</v>
      </c>
      <c r="N146" t="s">
        <v>896</v>
      </c>
      <c r="O146" s="13" t="s">
        <v>1816</v>
      </c>
      <c r="P146" t="s">
        <v>4582</v>
      </c>
      <c r="Q14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6" t="b" cm="1">
        <f t="array" ref="R146">SUMPRODUCT(--EXACT($J$2:$J$490,J146))&gt;1</f>
        <v>0</v>
      </c>
      <c r="S146" t="s">
        <v>4821</v>
      </c>
    </row>
    <row r="147" spans="1:19">
      <c r="B147" s="30" t="s">
        <v>768</v>
      </c>
      <c r="D147" s="30" t="s">
        <v>1207</v>
      </c>
      <c r="E147" s="30" t="s">
        <v>1758</v>
      </c>
      <c r="F147" s="30" t="s">
        <v>4614</v>
      </c>
      <c r="G147" s="39" t="str">
        <f>VLOOKUP(F147,glossary!J:N,2,FALSE)</f>
        <v>Home range</v>
      </c>
      <c r="H147" s="30" t="s">
        <v>4614</v>
      </c>
      <c r="I147" s="45" t="str">
        <f t="shared" si="6"/>
        <v>hr_tl_pl</v>
      </c>
      <c r="J147" s="30" t="s">
        <v>1814</v>
      </c>
      <c r="K147" s="39" t="str">
        <f>VLOOKUP(F147,glossary!J:N,5,FALSE)</f>
        <v>the area within which an animal normally lives and finds what it needs to survive and reproduce.</v>
      </c>
      <c r="L147" s="30" t="s">
        <v>984</v>
      </c>
      <c r="M147" s="30" t="str">
        <f t="shared" si="7"/>
        <v>{{ hr_tl_pl }}</v>
      </c>
      <c r="N147" t="s">
        <v>896</v>
      </c>
      <c r="O147" s="13" t="s">
        <v>1816</v>
      </c>
      <c r="P147" t="s">
        <v>4582</v>
      </c>
      <c r="Q14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7" t="b" cm="1">
        <f t="array" ref="R147">SUMPRODUCT(--EXACT($J$2:$J$490,J147))&gt;1</f>
        <v>0</v>
      </c>
      <c r="S147" t="s">
        <v>4822</v>
      </c>
    </row>
    <row r="148" spans="1:19">
      <c r="B148" s="30" t="s">
        <v>768</v>
      </c>
      <c r="D148" s="30" t="s">
        <v>1208</v>
      </c>
      <c r="E148" s="30" t="s">
        <v>984</v>
      </c>
      <c r="F148" s="30" t="s">
        <v>4614</v>
      </c>
      <c r="G148" s="39" t="str">
        <f>VLOOKUP(F148,glossary!J:N,2,FALSE)</f>
        <v>Home range</v>
      </c>
      <c r="H148" s="30" t="s">
        <v>4614</v>
      </c>
      <c r="I148" s="45" t="str">
        <f t="shared" si="6"/>
        <v>hr_tu</v>
      </c>
      <c r="J148" s="30" t="s">
        <v>669</v>
      </c>
      <c r="K148" s="39" t="str">
        <f>VLOOKUP(F148,glossary!J:N,5,FALSE)</f>
        <v>the area within which an animal normally lives and finds what it needs to survive and reproduce.</v>
      </c>
      <c r="L148" s="30" t="s">
        <v>984</v>
      </c>
      <c r="M148" s="30" t="str">
        <f t="shared" si="7"/>
        <v>{{ hr_tu }}</v>
      </c>
      <c r="N148" t="s">
        <v>896</v>
      </c>
      <c r="O148" s="13" t="s">
        <v>1816</v>
      </c>
      <c r="P148" t="s">
        <v>4582</v>
      </c>
      <c r="Q14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8" t="b" cm="1">
        <f t="array" ref="R148">SUMPRODUCT(--EXACT($J$2:$J$490,J148))&gt;1</f>
        <v>0</v>
      </c>
      <c r="S148" t="s">
        <v>4823</v>
      </c>
    </row>
    <row r="149" spans="1:19">
      <c r="B149" s="30" t="s">
        <v>768</v>
      </c>
      <c r="D149" s="30" t="s">
        <v>1208</v>
      </c>
      <c r="E149" s="30" t="s">
        <v>1758</v>
      </c>
      <c r="F149" s="30" t="s">
        <v>4614</v>
      </c>
      <c r="G149" s="39" t="str">
        <f>VLOOKUP(F149,glossary!J:N,2,FALSE)</f>
        <v>Home range</v>
      </c>
      <c r="H149" s="30" t="s">
        <v>4614</v>
      </c>
      <c r="I149" s="45" t="str">
        <f t="shared" si="6"/>
        <v>hr_tu_pl</v>
      </c>
      <c r="J149" s="30" t="s">
        <v>1370</v>
      </c>
      <c r="K149" s="39" t="str">
        <f>VLOOKUP(F149,glossary!J:N,5,FALSE)</f>
        <v>the area within which an animal normally lives and finds what it needs to survive and reproduce.</v>
      </c>
      <c r="L149" s="30" t="s">
        <v>984</v>
      </c>
      <c r="M149" s="30" t="str">
        <f t="shared" si="7"/>
        <v>{{ hr_tu_pl }}</v>
      </c>
      <c r="N149" t="s">
        <v>896</v>
      </c>
      <c r="O149" s="13" t="s">
        <v>1816</v>
      </c>
      <c r="P149" t="s">
        <v>4582</v>
      </c>
      <c r="Q14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9" t="b" cm="1">
        <f t="array" ref="R149">SUMPRODUCT(--EXACT($J$2:$J$490,J149))&gt;1</f>
        <v>0</v>
      </c>
      <c r="S149" t="s">
        <v>4824</v>
      </c>
    </row>
    <row r="150" spans="1:19">
      <c r="A150" s="30">
        <v>3</v>
      </c>
      <c r="B150" s="30" t="s">
        <v>1393</v>
      </c>
      <c r="C150" s="30"/>
      <c r="D150" s="30" t="s">
        <v>1208</v>
      </c>
      <c r="E150" s="30" t="s">
        <v>984</v>
      </c>
      <c r="F150" s="30" t="s">
        <v>327</v>
      </c>
      <c r="G150" s="39" t="str">
        <f>VLOOKUP(F150,glossary!J:N,2,FALSE)</f>
        <v>Human Transport Mode/Activity</v>
      </c>
      <c r="H150" s="34" t="s">
        <v>327</v>
      </c>
      <c r="I150" s="45" t="str">
        <f t="shared" si="6"/>
        <v>human_transport_mode_activity_tu</v>
      </c>
      <c r="J150" s="42" t="s">
        <v>745</v>
      </c>
      <c r="K150" s="39" t="str">
        <f>VLOOKUP(F150,glossary!J:N,5,FALSE)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50" t="s">
        <v>1623</v>
      </c>
      <c r="M150" s="30" t="str">
        <f t="shared" si="7"/>
        <v>{{ human_transport_mode_activity_tu }}</v>
      </c>
      <c r="N150" t="s">
        <v>896</v>
      </c>
      <c r="O150" s="13" t="s">
        <v>1816</v>
      </c>
      <c r="P150" t="s">
        <v>4582</v>
      </c>
      <c r="Q15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50" t="b" cm="1">
        <f t="array" ref="R150">SUMPRODUCT(--EXACT($J$2:$J$490,J150))&gt;1</f>
        <v>0</v>
      </c>
      <c r="S150" t="s">
        <v>4825</v>
      </c>
    </row>
    <row r="151" spans="1:19">
      <c r="A151" s="30">
        <v>2</v>
      </c>
      <c r="B151" s="30" t="s">
        <v>1400</v>
      </c>
      <c r="C151" s="30"/>
      <c r="D151" s="30" t="s">
        <v>1207</v>
      </c>
      <c r="E151" s="30" t="s">
        <v>984</v>
      </c>
      <c r="F151" s="30" t="s">
        <v>183</v>
      </c>
      <c r="G151" s="39" t="str">
        <f>VLOOKUP(F151,glossary!J:N,2,FALSE)</f>
        <v>Image</v>
      </c>
      <c r="H151" s="30" t="s">
        <v>183</v>
      </c>
      <c r="I151" s="45" t="str">
        <f t="shared" si="6"/>
        <v>image_tl</v>
      </c>
      <c r="J151" s="39" t="s">
        <v>183</v>
      </c>
      <c r="K151" s="39" t="str">
        <f>VLOOKUP(F151,glossary!J:N,5,FALSE)</f>
        <v>An individual image captured by a camera, which may be part of a multi-image sequence (recorded as 'Image Name').</v>
      </c>
      <c r="L151" s="30" t="s">
        <v>1622</v>
      </c>
      <c r="M151" s="30" t="str">
        <f t="shared" si="7"/>
        <v>{{ image_tl }}</v>
      </c>
      <c r="N151" t="s">
        <v>896</v>
      </c>
      <c r="O151" s="13" t="s">
        <v>1816</v>
      </c>
      <c r="P151" t="s">
        <v>4582</v>
      </c>
      <c r="Q151"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1" t="b" cm="1">
        <f t="array" ref="R151">SUMPRODUCT(--EXACT($J$2:$J$490,J151))&gt;1</f>
        <v>0</v>
      </c>
      <c r="S151" t="s">
        <v>4826</v>
      </c>
    </row>
    <row r="152" spans="1:19">
      <c r="A152" s="30">
        <v>2</v>
      </c>
      <c r="B152" s="30" t="s">
        <v>1400</v>
      </c>
      <c r="C152" s="30"/>
      <c r="D152" s="30" t="s">
        <v>1208</v>
      </c>
      <c r="E152" s="30" t="s">
        <v>984</v>
      </c>
      <c r="F152" s="30" t="s">
        <v>183</v>
      </c>
      <c r="G152" s="39" t="str">
        <f>VLOOKUP(F152,glossary!J:N,2,FALSE)</f>
        <v>Image</v>
      </c>
      <c r="H152" s="30" t="s">
        <v>183</v>
      </c>
      <c r="I152" s="45" t="str">
        <f t="shared" si="6"/>
        <v>image_tu</v>
      </c>
      <c r="J152" s="39" t="s">
        <v>184</v>
      </c>
      <c r="K152" s="39" t="str">
        <f>VLOOKUP(F152,glossary!J:N,5,FALSE)</f>
        <v>An individual image captured by a camera, which may be part of a multi-image sequence (recorded as 'Image Name').</v>
      </c>
      <c r="L152" s="30" t="s">
        <v>1621</v>
      </c>
      <c r="M152" s="30" t="str">
        <f t="shared" si="7"/>
        <v>{{ image_tu }}</v>
      </c>
      <c r="N152" t="s">
        <v>896</v>
      </c>
      <c r="O152" s="13" t="s">
        <v>1816</v>
      </c>
      <c r="P152" t="s">
        <v>4582</v>
      </c>
      <c r="Q152"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2" t="b" cm="1">
        <f t="array" ref="R152">SUMPRODUCT(--EXACT($J$2:$J$490,J152))&gt;1</f>
        <v>0</v>
      </c>
      <c r="S152" t="s">
        <v>4827</v>
      </c>
    </row>
    <row r="153" spans="1:19">
      <c r="A153" s="30">
        <v>3</v>
      </c>
      <c r="B153" s="30" t="s">
        <v>1393</v>
      </c>
      <c r="C153" s="30"/>
      <c r="D153" s="30" t="s">
        <v>1207</v>
      </c>
      <c r="E153" s="30" t="s">
        <v>984</v>
      </c>
      <c r="F153" s="30" t="s">
        <v>1251</v>
      </c>
      <c r="G153" s="39" t="str">
        <f>VLOOKUP(F153,glossary!J:N,2,FALSE)</f>
        <v>Image classification</v>
      </c>
      <c r="H153" s="34" t="s">
        <v>1251</v>
      </c>
      <c r="I153" s="45" t="str">
        <f t="shared" si="6"/>
        <v>img_classification_tl</v>
      </c>
      <c r="J153" s="43" t="s">
        <v>923</v>
      </c>
      <c r="K153" s="39" t="str">
        <f>VLOOKUP(F153,glossary!J:N,5,FALSE)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3" t="s">
        <v>1620</v>
      </c>
      <c r="M153" s="30" t="str">
        <f t="shared" si="7"/>
        <v>{{ img_classification_tl }}</v>
      </c>
      <c r="N153" t="s">
        <v>896</v>
      </c>
      <c r="O153" s="13" t="s">
        <v>1816</v>
      </c>
      <c r="P153" t="s">
        <v>4582</v>
      </c>
      <c r="Q153"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3" t="b" cm="1">
        <f t="array" ref="R153">SUMPRODUCT(--EXACT($J$2:$J$490,J153))&gt;1</f>
        <v>0</v>
      </c>
      <c r="S153" t="s">
        <v>4828</v>
      </c>
    </row>
    <row r="154" spans="1:19">
      <c r="A154" s="30">
        <v>3</v>
      </c>
      <c r="B154" s="30" t="s">
        <v>1393</v>
      </c>
      <c r="C154" s="30"/>
      <c r="D154" s="30" t="s">
        <v>1208</v>
      </c>
      <c r="E154" s="30" t="s">
        <v>984</v>
      </c>
      <c r="F154" s="30" t="s">
        <v>1251</v>
      </c>
      <c r="G154" s="39" t="str">
        <f>VLOOKUP(F154,glossary!J:N,2,FALSE)</f>
        <v>Image classification</v>
      </c>
      <c r="H154" s="34" t="s">
        <v>1251</v>
      </c>
      <c r="I154" s="45" t="str">
        <f t="shared" si="6"/>
        <v>img_classification_tu</v>
      </c>
      <c r="J154" s="42" t="s">
        <v>182</v>
      </c>
      <c r="K154" s="39" t="str">
        <f>VLOOKUP(F154,glossary!J:N,5,FALSE)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4" t="s">
        <v>1619</v>
      </c>
      <c r="M154" s="30" t="str">
        <f t="shared" si="7"/>
        <v>{{ img_classification_tu }}</v>
      </c>
      <c r="N154" t="s">
        <v>896</v>
      </c>
      <c r="O154" s="13" t="s">
        <v>1816</v>
      </c>
      <c r="P154" t="s">
        <v>4582</v>
      </c>
      <c r="Q154"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4" t="b" cm="1">
        <f t="array" ref="R154">SUMPRODUCT(--EXACT($J$2:$J$490,J154))&gt;1</f>
        <v>0</v>
      </c>
      <c r="S154" t="s">
        <v>4829</v>
      </c>
    </row>
    <row r="155" spans="1:19">
      <c r="A155" s="30">
        <v>3</v>
      </c>
      <c r="B155" s="30" t="s">
        <v>1393</v>
      </c>
      <c r="C155" s="30"/>
      <c r="D155" s="30" t="s">
        <v>1207</v>
      </c>
      <c r="E155" s="30" t="s">
        <v>984</v>
      </c>
      <c r="F155" s="30" t="s">
        <v>1252</v>
      </c>
      <c r="G155" s="39" t="str">
        <f>VLOOKUP(F155,glossary!J:N,2,FALSE)</f>
        <v xml:space="preserve">Image classification confidence </v>
      </c>
      <c r="H155" s="34" t="s">
        <v>1252</v>
      </c>
      <c r="I155" s="45" t="str">
        <f t="shared" si="6"/>
        <v>img_classification_confidence_tl</v>
      </c>
      <c r="J155" s="43" t="s">
        <v>924</v>
      </c>
      <c r="K155" s="39" t="str">
        <f>VLOOKUP(F155,glossary!J:N,5,FALSE)</f>
        <v>The likelihood of an image containing an object of a certain class (Fennell et al., 2022).</v>
      </c>
      <c r="L155" t="s">
        <v>1769</v>
      </c>
      <c r="M155" s="30" t="str">
        <f t="shared" si="7"/>
        <v>{{ img_classification_confidence_tl }}</v>
      </c>
      <c r="N155" t="s">
        <v>896</v>
      </c>
      <c r="O155" s="13" t="s">
        <v>1816</v>
      </c>
      <c r="P155" t="s">
        <v>4582</v>
      </c>
      <c r="Q155"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5" t="b" cm="1">
        <f t="array" ref="R155">SUMPRODUCT(--EXACT($J$2:$J$490,J155))&gt;1</f>
        <v>0</v>
      </c>
      <c r="S155" t="s">
        <v>4830</v>
      </c>
    </row>
    <row r="156" spans="1:19">
      <c r="A156" s="30">
        <v>3</v>
      </c>
      <c r="B156" s="30" t="s">
        <v>1393</v>
      </c>
      <c r="C156" s="30"/>
      <c r="D156" s="30" t="s">
        <v>1208</v>
      </c>
      <c r="E156" s="30" t="s">
        <v>984</v>
      </c>
      <c r="F156" s="30" t="s">
        <v>1252</v>
      </c>
      <c r="G156" s="39" t="str">
        <f>VLOOKUP(F156,glossary!J:N,2,FALSE)</f>
        <v xml:space="preserve">Image classification confidence </v>
      </c>
      <c r="H156" s="34" t="s">
        <v>1252</v>
      </c>
      <c r="I156" s="45" t="str">
        <f t="shared" si="6"/>
        <v>img_classification_confidence_tu</v>
      </c>
      <c r="J156" s="42" t="s">
        <v>181</v>
      </c>
      <c r="K156" s="39" t="str">
        <f>VLOOKUP(F156,glossary!J:N,5,FALSE)</f>
        <v>The likelihood of an image containing an object of a certain class (Fennell et al., 2022).</v>
      </c>
      <c r="L156" t="s">
        <v>1770</v>
      </c>
      <c r="M156" s="30" t="str">
        <f t="shared" si="7"/>
        <v>{{ img_classification_confidence_tu }}</v>
      </c>
      <c r="N156" t="s">
        <v>896</v>
      </c>
      <c r="O156" s="13" t="s">
        <v>1816</v>
      </c>
      <c r="P156" t="s">
        <v>4582</v>
      </c>
      <c r="Q156"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6" t="b" cm="1">
        <f t="array" ref="R156">SUMPRODUCT(--EXACT($J$2:$J$490,J156))&gt;1</f>
        <v>0</v>
      </c>
      <c r="S156" t="s">
        <v>4831</v>
      </c>
    </row>
    <row r="157" spans="1:19">
      <c r="A157" s="30">
        <v>3</v>
      </c>
      <c r="B157" s="30" t="s">
        <v>1393</v>
      </c>
      <c r="C157" s="30"/>
      <c r="D157" s="30" t="s">
        <v>1208</v>
      </c>
      <c r="E157" s="30" t="s">
        <v>984</v>
      </c>
      <c r="F157" s="30" t="s">
        <v>1254</v>
      </c>
      <c r="G157" s="39" t="str">
        <f>VLOOKUP(F157,glossary!J:N,2,FALSE)</f>
        <v>Image Flash Output</v>
      </c>
      <c r="H157" s="34" t="s">
        <v>1254</v>
      </c>
      <c r="I157" s="45" t="str">
        <f t="shared" si="6"/>
        <v>img_flash_output_tu</v>
      </c>
      <c r="J157" s="42" t="s">
        <v>746</v>
      </c>
      <c r="K157" s="39" t="str">
        <f>VLOOKUP(F157,glossary!J:N,5,FALSE)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57" t="s">
        <v>1618</v>
      </c>
      <c r="M157" s="30" t="str">
        <f t="shared" si="7"/>
        <v>{{ img_flash_output_tu }}</v>
      </c>
      <c r="N157" t="s">
        <v>896</v>
      </c>
      <c r="O157" s="13" t="s">
        <v>1816</v>
      </c>
      <c r="P157" t="s">
        <v>4582</v>
      </c>
      <c r="Q157"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57" t="b" cm="1">
        <f t="array" ref="R157">SUMPRODUCT(--EXACT($J$2:$J$490,J157))&gt;1</f>
        <v>0</v>
      </c>
      <c r="S157" t="s">
        <v>4832</v>
      </c>
    </row>
    <row r="158" spans="1:19">
      <c r="A158" s="30">
        <v>3</v>
      </c>
      <c r="B158" s="30" t="s">
        <v>1393</v>
      </c>
      <c r="C158" s="30"/>
      <c r="D158" s="30" t="s">
        <v>1208</v>
      </c>
      <c r="E158" s="30" t="s">
        <v>984</v>
      </c>
      <c r="F158" s="30" t="s">
        <v>1255</v>
      </c>
      <c r="G158" s="39" t="str">
        <f>VLOOKUP(F158,glossary!J:N,2,FALSE)</f>
        <v>Image Infrared Illuminator</v>
      </c>
      <c r="H158" s="34" t="s">
        <v>1255</v>
      </c>
      <c r="I158" s="45" t="str">
        <f t="shared" si="6"/>
        <v>img_infrared_illuminator_tu</v>
      </c>
      <c r="J158" s="42" t="s">
        <v>747</v>
      </c>
      <c r="K158" s="39" t="str">
        <f>VLOOKUP(F158,glossary!J:N,5,FALSE)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58" t="s">
        <v>1617</v>
      </c>
      <c r="M158" s="30" t="str">
        <f t="shared" si="7"/>
        <v>{{ img_infrared_illuminator_tu }}</v>
      </c>
      <c r="N158" t="s">
        <v>896</v>
      </c>
      <c r="O158" s="13" t="s">
        <v>1816</v>
      </c>
      <c r="P158" t="s">
        <v>4582</v>
      </c>
      <c r="Q158"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58" t="b" cm="1">
        <f t="array" ref="R158">SUMPRODUCT(--EXACT($J$2:$J$490,J158))&gt;1</f>
        <v>0</v>
      </c>
      <c r="S158" t="s">
        <v>4833</v>
      </c>
    </row>
    <row r="159" spans="1:19">
      <c r="A159" s="30">
        <v>3</v>
      </c>
      <c r="B159" s="30" t="s">
        <v>1393</v>
      </c>
      <c r="C159" s="30"/>
      <c r="D159" s="30" t="s">
        <v>1208</v>
      </c>
      <c r="E159" s="30" t="s">
        <v>984</v>
      </c>
      <c r="F159" s="30" t="s">
        <v>1256</v>
      </c>
      <c r="G159" s="39" t="str">
        <f>VLOOKUP(F159,glossary!J:N,2,FALSE)</f>
        <v>Image Name</v>
      </c>
      <c r="H159" s="34" t="s">
        <v>1256</v>
      </c>
      <c r="I159" s="45" t="str">
        <f t="shared" si="6"/>
        <v>img_name_tu</v>
      </c>
      <c r="J159" s="42" t="s">
        <v>698</v>
      </c>
      <c r="K159" s="39" t="str">
        <f>VLOOKUP(F159,glossary!J:N,5,FALSE)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59" t="s">
        <v>1616</v>
      </c>
      <c r="M159" s="30" t="str">
        <f t="shared" si="7"/>
        <v>{{ img_name_tu }}</v>
      </c>
      <c r="N159" t="s">
        <v>896</v>
      </c>
      <c r="O159" s="13" t="s">
        <v>1816</v>
      </c>
      <c r="P159" t="s">
        <v>4582</v>
      </c>
      <c r="Q159"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59" t="b" cm="1">
        <f t="array" ref="R159">SUMPRODUCT(--EXACT($J$2:$J$490,J159))&gt;1</f>
        <v>0</v>
      </c>
      <c r="S159" t="s">
        <v>4834</v>
      </c>
    </row>
    <row r="160" spans="1:19">
      <c r="A160" s="30">
        <v>3</v>
      </c>
      <c r="B160" s="30" t="s">
        <v>1393</v>
      </c>
      <c r="C160" s="30"/>
      <c r="D160" s="30" t="s">
        <v>1207</v>
      </c>
      <c r="E160" s="30" t="s">
        <v>984</v>
      </c>
      <c r="F160" s="30" t="s">
        <v>1249</v>
      </c>
      <c r="G160" s="39" t="str">
        <f>VLOOKUP(F160,glossary!J:N,2,FALSE)</f>
        <v>Image processing</v>
      </c>
      <c r="H160" s="34" t="s">
        <v>1249</v>
      </c>
      <c r="I160" s="45" t="str">
        <f t="shared" si="6"/>
        <v>img_processing_tl</v>
      </c>
      <c r="J160" s="43" t="s">
        <v>925</v>
      </c>
      <c r="K160" s="39" t="str">
        <f>VLOOKUP(F160,glossary!J:N,5,FALSE)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0" t="s">
        <v>1615</v>
      </c>
      <c r="M160" s="30" t="str">
        <f t="shared" si="7"/>
        <v>{{ img_processing_tl }}</v>
      </c>
      <c r="N160" t="s">
        <v>896</v>
      </c>
      <c r="O160" s="13" t="s">
        <v>1816</v>
      </c>
      <c r="P160" t="s">
        <v>4582</v>
      </c>
      <c r="Q160"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0" t="b" cm="1">
        <f t="array" ref="R160">SUMPRODUCT(--EXACT($J$2:$J$490,J160))&gt;1</f>
        <v>0</v>
      </c>
      <c r="S160" t="s">
        <v>4835</v>
      </c>
    </row>
    <row r="161" spans="1:19">
      <c r="A161" s="30">
        <v>3</v>
      </c>
      <c r="B161" s="30" t="s">
        <v>1393</v>
      </c>
      <c r="C161" s="30"/>
      <c r="D161" s="30" t="s">
        <v>1208</v>
      </c>
      <c r="E161" s="30" t="s">
        <v>984</v>
      </c>
      <c r="F161" s="30" t="s">
        <v>1249</v>
      </c>
      <c r="G161" s="39" t="str">
        <f>VLOOKUP(F161,glossary!J:N,2,FALSE)</f>
        <v>Image processing</v>
      </c>
      <c r="H161" s="34" t="s">
        <v>1249</v>
      </c>
      <c r="I161" s="45" t="str">
        <f t="shared" si="6"/>
        <v>img_processing_tu</v>
      </c>
      <c r="J161" s="42" t="s">
        <v>179</v>
      </c>
      <c r="K161" s="39" t="str">
        <f>VLOOKUP(F161,glossary!J:N,5,FALSE)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1" t="s">
        <v>1614</v>
      </c>
      <c r="M161" s="30" t="str">
        <f t="shared" si="7"/>
        <v>{{ img_processing_tu }}</v>
      </c>
      <c r="N161" t="s">
        <v>896</v>
      </c>
      <c r="O161" s="13" t="s">
        <v>1816</v>
      </c>
      <c r="P161" t="s">
        <v>4582</v>
      </c>
      <c r="Q161"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1" t="b" cm="1">
        <f t="array" ref="R161">SUMPRODUCT(--EXACT($J$2:$J$490,J161))&gt;1</f>
        <v>0</v>
      </c>
      <c r="S161" t="s">
        <v>4836</v>
      </c>
    </row>
    <row r="162" spans="1:19">
      <c r="A162" s="30">
        <v>3</v>
      </c>
      <c r="B162" s="30" t="s">
        <v>1393</v>
      </c>
      <c r="C162" s="30"/>
      <c r="D162" s="30" t="s">
        <v>1208</v>
      </c>
      <c r="E162" s="30" t="s">
        <v>984</v>
      </c>
      <c r="F162" s="30" t="s">
        <v>1257</v>
      </c>
      <c r="G162" s="39" t="str">
        <f>VLOOKUP(F162,glossary!J:N,2,FALSE)</f>
        <v>Image Sequence</v>
      </c>
      <c r="H162" s="34" t="s">
        <v>1257</v>
      </c>
      <c r="I162" s="45" t="str">
        <f t="shared" si="6"/>
        <v>img_sequence_tu</v>
      </c>
      <c r="J162" s="42" t="s">
        <v>177</v>
      </c>
      <c r="K162" s="39" t="str">
        <f>VLOOKUP(F162,glossary!J:N,5,FALSE)</f>
        <v>The order of the image in a rapid-fire sequence as reported in the image Exif data (text; e.g., '1 of 1' or '1 of 3'). Leave blank if not applicable.</v>
      </c>
      <c r="L162" t="s">
        <v>1613</v>
      </c>
      <c r="M162" s="30" t="str">
        <f t="shared" si="7"/>
        <v>{{ img_sequence_tu }}</v>
      </c>
      <c r="N162" t="s">
        <v>896</v>
      </c>
      <c r="O162" s="13" t="s">
        <v>1816</v>
      </c>
      <c r="P162" t="s">
        <v>4582</v>
      </c>
      <c r="Q162"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62" t="b" cm="1">
        <f t="array" ref="R162">SUMPRODUCT(--EXACT($J$2:$J$490,J162))&gt;1</f>
        <v>0</v>
      </c>
      <c r="S162" t="s">
        <v>4837</v>
      </c>
    </row>
    <row r="163" spans="1:19">
      <c r="A163" s="30">
        <v>3</v>
      </c>
      <c r="B163" s="30" t="s">
        <v>1393</v>
      </c>
      <c r="C163" s="30"/>
      <c r="D163" s="30" t="s">
        <v>1208</v>
      </c>
      <c r="E163" s="30" t="s">
        <v>984</v>
      </c>
      <c r="F163" s="30" t="s">
        <v>1258</v>
      </c>
      <c r="G163" s="39" t="str">
        <f>VLOOKUP(F163,glossary!J:N,2,FALSE)</f>
        <v>Image/Sequence Comments</v>
      </c>
      <c r="H163" s="34" t="s">
        <v>1258</v>
      </c>
      <c r="I163" s="45" t="str">
        <f t="shared" si="6"/>
        <v>img_sequence_comments_tu</v>
      </c>
      <c r="J163" s="42" t="s">
        <v>748</v>
      </c>
      <c r="K163" s="39" t="str">
        <f>VLOOKUP(F163,glossary!J:N,5,FALSE)</f>
        <v>Comments describing additional details about the image*/sequence.</v>
      </c>
      <c r="L163" t="s">
        <v>1612</v>
      </c>
      <c r="M163" s="30" t="str">
        <f t="shared" si="7"/>
        <v>{{ img_sequence_comments_tu }}</v>
      </c>
      <c r="N163" t="s">
        <v>896</v>
      </c>
      <c r="O163" s="13" t="s">
        <v>1816</v>
      </c>
      <c r="P163" t="s">
        <v>4582</v>
      </c>
      <c r="Q163"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63" t="b" cm="1">
        <f t="array" ref="R163">SUMPRODUCT(--EXACT($J$2:$J$490,J163))&gt;1</f>
        <v>0</v>
      </c>
      <c r="S163" t="s">
        <v>4838</v>
      </c>
    </row>
    <row r="164" spans="1:19">
      <c r="A164" s="30">
        <v>1</v>
      </c>
      <c r="B164" s="30" t="s">
        <v>1064</v>
      </c>
      <c r="C164" s="30" t="s">
        <v>0</v>
      </c>
      <c r="D164" s="30" t="s">
        <v>1208</v>
      </c>
      <c r="E164" s="30" t="s">
        <v>1757</v>
      </c>
      <c r="F164" s="30" t="s">
        <v>1259</v>
      </c>
      <c r="G164" s="39" t="str">
        <f>VLOOKUP(F164,glossary!J:N,2,FALSE)</f>
        <v>Image/Sequence Date Time (DD-MMM-YYYY HH:MM:SS)</v>
      </c>
      <c r="H164" s="30" t="s">
        <v>1259</v>
      </c>
      <c r="I164" s="45" t="str">
        <f t="shared" si="6"/>
        <v>img_sequence_date_time_tu_nu</v>
      </c>
      <c r="J164" s="39" t="s">
        <v>1076</v>
      </c>
      <c r="K164" s="39" t="str">
        <f>VLOOKUP(F164,glossary!J:N,5,FALSE)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4" s="30" t="s">
        <v>1266</v>
      </c>
      <c r="M164" s="30" t="str">
        <f t="shared" si="7"/>
        <v>{{ img_sequence_date_time_tu_nu }}</v>
      </c>
      <c r="N164" t="s">
        <v>896</v>
      </c>
      <c r="O164" s="13" t="s">
        <v>1816</v>
      </c>
      <c r="P164" t="s">
        <v>4582</v>
      </c>
      <c r="Q164"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64" t="b" cm="1">
        <f t="array" ref="R164">SUMPRODUCT(--EXACT($J$2:$J$490,J164))&gt;1</f>
        <v>0</v>
      </c>
      <c r="S164" t="s">
        <v>4839</v>
      </c>
    </row>
    <row r="165" spans="1:19">
      <c r="A165" s="30">
        <v>3</v>
      </c>
      <c r="B165" s="30" t="s">
        <v>1393</v>
      </c>
      <c r="C165" s="30"/>
      <c r="D165" s="30" t="s">
        <v>1208</v>
      </c>
      <c r="E165" s="30" t="s">
        <v>1751</v>
      </c>
      <c r="F165" s="30" t="s">
        <v>1259</v>
      </c>
      <c r="G165" s="39" t="str">
        <f>VLOOKUP(F165,glossary!J:N,2,FALSE)</f>
        <v>Image/Sequence Date Time (DD-MMM-YYYY HH:MM:SS)</v>
      </c>
      <c r="H165" s="34" t="s">
        <v>1259</v>
      </c>
      <c r="I165" s="45" t="str">
        <f t="shared" si="6"/>
        <v>img_sequence_date_time_tu_u</v>
      </c>
      <c r="J165" s="42" t="s">
        <v>699</v>
      </c>
      <c r="K165" s="39" t="str">
        <f>VLOOKUP(F165,glossary!J:N,5,FALSE)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5" t="s">
        <v>1611</v>
      </c>
      <c r="M165" s="30" t="str">
        <f t="shared" si="7"/>
        <v>{{ img_sequence_date_time_tu_u }}</v>
      </c>
      <c r="N165" t="s">
        <v>896</v>
      </c>
      <c r="O165" s="13" t="s">
        <v>1816</v>
      </c>
      <c r="P165" t="s">
        <v>4582</v>
      </c>
      <c r="Q165"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65" t="b" cm="1">
        <f t="array" ref="R165">SUMPRODUCT(--EXACT($J$2:$J$490,J165))&gt;1</f>
        <v>0</v>
      </c>
      <c r="S165" t="s">
        <v>4840</v>
      </c>
    </row>
    <row r="166" spans="1:19">
      <c r="A166" s="30">
        <v>1</v>
      </c>
      <c r="B166" s="30" t="s">
        <v>1064</v>
      </c>
      <c r="C166" s="30" t="s">
        <v>0</v>
      </c>
      <c r="D166" s="30" t="s">
        <v>1208</v>
      </c>
      <c r="E166" s="30" t="s">
        <v>1757</v>
      </c>
      <c r="F166" s="30" t="s">
        <v>1261</v>
      </c>
      <c r="G166" s="39" t="str">
        <f>VLOOKUP(F166,glossary!J:N,2,FALSE)</f>
        <v>Image Set End Date Time (DD-MMM-YYYY HH:MM:SS)</v>
      </c>
      <c r="H166" s="30" t="s">
        <v>1261</v>
      </c>
      <c r="I166" s="45" t="str">
        <f t="shared" si="6"/>
        <v>img_set_end_date_time_tu_nu</v>
      </c>
      <c r="J166" s="39" t="s">
        <v>1078</v>
      </c>
      <c r="K166" s="39" t="str">
        <f>VLOOKUP(F166,glossary!J:N,5,FALSE)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6" s="30" t="s">
        <v>1267</v>
      </c>
      <c r="M166" s="30" t="str">
        <f t="shared" si="7"/>
        <v>{{ img_set_end_date_time_tu_nu }}</v>
      </c>
      <c r="N166" t="s">
        <v>896</v>
      </c>
      <c r="O166" s="13" t="s">
        <v>1816</v>
      </c>
      <c r="P166" t="s">
        <v>4582</v>
      </c>
      <c r="Q166"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66" t="b" cm="1">
        <f t="array" ref="R166">SUMPRODUCT(--EXACT($J$2:$J$490,J166))&gt;1</f>
        <v>0</v>
      </c>
      <c r="S166" t="s">
        <v>4841</v>
      </c>
    </row>
    <row r="167" spans="1:19">
      <c r="A167" s="30">
        <v>3</v>
      </c>
      <c r="B167" s="30" t="s">
        <v>1393</v>
      </c>
      <c r="C167" s="30"/>
      <c r="D167" s="30" t="s">
        <v>1208</v>
      </c>
      <c r="E167" s="30" t="s">
        <v>1751</v>
      </c>
      <c r="F167" s="30" t="s">
        <v>1261</v>
      </c>
      <c r="G167" s="39" t="str">
        <f>VLOOKUP(F167,glossary!J:N,2,FALSE)</f>
        <v>Image Set End Date Time (DD-MMM-YYYY HH:MM:SS)</v>
      </c>
      <c r="H167" s="34" t="s">
        <v>1261</v>
      </c>
      <c r="I167" s="45" t="str">
        <f t="shared" si="6"/>
        <v>img_set_end_date_time_tu_u</v>
      </c>
      <c r="J167" s="42" t="s">
        <v>700</v>
      </c>
      <c r="K167" s="39" t="str">
        <f>VLOOKUP(F167,glossary!J:N,5,FALSE)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7" t="s">
        <v>1610</v>
      </c>
      <c r="M167" s="30" t="str">
        <f t="shared" si="7"/>
        <v>{{ img_set_end_date_time_tu_u }}</v>
      </c>
      <c r="N167" t="s">
        <v>896</v>
      </c>
      <c r="O167" s="13" t="s">
        <v>1816</v>
      </c>
      <c r="P167" t="s">
        <v>4582</v>
      </c>
      <c r="Q167"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67" t="b" cm="1">
        <f t="array" ref="R167">SUMPRODUCT(--EXACT($J$2:$J$490,J167))&gt;1</f>
        <v>0</v>
      </c>
      <c r="S167" t="s">
        <v>4842</v>
      </c>
    </row>
    <row r="168" spans="1:19">
      <c r="A168" s="30">
        <v>1</v>
      </c>
      <c r="B168" s="30" t="s">
        <v>1064</v>
      </c>
      <c r="C168" s="30" t="s">
        <v>0</v>
      </c>
      <c r="D168" s="30" t="s">
        <v>1208</v>
      </c>
      <c r="E168" s="30" t="s">
        <v>1757</v>
      </c>
      <c r="F168" s="30" t="s">
        <v>1262</v>
      </c>
      <c r="G168" s="39" t="str">
        <f>VLOOKUP(F168,glossary!J:N,2,FALSE)</f>
        <v>Image Set Start Date Time (DD-MMM-YYYY HH:MM:SS)</v>
      </c>
      <c r="H168" s="30" t="s">
        <v>1262</v>
      </c>
      <c r="I168" s="45" t="str">
        <f t="shared" si="6"/>
        <v>img_set_start_date_time_tu_nu</v>
      </c>
      <c r="J168" s="39" t="s">
        <v>1077</v>
      </c>
      <c r="K168" s="39" t="str">
        <f>VLOOKUP(F168,glossary!J:N,5,FALSE)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8" s="30" t="s">
        <v>1268</v>
      </c>
      <c r="M168" s="30" t="str">
        <f t="shared" si="7"/>
        <v>{{ img_set_start_date_time_tu_nu }}</v>
      </c>
      <c r="N168" t="s">
        <v>896</v>
      </c>
      <c r="O168" s="13" t="s">
        <v>1816</v>
      </c>
      <c r="P168" t="s">
        <v>4582</v>
      </c>
      <c r="Q168"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68" t="b" cm="1">
        <f t="array" ref="R168">SUMPRODUCT(--EXACT($J$2:$J$490,J168))&gt;1</f>
        <v>0</v>
      </c>
      <c r="S168" t="s">
        <v>4843</v>
      </c>
    </row>
    <row r="169" spans="1:19">
      <c r="A169" s="30">
        <v>3</v>
      </c>
      <c r="B169" s="30" t="s">
        <v>1393</v>
      </c>
      <c r="C169" s="30"/>
      <c r="D169" s="30" t="s">
        <v>1208</v>
      </c>
      <c r="E169" s="30" t="s">
        <v>1751</v>
      </c>
      <c r="F169" s="30" t="s">
        <v>1262</v>
      </c>
      <c r="G169" s="39" t="str">
        <f>VLOOKUP(F169,glossary!J:N,2,FALSE)</f>
        <v>Image Set Start Date Time (DD-MMM-YYYY HH:MM:SS)</v>
      </c>
      <c r="H169" s="34" t="s">
        <v>1262</v>
      </c>
      <c r="I169" s="45" t="str">
        <f t="shared" si="6"/>
        <v>img_set_start_date_time_tu_u</v>
      </c>
      <c r="J169" s="42" t="s">
        <v>701</v>
      </c>
      <c r="K169" s="39" t="str">
        <f>VLOOKUP(F169,glossary!J:N,5,FALSE)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9" t="s">
        <v>1609</v>
      </c>
      <c r="M169" s="30" t="str">
        <f t="shared" si="7"/>
        <v>{{ img_set_start_date_time_tu_u }}</v>
      </c>
      <c r="N169" t="s">
        <v>896</v>
      </c>
      <c r="O169" s="13" t="s">
        <v>1816</v>
      </c>
      <c r="P169" t="s">
        <v>4582</v>
      </c>
      <c r="Q169"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69" t="b" cm="1">
        <f t="array" ref="R169">SUMPRODUCT(--EXACT($J$2:$J$490,J169))&gt;1</f>
        <v>0</v>
      </c>
      <c r="S169" t="s">
        <v>4844</v>
      </c>
    </row>
    <row r="170" spans="1:19">
      <c r="A170" s="30">
        <v>3</v>
      </c>
      <c r="B170" s="30" t="s">
        <v>1393</v>
      </c>
      <c r="C170" s="30"/>
      <c r="D170" s="30" t="s">
        <v>1207</v>
      </c>
      <c r="E170" s="30" t="s">
        <v>984</v>
      </c>
      <c r="F170" s="30" t="s">
        <v>1263</v>
      </c>
      <c r="G170" s="39" t="str">
        <f>VLOOKUP(F170,glossary!J:N,2,FALSE)</f>
        <v>Image tagging</v>
      </c>
      <c r="H170" s="34" t="s">
        <v>1263</v>
      </c>
      <c r="I170" s="45" t="str">
        <f t="shared" si="6"/>
        <v>img_tagging_tl</v>
      </c>
      <c r="J170" s="43" t="s">
        <v>926</v>
      </c>
      <c r="K170" s="39" t="str">
        <f>VLOOKUP(F170,glossary!J:N,5,FALSE)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0" t="s">
        <v>1608</v>
      </c>
      <c r="M170" s="30" t="str">
        <f t="shared" si="7"/>
        <v>{{ img_tagging_tl }}</v>
      </c>
      <c r="N170" t="s">
        <v>896</v>
      </c>
      <c r="O170" s="13" t="s">
        <v>1816</v>
      </c>
      <c r="P170" t="s">
        <v>4582</v>
      </c>
      <c r="Q170"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0" t="b" cm="1">
        <f t="array" ref="R170">SUMPRODUCT(--EXACT($J$2:$J$490,J170))&gt;1</f>
        <v>0</v>
      </c>
      <c r="S170" t="s">
        <v>4845</v>
      </c>
    </row>
    <row r="171" spans="1:19">
      <c r="A171" s="30">
        <v>3</v>
      </c>
      <c r="B171" s="30" t="s">
        <v>1393</v>
      </c>
      <c r="C171" s="30"/>
      <c r="D171" s="30" t="s">
        <v>1208</v>
      </c>
      <c r="E171" s="30" t="s">
        <v>984</v>
      </c>
      <c r="F171" s="30" t="s">
        <v>1263</v>
      </c>
      <c r="G171" s="39" t="str">
        <f>VLOOKUP(F171,glossary!J:N,2,FALSE)</f>
        <v>Image tagging</v>
      </c>
      <c r="H171" s="34" t="s">
        <v>1263</v>
      </c>
      <c r="I171" s="45" t="str">
        <f t="shared" si="6"/>
        <v>img_tagging_tu</v>
      </c>
      <c r="J171" s="42" t="s">
        <v>176</v>
      </c>
      <c r="K171" s="39" t="str">
        <f>VLOOKUP(F171,glossary!J:N,5,FALSE)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1" t="s">
        <v>1607</v>
      </c>
      <c r="M171" s="30" t="str">
        <f t="shared" si="7"/>
        <v>{{ img_tagging_tu }}</v>
      </c>
      <c r="N171" t="s">
        <v>896</v>
      </c>
      <c r="O171" s="13" t="s">
        <v>1816</v>
      </c>
      <c r="P171" t="s">
        <v>4582</v>
      </c>
      <c r="Q171"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1" t="b" cm="1">
        <f t="array" ref="R171">SUMPRODUCT(--EXACT($J$2:$J$490,J171))&gt;1</f>
        <v>0</v>
      </c>
      <c r="S171" t="s">
        <v>4846</v>
      </c>
    </row>
    <row r="172" spans="1:19">
      <c r="A172" s="30">
        <v>3</v>
      </c>
      <c r="B172" s="30" t="s">
        <v>1393</v>
      </c>
      <c r="C172" s="30"/>
      <c r="D172" s="30" t="s">
        <v>1208</v>
      </c>
      <c r="E172" s="30" t="s">
        <v>984</v>
      </c>
      <c r="F172" s="30" t="s">
        <v>1264</v>
      </c>
      <c r="G172" s="39" t="str">
        <f>VLOOKUP(F172,glossary!J:N,2,FALSE)</f>
        <v>Image Trigger Mode</v>
      </c>
      <c r="H172" s="34" t="s">
        <v>1264</v>
      </c>
      <c r="I172" s="45" t="str">
        <f t="shared" si="6"/>
        <v>img_trigger_mode_tu</v>
      </c>
      <c r="J172" s="42" t="s">
        <v>749</v>
      </c>
      <c r="K172" s="39" t="str">
        <f>VLOOKUP(F172,glossary!J:N,5,FALSE)</f>
        <v>The type of trigger mode used to capture the image as reported in the image Exif data (e.g., 'Time Lapse,' 'Motion Detection,' 'CodeLoc Not Entered,' 'External Sensor'). Record 'Unknown' if not known.</v>
      </c>
      <c r="L172" t="s">
        <v>1606</v>
      </c>
      <c r="M172" s="30" t="str">
        <f t="shared" si="7"/>
        <v>{{ img_trigger_mode_tu }}</v>
      </c>
      <c r="N172" t="s">
        <v>896</v>
      </c>
      <c r="O172" s="13" t="s">
        <v>1816</v>
      </c>
      <c r="P172" t="s">
        <v>4582</v>
      </c>
      <c r="Q172"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72" t="b" cm="1">
        <f t="array" ref="R172">SUMPRODUCT(--EXACT($J$2:$J$490,J172))&gt;1</f>
        <v>0</v>
      </c>
      <c r="S172" t="s">
        <v>4847</v>
      </c>
    </row>
    <row r="173" spans="1:19">
      <c r="A173" s="30">
        <v>1</v>
      </c>
      <c r="B173" s="30" t="s">
        <v>1064</v>
      </c>
      <c r="C173" s="30" t="s">
        <v>0</v>
      </c>
      <c r="D173" s="30" t="s">
        <v>1208</v>
      </c>
      <c r="E173" s="30" t="s">
        <v>1758</v>
      </c>
      <c r="F173" s="30" t="s">
        <v>1264</v>
      </c>
      <c r="G173" s="39" t="str">
        <f>VLOOKUP(F173,glossary!J:N,2,FALSE)</f>
        <v>Image Trigger Mode</v>
      </c>
      <c r="H173" s="30" t="s">
        <v>1264</v>
      </c>
      <c r="I173" s="45" t="str">
        <f t="shared" si="6"/>
        <v>img_trigger_mode_tu_pl</v>
      </c>
      <c r="J173" s="39" t="s">
        <v>1165</v>
      </c>
      <c r="K173" s="39" t="str">
        <f>VLOOKUP(F173,glossary!J:N,5,FALSE)</f>
        <v>The type of trigger mode used to capture the image as reported in the image Exif data (e.g., 'Time Lapse,' 'Motion Detection,' 'CodeLoc Not Entered,' 'External Sensor'). Record 'Unknown' if not known.</v>
      </c>
      <c r="L173" s="30" t="s">
        <v>1269</v>
      </c>
      <c r="M173" s="30" t="str">
        <f t="shared" si="7"/>
        <v>{{ img_trigger_mode_tu_pl }}</v>
      </c>
      <c r="N173" t="s">
        <v>896</v>
      </c>
      <c r="O173" s="13" t="s">
        <v>1816</v>
      </c>
      <c r="P173" t="s">
        <v>4582</v>
      </c>
      <c r="Q173"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73" t="b" cm="1">
        <f t="array" ref="R173">SUMPRODUCT(--EXACT($J$2:$J$490,J173))&gt;1</f>
        <v>0</v>
      </c>
      <c r="S173" t="s">
        <v>4848</v>
      </c>
    </row>
    <row r="174" spans="1:19">
      <c r="A174" s="30">
        <v>3</v>
      </c>
      <c r="B174" s="30" t="s">
        <v>1393</v>
      </c>
      <c r="C174" s="30"/>
      <c r="D174" s="30" t="s">
        <v>1207</v>
      </c>
      <c r="E174" s="30" t="s">
        <v>984</v>
      </c>
      <c r="F174" s="30" t="s">
        <v>173</v>
      </c>
      <c r="G174" s="39" t="str">
        <f>VLOOKUP(F174,glossary!J:N,2,FALSE)</f>
        <v>Imperfect detection</v>
      </c>
      <c r="H174" s="34" t="s">
        <v>173</v>
      </c>
      <c r="I174" s="45" t="str">
        <f t="shared" si="6"/>
        <v>imperfect_detection_tl</v>
      </c>
      <c r="J174" s="43" t="s">
        <v>927</v>
      </c>
      <c r="K174" s="39" t="str">
        <f>VLOOKUP(F174,glossary!J:N,5,FALSE)</f>
        <v>Species are often detected 'imperfectly,' meaning that they are not always detected when they are present (e.g., due to cover of vegetation, cryptic nature or small size) (MacKenzie et al., 2004).</v>
      </c>
      <c r="L174" t="s">
        <v>1605</v>
      </c>
      <c r="M174" s="30" t="str">
        <f t="shared" si="7"/>
        <v>{{ imperfect_detection_tl }}</v>
      </c>
      <c r="N174" t="s">
        <v>896</v>
      </c>
      <c r="O174" s="13" t="s">
        <v>1816</v>
      </c>
      <c r="P174" t="s">
        <v>4582</v>
      </c>
      <c r="Q174"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4" t="b" cm="1">
        <f t="array" ref="R174">SUMPRODUCT(--EXACT($J$2:$J$490,J174))&gt;1</f>
        <v>0</v>
      </c>
      <c r="S174" t="s">
        <v>4849</v>
      </c>
    </row>
    <row r="175" spans="1:19">
      <c r="A175" s="30">
        <v>3</v>
      </c>
      <c r="B175" s="30" t="s">
        <v>1393</v>
      </c>
      <c r="C175" s="30"/>
      <c r="D175" s="30" t="s">
        <v>1208</v>
      </c>
      <c r="E175" s="30" t="s">
        <v>984</v>
      </c>
      <c r="F175" s="30" t="s">
        <v>173</v>
      </c>
      <c r="G175" s="39" t="str">
        <f>VLOOKUP(F175,glossary!J:N,2,FALSE)</f>
        <v>Imperfect detection</v>
      </c>
      <c r="H175" s="34" t="s">
        <v>173</v>
      </c>
      <c r="I175" s="45" t="str">
        <f t="shared" si="6"/>
        <v>imperfect_detection_tu</v>
      </c>
      <c r="J175" s="42" t="s">
        <v>174</v>
      </c>
      <c r="K175" s="39" t="str">
        <f>VLOOKUP(F175,glossary!J:N,5,FALSE)</f>
        <v>Species are often detected 'imperfectly,' meaning that they are not always detected when they are present (e.g., due to cover of vegetation, cryptic nature or small size) (MacKenzie et al., 2004).</v>
      </c>
      <c r="L175" t="s">
        <v>1604</v>
      </c>
      <c r="M175" s="30" t="str">
        <f t="shared" si="7"/>
        <v>{{ imperfect_detection_tu }}</v>
      </c>
      <c r="N175" t="s">
        <v>896</v>
      </c>
      <c r="O175" s="13" t="s">
        <v>1816</v>
      </c>
      <c r="P175" t="s">
        <v>4582</v>
      </c>
      <c r="Q175"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5" t="b" cm="1">
        <f t="array" ref="R175">SUMPRODUCT(--EXACT($J$2:$J$490,J175))&gt;1</f>
        <v>0</v>
      </c>
      <c r="S175" t="s">
        <v>4850</v>
      </c>
    </row>
    <row r="176" spans="1:19">
      <c r="A176" s="30">
        <v>3</v>
      </c>
      <c r="B176" s="30" t="s">
        <v>1393</v>
      </c>
      <c r="C176" s="30"/>
      <c r="D176" s="30" t="s">
        <v>1207</v>
      </c>
      <c r="E176" s="30" t="s">
        <v>1758</v>
      </c>
      <c r="F176" s="30" t="s">
        <v>170</v>
      </c>
      <c r="G176" s="39" t="str">
        <f>VLOOKUP(F176,glossary!J:N,2,FALSE)</f>
        <v>Independent detections</v>
      </c>
      <c r="H176" s="34" t="s">
        <v>170</v>
      </c>
      <c r="I176" s="45" t="str">
        <f t="shared" si="6"/>
        <v>independent_detections_tl_pl</v>
      </c>
      <c r="J176" s="43" t="s">
        <v>928</v>
      </c>
      <c r="K176" s="39" t="str">
        <f>VLOOKUP(F176,glossary!J:N,5,FALSE)</f>
        <v>Detections that are deemed to be independent based on a user-defined threshold (e.g., 30 minutes).</v>
      </c>
      <c r="L176" t="s">
        <v>1603</v>
      </c>
      <c r="M176" s="30" t="str">
        <f t="shared" si="7"/>
        <v>{{ independent_detections_tl_pl }}</v>
      </c>
      <c r="N176" t="s">
        <v>896</v>
      </c>
      <c r="O176" s="13" t="s">
        <v>1816</v>
      </c>
      <c r="P176" t="s">
        <v>4582</v>
      </c>
      <c r="Q176"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6" t="b" cm="1">
        <f t="array" ref="R176">SUMPRODUCT(--EXACT($J$2:$J$490,J176))&gt;1</f>
        <v>0</v>
      </c>
      <c r="S176" t="s">
        <v>4851</v>
      </c>
    </row>
    <row r="177" spans="1:19">
      <c r="A177" s="30">
        <v>1</v>
      </c>
      <c r="B177" s="30" t="s">
        <v>1064</v>
      </c>
      <c r="C177" s="30"/>
      <c r="D177" s="30" t="s">
        <v>1208</v>
      </c>
      <c r="E177" s="30" t="s">
        <v>1756</v>
      </c>
      <c r="F177" s="30" t="s">
        <v>170</v>
      </c>
      <c r="G177" s="39" t="str">
        <f>VLOOKUP(F177,glossary!J:N,2,FALSE)</f>
        <v>Independent detections</v>
      </c>
      <c r="H177" s="30" t="s">
        <v>170</v>
      </c>
      <c r="I177" s="45" t="str">
        <f t="shared" si="6"/>
        <v>independent_detections_tu_modtxt</v>
      </c>
      <c r="J177" s="39" t="s">
        <v>1601</v>
      </c>
      <c r="K177" s="39" t="str">
        <f>VLOOKUP(F177,glossary!J:N,5,FALSE)</f>
        <v>Detections that are deemed to be independent based on a user-defined threshold (e.g., 30 minutes).</v>
      </c>
      <c r="L177" s="30" t="s">
        <v>984</v>
      </c>
      <c r="M177" s="30" t="str">
        <f t="shared" si="7"/>
        <v>{{ independent_detections_tu_modtxt }}</v>
      </c>
      <c r="N177" t="s">
        <v>896</v>
      </c>
      <c r="O177" s="13" t="s">
        <v>1816</v>
      </c>
      <c r="P177" t="s">
        <v>4582</v>
      </c>
      <c r="Q177"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77" t="b" cm="1">
        <f t="array" ref="R177">SUMPRODUCT(--EXACT($J$2:$J$490,J177))&gt;1</f>
        <v>0</v>
      </c>
      <c r="S177" t="s">
        <v>4852</v>
      </c>
    </row>
    <row r="178" spans="1:19">
      <c r="A178" s="30">
        <v>3</v>
      </c>
      <c r="B178" s="30" t="s">
        <v>1393</v>
      </c>
      <c r="C178" s="30"/>
      <c r="D178" s="30" t="s">
        <v>1208</v>
      </c>
      <c r="E178" s="30" t="s">
        <v>1758</v>
      </c>
      <c r="F178" s="30" t="s">
        <v>170</v>
      </c>
      <c r="G178" s="39" t="str">
        <f>VLOOKUP(F178,glossary!J:N,2,FALSE)</f>
        <v>Independent detections</v>
      </c>
      <c r="H178" s="34" t="s">
        <v>170</v>
      </c>
      <c r="I178" s="45" t="str">
        <f t="shared" si="6"/>
        <v>independent_detections_tu_pl</v>
      </c>
      <c r="J178" s="42" t="s">
        <v>172</v>
      </c>
      <c r="K178" s="39" t="str">
        <f>VLOOKUP(F178,glossary!J:N,5,FALSE)</f>
        <v>Detections that are deemed to be independent based on a user-defined threshold (e.g., 30 minutes).</v>
      </c>
      <c r="L178" t="s">
        <v>1602</v>
      </c>
      <c r="M178" s="30" t="str">
        <f t="shared" si="7"/>
        <v>{{ independent_detections_tu_pl }}</v>
      </c>
      <c r="N178" t="s">
        <v>896</v>
      </c>
      <c r="O178" s="13" t="s">
        <v>1816</v>
      </c>
      <c r="P178" t="s">
        <v>4582</v>
      </c>
      <c r="Q178"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8" t="b" cm="1">
        <f t="array" ref="R178">SUMPRODUCT(--EXACT($J$2:$J$490,J178))&gt;1</f>
        <v>0</v>
      </c>
      <c r="S178" t="s">
        <v>4853</v>
      </c>
    </row>
    <row r="179" spans="1:19">
      <c r="A179" s="30">
        <v>3</v>
      </c>
      <c r="B179" s="30" t="s">
        <v>1393</v>
      </c>
      <c r="C179" s="30"/>
      <c r="D179" s="30" t="s">
        <v>1208</v>
      </c>
      <c r="E179" s="30" t="s">
        <v>984</v>
      </c>
      <c r="F179" s="30" t="s">
        <v>283</v>
      </c>
      <c r="G179" s="39" t="str">
        <f>VLOOKUP(F179,glossary!J:N,2,FALSE)</f>
        <v>Individual Count</v>
      </c>
      <c r="H179" s="34" t="s">
        <v>283</v>
      </c>
      <c r="I179" s="45" t="str">
        <f t="shared" si="6"/>
        <v>individual_count_tu</v>
      </c>
      <c r="J179" s="42" t="s">
        <v>702</v>
      </c>
      <c r="K179" s="39" t="str">
        <f>VLOOKUP(F179,glossary!J:N,5,FALSE)</f>
        <v>The number of unique individuals being categorized. Depending on the Event Type, this may be recorded as the total number of individuals, or according to Age Class and*/or Sex Class.</v>
      </c>
      <c r="L179" t="s">
        <v>1600</v>
      </c>
      <c r="M179" s="30" t="str">
        <f t="shared" si="7"/>
        <v>{{ individual_count_tu }}</v>
      </c>
      <c r="N179" t="s">
        <v>896</v>
      </c>
      <c r="O179" s="13" t="s">
        <v>1816</v>
      </c>
      <c r="P179" t="s">
        <v>4582</v>
      </c>
      <c r="Q179"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79" t="b" cm="1">
        <f t="array" ref="R179">SUMPRODUCT(--EXACT($J$2:$J$490,J179))&gt;1</f>
        <v>0</v>
      </c>
      <c r="S179" t="s">
        <v>4854</v>
      </c>
    </row>
    <row r="180" spans="1:19">
      <c r="A180" s="30">
        <v>3</v>
      </c>
      <c r="B180" s="30" t="s">
        <v>1393</v>
      </c>
      <c r="C180" s="30"/>
      <c r="D180" s="30" t="s">
        <v>1207</v>
      </c>
      <c r="E180" s="30" t="s">
        <v>984</v>
      </c>
      <c r="F180" s="30" t="s">
        <v>164</v>
      </c>
      <c r="G180" s="39" t="str">
        <f>VLOOKUP(F180,glossary!J:N,2,FALSE)</f>
        <v>Inter-detection interval</v>
      </c>
      <c r="H180" s="34" t="s">
        <v>164</v>
      </c>
      <c r="I180" s="45" t="str">
        <f t="shared" si="6"/>
        <v>inter_detection_interval_tl</v>
      </c>
      <c r="J180" s="43" t="s">
        <v>932</v>
      </c>
      <c r="K180" s="39" t="str">
        <f>VLOOKUP(F180,glossary!J:N,5,FALSE)</f>
        <v>A user-defined threshold used to define a single 'detection event' (i.e., independent 'events') for group of images or video clips (e.g., 30 minutes or 1 hour). The threshold should be recorded in the Survey Design Description.</v>
      </c>
      <c r="L180" t="s">
        <v>1599</v>
      </c>
      <c r="M180" s="30" t="str">
        <f t="shared" si="7"/>
        <v>{{ inter_detection_interval_tl }}</v>
      </c>
      <c r="N180" t="s">
        <v>896</v>
      </c>
      <c r="O180" s="13" t="s">
        <v>1816</v>
      </c>
      <c r="P180" t="s">
        <v>4582</v>
      </c>
      <c r="Q180" t="str">
        <f t="shared" si="8"/>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0" t="b" cm="1">
        <f t="array" ref="R180">SUMPRODUCT(--EXACT($J$2:$J$490,J180))&gt;1</f>
        <v>0</v>
      </c>
      <c r="S180" t="s">
        <v>4855</v>
      </c>
    </row>
    <row r="181" spans="1:19">
      <c r="A181" s="30">
        <v>3</v>
      </c>
      <c r="B181" s="30" t="s">
        <v>1393</v>
      </c>
      <c r="C181" s="30"/>
      <c r="D181" s="30" t="s">
        <v>1208</v>
      </c>
      <c r="E181" s="30" t="s">
        <v>984</v>
      </c>
      <c r="F181" s="30" t="s">
        <v>164</v>
      </c>
      <c r="G181" s="39" t="str">
        <f>VLOOKUP(F181,glossary!J:N,2,FALSE)</f>
        <v>Inter-detection interval</v>
      </c>
      <c r="H181" s="34" t="s">
        <v>164</v>
      </c>
      <c r="I181" s="45" t="str">
        <f t="shared" si="6"/>
        <v>inter_detection_interval_tu</v>
      </c>
      <c r="J181" s="42" t="s">
        <v>165</v>
      </c>
      <c r="K181" s="39" t="str">
        <f>VLOOKUP(F181,glossary!J:N,5,FALSE)</f>
        <v>A user-defined threshold used to define a single 'detection event' (i.e., independent 'events') for group of images or video clips (e.g., 30 minutes or 1 hour). The threshold should be recorded in the Survey Design Description.</v>
      </c>
      <c r="L181" t="s">
        <v>1598</v>
      </c>
      <c r="M181" s="30" t="str">
        <f t="shared" si="7"/>
        <v>{{ inter_detection_interval_tu }}</v>
      </c>
      <c r="N181" t="s">
        <v>896</v>
      </c>
      <c r="O181" s="13" t="s">
        <v>1816</v>
      </c>
      <c r="P181" t="s">
        <v>4582</v>
      </c>
      <c r="Q181" t="str">
        <f t="shared" si="8"/>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1" t="b" cm="1">
        <f t="array" ref="R181">SUMPRODUCT(--EXACT($J$2:$J$490,J181))&gt;1</f>
        <v>0</v>
      </c>
      <c r="S181" t="s">
        <v>4856</v>
      </c>
    </row>
    <row r="182" spans="1:19">
      <c r="A182" s="30">
        <v>3</v>
      </c>
      <c r="B182" s="30" t="s">
        <v>1393</v>
      </c>
      <c r="C182" s="30"/>
      <c r="D182" s="30" t="s">
        <v>1207</v>
      </c>
      <c r="E182" s="30" t="s">
        <v>984</v>
      </c>
      <c r="F182" s="30" t="s">
        <v>519</v>
      </c>
      <c r="G182" s="39" t="str">
        <f>VLOOKUP(F182,glossary!J:N,2,FALSE)</f>
        <v>Kernel density estimator</v>
      </c>
      <c r="H182" s="34" t="s">
        <v>519</v>
      </c>
      <c r="I182" s="45" t="str">
        <f t="shared" si="6"/>
        <v>kernel_density_estimator_tl</v>
      </c>
      <c r="J182" s="43" t="s">
        <v>934</v>
      </c>
      <c r="K182" s="39" t="str">
        <f>VLOOKUP(F182,glossary!J:N,5,FALSE)</f>
        <v>The probability of 'utilization' (Jennrich &amp; Turner, 1969); describes the relative probability of use (Powell &amp; Mitchell, 2012).</v>
      </c>
      <c r="L182" t="s">
        <v>1597</v>
      </c>
      <c r="M182" s="30" t="str">
        <f t="shared" si="7"/>
        <v>{{ kernel_density_estimator_tl }}</v>
      </c>
      <c r="N182" t="s">
        <v>896</v>
      </c>
      <c r="O182" s="13" t="s">
        <v>1816</v>
      </c>
      <c r="P182" t="s">
        <v>4582</v>
      </c>
      <c r="Q182" t="str">
        <f t="shared" si="8"/>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2" t="b" cm="1">
        <f t="array" ref="R182">SUMPRODUCT(--EXACT($J$2:$J$490,J182))&gt;1</f>
        <v>0</v>
      </c>
      <c r="S182" t="s">
        <v>4857</v>
      </c>
    </row>
    <row r="183" spans="1:19">
      <c r="A183" s="30">
        <v>3</v>
      </c>
      <c r="B183" s="30" t="s">
        <v>1393</v>
      </c>
      <c r="C183" s="30"/>
      <c r="D183" s="30" t="s">
        <v>1208</v>
      </c>
      <c r="E183" s="30" t="s">
        <v>984</v>
      </c>
      <c r="F183" s="30" t="s">
        <v>519</v>
      </c>
      <c r="G183" s="39" t="str">
        <f>VLOOKUP(F183,glossary!J:N,2,FALSE)</f>
        <v>Kernel density estimator</v>
      </c>
      <c r="H183" s="34" t="s">
        <v>519</v>
      </c>
      <c r="I183" s="45" t="str">
        <f t="shared" si="6"/>
        <v>kernel_density_estimator_tu</v>
      </c>
      <c r="J183" s="42" t="s">
        <v>520</v>
      </c>
      <c r="K183" s="39" t="str">
        <f>VLOOKUP(F183,glossary!J:N,5,FALSE)</f>
        <v>The probability of 'utilization' (Jennrich &amp; Turner, 1969); describes the relative probability of use (Powell &amp; Mitchell, 2012).</v>
      </c>
      <c r="L183" t="s">
        <v>1596</v>
      </c>
      <c r="M183" s="30" t="str">
        <f t="shared" si="7"/>
        <v>{{ kernel_density_estimator_tu }}</v>
      </c>
      <c r="N183" t="s">
        <v>896</v>
      </c>
      <c r="O183" s="13" t="s">
        <v>1816</v>
      </c>
      <c r="P183" t="s">
        <v>4582</v>
      </c>
      <c r="Q183" t="str">
        <f t="shared" si="8"/>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3" t="b" cm="1">
        <f t="array" ref="R183">SUMPRODUCT(--EXACT($J$2:$J$490,J183))&gt;1</f>
        <v>0</v>
      </c>
      <c r="S183" t="s">
        <v>4858</v>
      </c>
    </row>
    <row r="184" spans="1:19">
      <c r="A184" s="30">
        <v>3</v>
      </c>
      <c r="B184" s="30" t="s">
        <v>1393</v>
      </c>
      <c r="C184" s="30"/>
      <c r="D184" s="30" t="s">
        <v>1208</v>
      </c>
      <c r="E184" s="30" t="s">
        <v>984</v>
      </c>
      <c r="F184" s="30" t="s">
        <v>326</v>
      </c>
      <c r="G184" s="39" t="str">
        <f>VLOOKUP(F184,glossary!J:N,2,FALSE)</f>
        <v>Key ID</v>
      </c>
      <c r="H184" s="34" t="s">
        <v>326</v>
      </c>
      <c r="I184" s="45" t="str">
        <f t="shared" si="6"/>
        <v>key_id_tu</v>
      </c>
      <c r="J184" s="42" t="s">
        <v>750</v>
      </c>
      <c r="K184" s="39" t="str">
        <f>VLOOKUP(F184,glossary!J:N,5,FALSE)</f>
        <v>The unique ID for the specific key or set of keys used to lock*/secure the camera to the post, tree, etc.</v>
      </c>
      <c r="L184" t="s">
        <v>1595</v>
      </c>
      <c r="M184" s="30" t="str">
        <f t="shared" si="7"/>
        <v>{{ key_id_tu }}</v>
      </c>
      <c r="N184" t="s">
        <v>896</v>
      </c>
      <c r="O184" s="13" t="s">
        <v>1816</v>
      </c>
      <c r="P184" t="s">
        <v>4582</v>
      </c>
      <c r="Q184" t="str">
        <f t="shared" si="8"/>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184" t="b" cm="1">
        <f t="array" ref="R184">SUMPRODUCT(--EXACT($J$2:$J$490,J184))&gt;1</f>
        <v>0</v>
      </c>
      <c r="S184" t="s">
        <v>4859</v>
      </c>
    </row>
    <row r="185" spans="1:19">
      <c r="A185" s="30">
        <v>3</v>
      </c>
      <c r="B185" s="30" t="s">
        <v>1393</v>
      </c>
      <c r="C185" s="30"/>
      <c r="D185" s="30" t="s">
        <v>1208</v>
      </c>
      <c r="E185" s="30" t="s">
        <v>984</v>
      </c>
      <c r="F185" s="30" t="s">
        <v>1222</v>
      </c>
      <c r="G185" s="39" t="str">
        <f>VLOOKUP(F185,glossary!J:N,2,FALSE)</f>
        <v>Latitude Camera Location</v>
      </c>
      <c r="H185" s="34" t="s">
        <v>1222</v>
      </c>
      <c r="I185" s="45" t="str">
        <f t="shared" si="6"/>
        <v>latitude_cam_location_tu</v>
      </c>
      <c r="J185" s="42" t="s">
        <v>703</v>
      </c>
      <c r="K185" s="39" t="str">
        <f>VLOOKUP(F185,glossary!J:N,5,FALSE)</f>
        <v>The latitude of the camera location in decimal degrees to five decimal places (e.g., '53.78136'). Leave blank if recording Northing instead.</v>
      </c>
      <c r="L185" t="s">
        <v>1594</v>
      </c>
      <c r="M185" s="30" t="str">
        <f t="shared" si="7"/>
        <v>{{ latitude_cam_location_tu }}</v>
      </c>
      <c r="N185" t="s">
        <v>896</v>
      </c>
      <c r="O185" s="13" t="s">
        <v>1816</v>
      </c>
      <c r="P185" t="s">
        <v>4582</v>
      </c>
      <c r="Q185" t="str">
        <f t="shared" si="8"/>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185" t="b" cm="1">
        <f t="array" ref="R185">SUMPRODUCT(--EXACT($J$2:$J$490,J185))&gt;1</f>
        <v>0</v>
      </c>
      <c r="S185" t="s">
        <v>4860</v>
      </c>
    </row>
    <row r="186" spans="1:19">
      <c r="A186" s="30">
        <v>3</v>
      </c>
      <c r="B186" s="30" t="s">
        <v>1393</v>
      </c>
      <c r="C186" s="30"/>
      <c r="D186" s="30" t="s">
        <v>1208</v>
      </c>
      <c r="E186" s="30" t="s">
        <v>984</v>
      </c>
      <c r="F186" s="30" t="s">
        <v>1223</v>
      </c>
      <c r="G186" s="39" t="str">
        <f>VLOOKUP(F186,glossary!J:N,2,FALSE)</f>
        <v>Longitude Camera Location</v>
      </c>
      <c r="H186" s="34" t="s">
        <v>1223</v>
      </c>
      <c r="I186" s="45" t="str">
        <f t="shared" si="6"/>
        <v>longitude_cam_location_tu</v>
      </c>
      <c r="J186" s="42" t="s">
        <v>704</v>
      </c>
      <c r="K186" s="39" t="str">
        <f>VLOOKUP(F186,glossary!J:N,5,FALSE)</f>
        <v>The longitude of the camera location in decimal degrees to five decimal places (e.g., '-113.46067'). Leave blank if recording Easting instead.</v>
      </c>
      <c r="L186" t="s">
        <v>1593</v>
      </c>
      <c r="M186" s="30" t="str">
        <f t="shared" si="7"/>
        <v>{{ longitude_cam_location_tu }}</v>
      </c>
      <c r="N186" t="s">
        <v>896</v>
      </c>
      <c r="O186" s="13" t="s">
        <v>1816</v>
      </c>
      <c r="P186" t="s">
        <v>4582</v>
      </c>
      <c r="Q186" t="str">
        <f t="shared" si="8"/>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186" t="b" cm="1">
        <f t="array" ref="R186">SUMPRODUCT(--EXACT($J$2:$J$490,J186))&gt;1</f>
        <v>0</v>
      </c>
      <c r="S186" t="s">
        <v>4861</v>
      </c>
    </row>
    <row r="187" spans="1:19">
      <c r="A187" s="30">
        <v>2</v>
      </c>
      <c r="B187" s="30" t="s">
        <v>1400</v>
      </c>
      <c r="C187" s="30"/>
      <c r="D187" s="30" t="s">
        <v>1207</v>
      </c>
      <c r="E187" s="30" t="s">
        <v>984</v>
      </c>
      <c r="F187" s="30" t="s">
        <v>155</v>
      </c>
      <c r="G187" s="39" t="str">
        <f>VLOOKUP(F187,glossary!J:N,2,FALSE)</f>
        <v>Metadata</v>
      </c>
      <c r="H187" s="30" t="s">
        <v>155</v>
      </c>
      <c r="I187" s="45" t="str">
        <f t="shared" si="6"/>
        <v>metadata_tl</v>
      </c>
      <c r="J187" s="39" t="s">
        <v>155</v>
      </c>
      <c r="K187" s="39" t="str">
        <f>VLOOKUP(F187,glossary!J:N,5,FALSE)</f>
        <v>Data that provides information about other data (e.g., the number of images on an SD card).</v>
      </c>
      <c r="L187" s="30" t="s">
        <v>1592</v>
      </c>
      <c r="M187" s="30" t="str">
        <f t="shared" si="7"/>
        <v>{{ metadata_tl }}</v>
      </c>
      <c r="N187" t="s">
        <v>896</v>
      </c>
      <c r="O187" s="13" t="s">
        <v>1816</v>
      </c>
      <c r="P187" t="s">
        <v>4582</v>
      </c>
      <c r="Q187" t="str">
        <f t="shared" si="8"/>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7" t="b" cm="1">
        <f t="array" ref="R187">SUMPRODUCT(--EXACT($J$2:$J$490,J187))&gt;1</f>
        <v>0</v>
      </c>
      <c r="S187" t="s">
        <v>4862</v>
      </c>
    </row>
    <row r="188" spans="1:19">
      <c r="A188" s="30">
        <v>2</v>
      </c>
      <c r="B188" s="30" t="s">
        <v>1400</v>
      </c>
      <c r="C188" s="30"/>
      <c r="D188" s="30" t="s">
        <v>1208</v>
      </c>
      <c r="E188" s="30" t="s">
        <v>984</v>
      </c>
      <c r="F188" s="30" t="s">
        <v>155</v>
      </c>
      <c r="G188" s="39" t="str">
        <f>VLOOKUP(F188,glossary!J:N,2,FALSE)</f>
        <v>Metadata</v>
      </c>
      <c r="H188" s="30" t="s">
        <v>155</v>
      </c>
      <c r="I188" s="45" t="str">
        <f t="shared" si="6"/>
        <v>metadata_tu</v>
      </c>
      <c r="J188" s="39" t="s">
        <v>157</v>
      </c>
      <c r="K188" s="39" t="str">
        <f>VLOOKUP(F188,glossary!J:N,5,FALSE)</f>
        <v>Data that provides information about other data (e.g., the number of images on an SD card).</v>
      </c>
      <c r="L188" s="30" t="s">
        <v>1591</v>
      </c>
      <c r="M188" s="30" t="str">
        <f t="shared" si="7"/>
        <v>{{ metadata_tu }}</v>
      </c>
      <c r="N188" t="s">
        <v>896</v>
      </c>
      <c r="O188" s="13" t="s">
        <v>1816</v>
      </c>
      <c r="P188" t="s">
        <v>4582</v>
      </c>
      <c r="Q188" t="str">
        <f t="shared" si="8"/>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8" t="b" cm="1">
        <f t="array" ref="R188">SUMPRODUCT(--EXACT($J$2:$J$490,J188))&gt;1</f>
        <v>0</v>
      </c>
      <c r="S188" t="s">
        <v>4863</v>
      </c>
    </row>
    <row r="189" spans="1:19">
      <c r="A189" s="30">
        <v>3</v>
      </c>
      <c r="B189" s="30" t="s">
        <v>1393</v>
      </c>
      <c r="C189" s="30"/>
      <c r="D189" s="30" t="s">
        <v>1208</v>
      </c>
      <c r="E189" s="30" t="s">
        <v>823</v>
      </c>
      <c r="F189" s="30" t="s">
        <v>21</v>
      </c>
      <c r="G189" s="39" t="str">
        <f>VLOOKUP(F189,glossary!J:N,2,FALSE)</f>
        <v>Spatial partial identity model (2-flank SPIM) (Augustine et al., 2018)</v>
      </c>
      <c r="H189" s="34" t="s">
        <v>21</v>
      </c>
      <c r="I189" s="45" t="str">
        <f t="shared" si="6"/>
        <v>mod_2flankspim_tu_ref</v>
      </c>
      <c r="J189" s="42" t="s">
        <v>104</v>
      </c>
      <c r="K189" s="39" t="str">
        <f>VLOOKUP(F189,glossary!J:N,5,FALSE)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189" t="s">
        <v>1590</v>
      </c>
      <c r="M189" s="30" t="str">
        <f t="shared" si="7"/>
        <v>{{ mod_2flankspim_tu_ref }}</v>
      </c>
      <c r="N189" t="s">
        <v>896</v>
      </c>
      <c r="O189" s="13" t="s">
        <v>1816</v>
      </c>
      <c r="P189" t="s">
        <v>4582</v>
      </c>
      <c r="Q189" t="str">
        <f t="shared" si="8"/>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189" t="b" cm="1">
        <f t="array" ref="R189">SUMPRODUCT(--EXACT($J$2:$J$490,J189))&gt;1</f>
        <v>0</v>
      </c>
      <c r="S189" t="s">
        <v>4864</v>
      </c>
    </row>
    <row r="190" spans="1:19">
      <c r="A190" s="30">
        <v>3</v>
      </c>
      <c r="B190" s="30" t="s">
        <v>1393</v>
      </c>
      <c r="C190" s="30"/>
      <c r="D190" s="30" t="s">
        <v>1207</v>
      </c>
      <c r="E190" s="30" t="s">
        <v>984</v>
      </c>
      <c r="F190" s="30" t="s">
        <v>1371</v>
      </c>
      <c r="G190" s="39" t="str">
        <f>VLOOKUP(F190,glossary!J:N,2,FALSE)</f>
        <v>Modelling approach</v>
      </c>
      <c r="H190" s="34" t="s">
        <v>1371</v>
      </c>
      <c r="I190" s="45" t="str">
        <f t="shared" si="6"/>
        <v>mod_approach_tl</v>
      </c>
      <c r="J190" s="43" t="s">
        <v>937</v>
      </c>
      <c r="K190" s="39" t="str">
        <f>VLOOKUP(F190,glossary!J:N,5,FALSE)</f>
        <v>The method used to analyze the camera data, which should depend on the state variable, e.g., occupancy models [MacKenzie et al., 2002], spatially explicit capture recapture (SECR) for density estimation [Chandler &amp; Royle, 2013], etc. and the Target Species.</v>
      </c>
      <c r="L190" t="s">
        <v>1589</v>
      </c>
      <c r="M190" s="30" t="str">
        <f t="shared" si="7"/>
        <v>{{ mod_approach_tl }}</v>
      </c>
      <c r="N190" t="s">
        <v>896</v>
      </c>
      <c r="O190" s="13" t="s">
        <v>1816</v>
      </c>
      <c r="P190" t="s">
        <v>4582</v>
      </c>
      <c r="Q190" t="str">
        <f t="shared" si="8"/>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0" t="b" cm="1">
        <f t="array" ref="R190">SUMPRODUCT(--EXACT($J$2:$J$490,J190))&gt;1</f>
        <v>0</v>
      </c>
      <c r="S190" t="s">
        <v>4865</v>
      </c>
    </row>
    <row r="191" spans="1:19">
      <c r="A191" s="30">
        <v>1</v>
      </c>
      <c r="B191" s="30" t="s">
        <v>1064</v>
      </c>
      <c r="C191" s="30" t="s">
        <v>429</v>
      </c>
      <c r="D191" s="30" t="s">
        <v>1207</v>
      </c>
      <c r="E191" s="30" t="s">
        <v>1752</v>
      </c>
      <c r="F191" s="30" t="s">
        <v>1371</v>
      </c>
      <c r="G191" s="39" t="str">
        <f>VLOOKUP(F191,glossary!J:N,2,FALSE)</f>
        <v>Modelling approach</v>
      </c>
      <c r="H191" s="30" t="s">
        <v>1371</v>
      </c>
      <c r="I191" s="45" t="str">
        <f t="shared" si="6"/>
        <v>mod_approach_tl_abrv</v>
      </c>
      <c r="J191" s="39" t="s">
        <v>4</v>
      </c>
      <c r="K191" s="39" t="str">
        <f>VLOOKUP(F191,glossary!J:N,5,FALSE)</f>
        <v>The method used to analyze the camera data, which should depend on the state variable, e.g., occupancy models [MacKenzie et al., 2002], spatially explicit capture recapture (SECR) for density estimation [Chandler &amp; Royle, 2013], etc. and the Target Species.</v>
      </c>
      <c r="L191" s="30" t="s">
        <v>1725</v>
      </c>
      <c r="M191" s="30" t="str">
        <f t="shared" si="7"/>
        <v>{{ mod_approach_tl_abrv }}</v>
      </c>
      <c r="N191" t="s">
        <v>896</v>
      </c>
      <c r="O191" s="13" t="s">
        <v>1816</v>
      </c>
      <c r="P191" t="s">
        <v>4582</v>
      </c>
      <c r="Q191" t="str">
        <f t="shared" si="8"/>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191" t="b" cm="1">
        <f t="array" ref="R191">SUMPRODUCT(--EXACT($J$2:$J$490,J191))&gt;1</f>
        <v>0</v>
      </c>
      <c r="S191" t="s">
        <v>4866</v>
      </c>
    </row>
    <row r="192" spans="1:19">
      <c r="A192" s="30">
        <v>1</v>
      </c>
      <c r="B192" s="30" t="s">
        <v>1064</v>
      </c>
      <c r="C192" s="30"/>
      <c r="D192" s="30" t="s">
        <v>1207</v>
      </c>
      <c r="E192" s="30" t="s">
        <v>1764</v>
      </c>
      <c r="F192" s="30" t="s">
        <v>1371</v>
      </c>
      <c r="G192" s="39" t="str">
        <f>VLOOKUP(F192,glossary!J:N,2,FALSE)</f>
        <v>Modelling approach</v>
      </c>
      <c r="H192" s="30" t="s">
        <v>1371</v>
      </c>
      <c r="I192" s="45" t="str">
        <f t="shared" si="6"/>
        <v>mod_approach_tl_es</v>
      </c>
      <c r="J192" s="39" t="s">
        <v>1391</v>
      </c>
      <c r="K192" s="39" t="str">
        <f>VLOOKUP(F192,glossary!J:N,5,FALSE)</f>
        <v>The method used to analyze the camera data, which should depend on the state variable, e.g., occupancy models [MacKenzie et al., 2002], spatially explicit capture recapture (SECR) for density estimation [Chandler &amp; Royle, 2013], etc. and the Target Species.</v>
      </c>
      <c r="L192" s="40" t="s">
        <v>1392</v>
      </c>
      <c r="M192" s="30" t="str">
        <f t="shared" si="7"/>
        <v>{{ mod_approach_tl_es }}</v>
      </c>
      <c r="N192" t="s">
        <v>896</v>
      </c>
      <c r="O192" s="13" t="s">
        <v>1816</v>
      </c>
      <c r="P192" t="s">
        <v>4582</v>
      </c>
      <c r="Q192" t="str">
        <f t="shared" si="8"/>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2" t="b" cm="1">
        <f t="array" ref="R192">SUMPRODUCT(--EXACT($J$2:$J$490,J192))&gt;1</f>
        <v>0</v>
      </c>
      <c r="S192" t="s">
        <v>4867</v>
      </c>
    </row>
    <row r="193" spans="1:19">
      <c r="A193" s="30">
        <v>1</v>
      </c>
      <c r="B193" s="30" t="s">
        <v>1064</v>
      </c>
      <c r="C193" s="30"/>
      <c r="D193" s="30" t="s">
        <v>1207</v>
      </c>
      <c r="E193" s="30" t="s">
        <v>1758</v>
      </c>
      <c r="F193" s="30" t="s">
        <v>1371</v>
      </c>
      <c r="G193" s="39" t="str">
        <f>VLOOKUP(F193,glossary!J:N,2,FALSE)</f>
        <v>Modelling approach</v>
      </c>
      <c r="H193" s="30" t="s">
        <v>1371</v>
      </c>
      <c r="I193" s="45" t="str">
        <f t="shared" si="6"/>
        <v>mod_approach_tl_pl</v>
      </c>
      <c r="J193" s="39" t="s">
        <v>1389</v>
      </c>
      <c r="K193" s="39" t="str">
        <f>VLOOKUP(F193,glossary!J:N,5,FALSE)</f>
        <v>The method used to analyze the camera data, which should depend on the state variable, e.g., occupancy models [MacKenzie et al., 2002], spatially explicit capture recapture (SECR) for density estimation [Chandler &amp; Royle, 2013], etc. and the Target Species.</v>
      </c>
      <c r="L193" s="30" t="s">
        <v>1390</v>
      </c>
      <c r="M193" s="30" t="str">
        <f t="shared" si="7"/>
        <v>{{ mod_approach_tl_pl }}</v>
      </c>
      <c r="N193" t="s">
        <v>896</v>
      </c>
      <c r="O193" s="13" t="s">
        <v>1816</v>
      </c>
      <c r="P193" t="s">
        <v>4582</v>
      </c>
      <c r="Q193" t="str">
        <f t="shared" si="8"/>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3" t="b" cm="1">
        <f t="array" ref="R193">SUMPRODUCT(--EXACT($J$2:$J$490,J193))&gt;1</f>
        <v>0</v>
      </c>
      <c r="S193" t="s">
        <v>4868</v>
      </c>
    </row>
    <row r="194" spans="1:19">
      <c r="A194" s="30">
        <v>3</v>
      </c>
      <c r="B194" s="30" t="s">
        <v>1393</v>
      </c>
      <c r="C194" s="30"/>
      <c r="D194" s="30" t="s">
        <v>1208</v>
      </c>
      <c r="E194" s="30" t="s">
        <v>984</v>
      </c>
      <c r="F194" s="30" t="s">
        <v>1371</v>
      </c>
      <c r="G194" s="39" t="str">
        <f>VLOOKUP(F194,glossary!J:N,2,FALSE)</f>
        <v>Modelling approach</v>
      </c>
      <c r="H194" s="34" t="s">
        <v>1371</v>
      </c>
      <c r="I194" s="45" t="str">
        <f t="shared" ref="I194:I257" si="9">IF(D194="-","-",IF(E194&lt;&gt;"-",(H194&amp;"_"&amp;D194&amp;"_"&amp;E194),H194&amp;"_"&amp;D194))</f>
        <v>mod_approach_tu</v>
      </c>
      <c r="J194" s="42" t="s">
        <v>153</v>
      </c>
      <c r="K194" s="39" t="str">
        <f>VLOOKUP(F194,glossary!J:N,5,FALSE)</f>
        <v>The method used to analyze the camera data, which should depend on the state variable, e.g., occupancy models [MacKenzie et al., 2002], spatially explicit capture recapture (SECR) for density estimation [Chandler &amp; Royle, 2013], etc. and the Target Species.</v>
      </c>
      <c r="L194" t="s">
        <v>1588</v>
      </c>
      <c r="M194" s="30" t="str">
        <f t="shared" ref="M194:M257" si="10">"{{ "&amp;I194&amp;" }}"</f>
        <v>{{ mod_approach_tu }}</v>
      </c>
      <c r="N194" t="s">
        <v>896</v>
      </c>
      <c r="O194" s="13" t="s">
        <v>1816</v>
      </c>
      <c r="P194" t="s">
        <v>4582</v>
      </c>
      <c r="Q194" t="str">
        <f t="shared" ref="Q194:Q257" si="11">IF(K194&lt;&gt;"-",("    "&amp;I194&amp;": "&amp;""""&amp;"&lt;a href=\"&amp;""""&amp;"09_glossary.html#"&amp;H194&amp;N194&amp;G194&amp;": "&amp;K194&amp;O194&amp;J194&amp;P194&amp;""""),"-")</f>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4" t="b" cm="1">
        <f t="array" ref="R194">SUMPRODUCT(--EXACT($J$2:$J$490,J194))&gt;1</f>
        <v>0</v>
      </c>
      <c r="S194" t="s">
        <v>4869</v>
      </c>
    </row>
    <row r="195" spans="1:19">
      <c r="A195" s="30">
        <v>1</v>
      </c>
      <c r="B195" s="30" t="s">
        <v>1064</v>
      </c>
      <c r="C195" s="30"/>
      <c r="D195" s="30" t="s">
        <v>1208</v>
      </c>
      <c r="E195" s="30" t="s">
        <v>1764</v>
      </c>
      <c r="F195" s="30" t="s">
        <v>1371</v>
      </c>
      <c r="G195" s="39" t="str">
        <f>VLOOKUP(F195,glossary!J:N,2,FALSE)</f>
        <v>Modelling approach</v>
      </c>
      <c r="H195" s="30" t="s">
        <v>1371</v>
      </c>
      <c r="I195" s="45" t="str">
        <f t="shared" si="9"/>
        <v>mod_approach_tu_es</v>
      </c>
      <c r="J195" s="39" t="s">
        <v>1778</v>
      </c>
      <c r="K195" s="39" t="str">
        <f>VLOOKUP(F195,glossary!J:N,5,FALSE)</f>
        <v>The method used to analyze the camera data, which should depend on the state variable, e.g., occupancy models [MacKenzie et al., 2002], spatially explicit capture recapture (SECR) for density estimation [Chandler &amp; Royle, 2013], etc. and the Target Species.</v>
      </c>
      <c r="L195" s="30" t="s">
        <v>1392</v>
      </c>
      <c r="M195" s="30" t="str">
        <f t="shared" si="10"/>
        <v>{{ mod_approach_tu_es }}</v>
      </c>
      <c r="N195" t="s">
        <v>896</v>
      </c>
      <c r="O195" s="13" t="s">
        <v>1816</v>
      </c>
      <c r="P195" t="s">
        <v>4582</v>
      </c>
      <c r="Q195"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5" t="b" cm="1">
        <f t="array" ref="R195">SUMPRODUCT(--EXACT($J$2:$J$490,J195))&gt;1</f>
        <v>0</v>
      </c>
      <c r="S195" t="s">
        <v>4870</v>
      </c>
    </row>
    <row r="196" spans="1:19">
      <c r="A196" s="30">
        <v>1</v>
      </c>
      <c r="B196" s="30" t="s">
        <v>1064</v>
      </c>
      <c r="C196" s="30" t="s">
        <v>0</v>
      </c>
      <c r="D196" s="30" t="s">
        <v>1208</v>
      </c>
      <c r="E196" s="30" t="s">
        <v>1758</v>
      </c>
      <c r="F196" s="30" t="s">
        <v>1371</v>
      </c>
      <c r="G196" s="39" t="str">
        <f>VLOOKUP(F196,glossary!J:N,2,FALSE)</f>
        <v>Modelling approach</v>
      </c>
      <c r="H196" s="30" t="s">
        <v>1371</v>
      </c>
      <c r="I196" s="45" t="str">
        <f t="shared" si="9"/>
        <v>mod_approach_tu_pl</v>
      </c>
      <c r="J196" s="39" t="s">
        <v>1166</v>
      </c>
      <c r="K196" s="39" t="str">
        <f>VLOOKUP(F196,glossary!J:N,5,FALSE)</f>
        <v>The method used to analyze the camera data, which should depend on the state variable, e.g., occupancy models [MacKenzie et al., 2002], spatially explicit capture recapture (SECR) for density estimation [Chandler &amp; Royle, 2013], etc. and the Target Species.</v>
      </c>
      <c r="L196" s="30" t="s">
        <v>1724</v>
      </c>
      <c r="M196" s="30" t="str">
        <f t="shared" si="10"/>
        <v>{{ mod_approach_tu_pl }}</v>
      </c>
      <c r="N196" t="s">
        <v>896</v>
      </c>
      <c r="O196" s="13" t="s">
        <v>1816</v>
      </c>
      <c r="P196" t="s">
        <v>4582</v>
      </c>
      <c r="Q196"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6" t="b" cm="1">
        <f t="array" ref="R196">SUMPRODUCT(--EXACT($J$2:$J$490,J196))&gt;1</f>
        <v>0</v>
      </c>
      <c r="S196" t="s">
        <v>4871</v>
      </c>
    </row>
    <row r="197" spans="1:19">
      <c r="A197" s="30">
        <v>3</v>
      </c>
      <c r="B197" s="30" t="s">
        <v>1393</v>
      </c>
      <c r="C197" s="30"/>
      <c r="D197" s="30" t="s">
        <v>1207</v>
      </c>
      <c r="E197" s="30" t="s">
        <v>984</v>
      </c>
      <c r="F197" s="30" t="s">
        <v>1372</v>
      </c>
      <c r="G197" s="39" t="str">
        <f>VLOOKUP(F197,glossary!J:N,2,FALSE)</f>
        <v>Model assumption</v>
      </c>
      <c r="H197" s="34" t="s">
        <v>1372</v>
      </c>
      <c r="I197" s="45" t="str">
        <f t="shared" si="9"/>
        <v>mod_assumption_tl</v>
      </c>
      <c r="J197" s="43" t="s">
        <v>936</v>
      </c>
      <c r="K197" s="39" t="str">
        <f>VLOOKUP(F197,glossary!J:N,5,FALSE)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7" t="s">
        <v>1587</v>
      </c>
      <c r="M197" s="30" t="str">
        <f t="shared" si="10"/>
        <v>{{ mod_assumption_tl }}</v>
      </c>
      <c r="N197" t="s">
        <v>896</v>
      </c>
      <c r="O197" s="13" t="s">
        <v>1816</v>
      </c>
      <c r="P197" t="s">
        <v>4582</v>
      </c>
      <c r="Q197"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197" t="b" cm="1">
        <f t="array" ref="R197">SUMPRODUCT(--EXACT($J$2:$J$490,J197))&gt;1</f>
        <v>0</v>
      </c>
      <c r="S197" t="s">
        <v>4872</v>
      </c>
    </row>
    <row r="198" spans="1:19">
      <c r="A198" s="30">
        <v>1</v>
      </c>
      <c r="B198" s="30" t="s">
        <v>1064</v>
      </c>
      <c r="C198" s="30" t="s">
        <v>429</v>
      </c>
      <c r="D198" s="30" t="s">
        <v>1207</v>
      </c>
      <c r="E198" s="30" t="s">
        <v>1752</v>
      </c>
      <c r="F198" s="30" t="s">
        <v>1372</v>
      </c>
      <c r="G198" s="39" t="str">
        <f>VLOOKUP(F198,glossary!J:N,2,FALSE)</f>
        <v>Model assumption</v>
      </c>
      <c r="H198" s="30" t="s">
        <v>1372</v>
      </c>
      <c r="I198" s="45" t="str">
        <f t="shared" si="9"/>
        <v>mod_assumption_tl_abrv</v>
      </c>
      <c r="J198" s="39" t="s">
        <v>1722</v>
      </c>
      <c r="K198" s="39" t="str">
        <f>VLOOKUP(F198,glossary!J:N,5,FALSE)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8" s="30" t="s">
        <v>1723</v>
      </c>
      <c r="M198" s="30" t="str">
        <f t="shared" si="10"/>
        <v>{{ mod_assumption_tl_abrv }}</v>
      </c>
      <c r="N198" t="s">
        <v>896</v>
      </c>
      <c r="O198" s="13" t="s">
        <v>1816</v>
      </c>
      <c r="P198" t="s">
        <v>4582</v>
      </c>
      <c r="Q198"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198" t="b" cm="1">
        <f t="array" ref="R198">SUMPRODUCT(--EXACT($J$2:$J$490,J198))&gt;1</f>
        <v>0</v>
      </c>
      <c r="S198" t="s">
        <v>4873</v>
      </c>
    </row>
    <row r="199" spans="1:19">
      <c r="A199" s="30">
        <v>1</v>
      </c>
      <c r="B199" s="30" t="s">
        <v>1064</v>
      </c>
      <c r="C199" s="30"/>
      <c r="D199" s="30" t="s">
        <v>1207</v>
      </c>
      <c r="E199" s="30" t="s">
        <v>1759</v>
      </c>
      <c r="F199" s="30" t="s">
        <v>1372</v>
      </c>
      <c r="G199" s="39" t="str">
        <f>VLOOKUP(F199,glossary!J:N,2,FALSE)</f>
        <v>Model assumption</v>
      </c>
      <c r="H199" s="30" t="s">
        <v>1372</v>
      </c>
      <c r="I199" s="45" t="str">
        <f t="shared" si="9"/>
        <v>mod_assumption_tl_abrv_pl</v>
      </c>
      <c r="J199" s="39" t="s">
        <v>1195</v>
      </c>
      <c r="K199" s="39" t="str">
        <f>VLOOKUP(F199,glossary!J:N,5,FALSE)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9" s="30" t="s">
        <v>1721</v>
      </c>
      <c r="M199" s="30" t="str">
        <f t="shared" si="10"/>
        <v>{{ mod_assumption_tl_abrv_pl }}</v>
      </c>
      <c r="N199" t="s">
        <v>896</v>
      </c>
      <c r="O199" s="13" t="s">
        <v>1816</v>
      </c>
      <c r="P199" t="s">
        <v>4582</v>
      </c>
      <c r="Q199"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199" t="b" cm="1">
        <f t="array" ref="R199">SUMPRODUCT(--EXACT($J$2:$J$490,J199))&gt;1</f>
        <v>0</v>
      </c>
      <c r="S199" t="s">
        <v>4874</v>
      </c>
    </row>
    <row r="200" spans="1:19">
      <c r="A200" s="30">
        <v>3</v>
      </c>
      <c r="B200" s="30" t="s">
        <v>1393</v>
      </c>
      <c r="C200" s="30"/>
      <c r="D200" s="30" t="s">
        <v>1208</v>
      </c>
      <c r="E200" s="30" t="s">
        <v>984</v>
      </c>
      <c r="F200" s="30" t="s">
        <v>1372</v>
      </c>
      <c r="G200" s="39" t="str">
        <f>VLOOKUP(F200,glossary!J:N,2,FALSE)</f>
        <v>Model assumption</v>
      </c>
      <c r="H200" s="34" t="s">
        <v>1372</v>
      </c>
      <c r="I200" s="45" t="str">
        <f t="shared" si="9"/>
        <v>mod_assumption_tu</v>
      </c>
      <c r="J200" s="42" t="s">
        <v>154</v>
      </c>
      <c r="K200" s="39" t="str">
        <f>VLOOKUP(F200,glossary!J:N,5,FALSE)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0" t="s">
        <v>1586</v>
      </c>
      <c r="M200" s="30" t="str">
        <f t="shared" si="10"/>
        <v>{{ mod_assumption_tu }}</v>
      </c>
      <c r="N200" t="s">
        <v>896</v>
      </c>
      <c r="O200" s="13" t="s">
        <v>1816</v>
      </c>
      <c r="P200" t="s">
        <v>4582</v>
      </c>
      <c r="Q200"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0" t="b" cm="1">
        <f t="array" ref="R200">SUMPRODUCT(--EXACT($J$2:$J$490,J200))&gt;1</f>
        <v>0</v>
      </c>
      <c r="S200" t="s">
        <v>4875</v>
      </c>
    </row>
    <row r="201" spans="1:19">
      <c r="A201" s="30">
        <v>1</v>
      </c>
      <c r="B201" s="30" t="s">
        <v>1064</v>
      </c>
      <c r="C201" s="30"/>
      <c r="D201" s="30" t="s">
        <v>1208</v>
      </c>
      <c r="E201" s="30" t="s">
        <v>1759</v>
      </c>
      <c r="F201" s="30" t="s">
        <v>1372</v>
      </c>
      <c r="G201" s="39" t="str">
        <f>VLOOKUP(F201,glossary!J:N,2,FALSE)</f>
        <v>Model assumption</v>
      </c>
      <c r="H201" s="30" t="s">
        <v>1372</v>
      </c>
      <c r="I201" s="45" t="str">
        <f t="shared" si="9"/>
        <v>mod_assumption_tu_abrv_pl</v>
      </c>
      <c r="J201" s="39" t="s">
        <v>4480</v>
      </c>
      <c r="K201" s="39" t="str">
        <f>VLOOKUP(F201,glossary!J:N,5,FALSE)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1" s="30" t="s">
        <v>1721</v>
      </c>
      <c r="M201" s="30" t="str">
        <f t="shared" si="10"/>
        <v>{{ mod_assumption_tu_abrv_pl }}</v>
      </c>
      <c r="N201" t="s">
        <v>896</v>
      </c>
      <c r="O201" s="13" t="s">
        <v>1816</v>
      </c>
      <c r="P201" t="s">
        <v>4582</v>
      </c>
      <c r="Q201"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1" t="b" cm="1">
        <f t="array" ref="R201">SUMPRODUCT(--EXACT($J$2:$J$490,J201))&gt;1</f>
        <v>0</v>
      </c>
      <c r="S201" t="s">
        <v>4876</v>
      </c>
    </row>
    <row r="202" spans="1:19">
      <c r="A202" s="30">
        <v>1</v>
      </c>
      <c r="B202" s="30" t="s">
        <v>1064</v>
      </c>
      <c r="C202" s="30" t="s">
        <v>0</v>
      </c>
      <c r="D202" s="30" t="s">
        <v>1208</v>
      </c>
      <c r="E202" s="30" t="s">
        <v>1758</v>
      </c>
      <c r="F202" s="30" t="s">
        <v>1372</v>
      </c>
      <c r="G202" s="39" t="str">
        <f>VLOOKUP(F202,glossary!J:N,2,FALSE)</f>
        <v>Model assumption</v>
      </c>
      <c r="H202" s="30" t="s">
        <v>1372</v>
      </c>
      <c r="I202" s="45" t="str">
        <f t="shared" si="9"/>
        <v>mod_assumption_tu_pl</v>
      </c>
      <c r="J202" s="39" t="s">
        <v>1167</v>
      </c>
      <c r="K202" s="39" t="str">
        <f>VLOOKUP(F202,glossary!J:N,5,FALSE)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2" s="30" t="s">
        <v>1720</v>
      </c>
      <c r="M202" s="30" t="str">
        <f t="shared" si="10"/>
        <v>{{ mod_assumption_tu_pl }}</v>
      </c>
      <c r="N202" t="s">
        <v>896</v>
      </c>
      <c r="O202" s="13" t="s">
        <v>1816</v>
      </c>
      <c r="P202" t="s">
        <v>4582</v>
      </c>
      <c r="Q202"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02" t="b" cm="1">
        <f t="array" ref="R202">SUMPRODUCT(--EXACT($J$2:$J$490,J202))&gt;1</f>
        <v>0</v>
      </c>
      <c r="S202" t="s">
        <v>4877</v>
      </c>
    </row>
    <row r="203" spans="1:19">
      <c r="A203" s="30">
        <v>1</v>
      </c>
      <c r="B203" s="30" t="s">
        <v>1064</v>
      </c>
      <c r="C203" s="30" t="s">
        <v>0</v>
      </c>
      <c r="D203" s="30" t="s">
        <v>1208</v>
      </c>
      <c r="E203" s="30" t="s">
        <v>1752</v>
      </c>
      <c r="F203" s="30" t="s">
        <v>22</v>
      </c>
      <c r="G203" s="39" t="str">
        <f>VLOOKUP(F203,glossary!J:N,2,FALSE)</f>
        <v>Categorical partial identity model (Categorical SPIM; catSPIM) (Augustine et al., 2019; Sun et al., 2022)</v>
      </c>
      <c r="H203" s="30" t="s">
        <v>22</v>
      </c>
      <c r="I203" s="45" t="str">
        <f t="shared" si="9"/>
        <v>mod_catspim_tu_abrv</v>
      </c>
      <c r="J203" s="39" t="s">
        <v>1069</v>
      </c>
      <c r="K203" s="39" t="str">
        <f>VLOOKUP(F203,glossary!J:N,5,FALSE)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3" s="30" t="s">
        <v>1133</v>
      </c>
      <c r="M203" s="30" t="str">
        <f t="shared" si="10"/>
        <v>{{ mod_catspim_tu_abrv }}</v>
      </c>
      <c r="N203" t="s">
        <v>896</v>
      </c>
      <c r="O203" s="13" t="s">
        <v>1816</v>
      </c>
      <c r="P203" t="s">
        <v>4582</v>
      </c>
      <c r="Q203" t="str">
        <f t="shared" si="11"/>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203" t="b" cm="1">
        <f t="array" ref="R203">SUMPRODUCT(--EXACT($J$2:$J$490,J203))&gt;1</f>
        <v>0</v>
      </c>
      <c r="S203" t="s">
        <v>4878</v>
      </c>
    </row>
    <row r="204" spans="1:19">
      <c r="A204" s="30">
        <v>3</v>
      </c>
      <c r="B204" s="30" t="s">
        <v>1393</v>
      </c>
      <c r="C204" s="30"/>
      <c r="D204" s="30" t="s">
        <v>1208</v>
      </c>
      <c r="E204" s="30" t="s">
        <v>823</v>
      </c>
      <c r="F204" s="30" t="s">
        <v>22</v>
      </c>
      <c r="G204" s="39" t="str">
        <f>VLOOKUP(F204,glossary!J:N,2,FALSE)</f>
        <v>Categorical partial identity model (Categorical SPIM; catSPIM) (Augustine et al., 2019; Sun et al., 2022)</v>
      </c>
      <c r="H204" s="34" t="s">
        <v>22</v>
      </c>
      <c r="I204" s="45" t="str">
        <f t="shared" si="9"/>
        <v>mod_catspim_tu_ref</v>
      </c>
      <c r="J204" s="42" t="s">
        <v>980</v>
      </c>
      <c r="K204" s="39" t="str">
        <f>VLOOKUP(F204,glossary!J:N,5,FALSE)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4" t="s">
        <v>1585</v>
      </c>
      <c r="M204" s="30" t="str">
        <f t="shared" si="10"/>
        <v>{{ mod_catspim_tu_ref }}</v>
      </c>
      <c r="N204" t="s">
        <v>896</v>
      </c>
      <c r="O204" s="13" t="s">
        <v>1816</v>
      </c>
      <c r="P204" t="s">
        <v>4582</v>
      </c>
      <c r="Q204" t="str">
        <f t="shared" si="11"/>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204" t="b" cm="1">
        <f t="array" ref="R204">SUMPRODUCT(--EXACT($J$2:$J$490,J204))&gt;1</f>
        <v>0</v>
      </c>
      <c r="S204" t="s">
        <v>4879</v>
      </c>
    </row>
    <row r="205" spans="1:19">
      <c r="A205" s="30">
        <v>1</v>
      </c>
      <c r="B205" s="30" t="s">
        <v>1064</v>
      </c>
      <c r="C205" s="30" t="s">
        <v>0</v>
      </c>
      <c r="D205" s="30" t="s">
        <v>1208</v>
      </c>
      <c r="E205" s="30" t="s">
        <v>1752</v>
      </c>
      <c r="F205" s="30" t="s">
        <v>29</v>
      </c>
      <c r="G205" s="39" t="str">
        <f>VLOOKUP(F205,glossary!J:N,2,FALSE)</f>
        <v>Capture-recapture (CR) / Capture-mark-recapture (CMR) (Karanth, 1995; Karanth &amp; Nichols, 1998)</v>
      </c>
      <c r="H205" s="30" t="s">
        <v>1774</v>
      </c>
      <c r="I205" s="45" t="str">
        <f t="shared" si="9"/>
        <v>mod_cmr_tu_abrv</v>
      </c>
      <c r="J205" s="39" t="s">
        <v>1151</v>
      </c>
      <c r="K205" s="39" t="str">
        <f>VLOOKUP(F205,glossary!J:N,5,FALSE)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5" s="30" t="s">
        <v>1144</v>
      </c>
      <c r="M205" s="30" t="str">
        <f t="shared" si="10"/>
        <v>{{ mod_cmr_tu_abrv }}</v>
      </c>
      <c r="N205" t="s">
        <v>896</v>
      </c>
      <c r="O205" s="13" t="s">
        <v>1816</v>
      </c>
      <c r="P205" t="s">
        <v>4582</v>
      </c>
      <c r="Q205" t="str">
        <f t="shared" si="11"/>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205" t="b" cm="1">
        <f t="array" ref="R205">SUMPRODUCT(--EXACT($J$2:$J$490,J205))&gt;1</f>
        <v>0</v>
      </c>
      <c r="S205" t="s">
        <v>4880</v>
      </c>
    </row>
    <row r="206" spans="1:19">
      <c r="A206" s="30">
        <v>3</v>
      </c>
      <c r="B206" s="30" t="s">
        <v>1393</v>
      </c>
      <c r="C206" s="30"/>
      <c r="D206" s="30" t="s">
        <v>1208</v>
      </c>
      <c r="E206" s="30" t="s">
        <v>823</v>
      </c>
      <c r="F206" s="30" t="s">
        <v>29</v>
      </c>
      <c r="G206" s="39" t="str">
        <f>VLOOKUP(F206,glossary!J:N,2,FALSE)</f>
        <v>Capture-recapture (CR) / Capture-mark-recapture (CMR) (Karanth, 1995; Karanth &amp; Nichols, 1998)</v>
      </c>
      <c r="H206" s="34" t="s">
        <v>29</v>
      </c>
      <c r="I206" s="45" t="str">
        <f t="shared" si="9"/>
        <v>mod_cr_cmr_tu_ref</v>
      </c>
      <c r="J206" s="42" t="s">
        <v>978</v>
      </c>
      <c r="K206" s="39" t="str">
        <f>VLOOKUP(F206,glossary!J:N,5,FALSE)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6" t="s">
        <v>1584</v>
      </c>
      <c r="M206" s="30" t="str">
        <f t="shared" si="10"/>
        <v>{{ mod_cr_cmr_tu_ref }}</v>
      </c>
      <c r="N206" t="s">
        <v>896</v>
      </c>
      <c r="O206" s="13" t="s">
        <v>1816</v>
      </c>
      <c r="P206" t="s">
        <v>4582</v>
      </c>
      <c r="Q206" t="str">
        <f t="shared" si="11"/>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206" t="b" cm="1">
        <f t="array" ref="R206">SUMPRODUCT(--EXACT($J$2:$J$490,J206))&gt;1</f>
        <v>0</v>
      </c>
      <c r="S206" t="s">
        <v>4881</v>
      </c>
    </row>
    <row r="207" spans="1:19">
      <c r="A207" s="30">
        <v>1</v>
      </c>
      <c r="B207" s="30" t="s">
        <v>1064</v>
      </c>
      <c r="C207" s="30"/>
      <c r="D207" s="30" t="s">
        <v>1207</v>
      </c>
      <c r="E207" s="30" t="s">
        <v>1760</v>
      </c>
      <c r="F207" s="30" t="s">
        <v>29</v>
      </c>
      <c r="G207" s="39" t="str">
        <f>VLOOKUP(F207,glossary!J:N,2,FALSE)</f>
        <v>Capture-recapture (CR) / Capture-mark-recapture (CMR) (Karanth, 1995; Karanth &amp; Nichols, 1998)</v>
      </c>
      <c r="H207" s="30" t="s">
        <v>1775</v>
      </c>
      <c r="I207" s="45" t="str">
        <f t="shared" si="9"/>
        <v>mod_cr_tl_abrv_txt</v>
      </c>
      <c r="J207" s="39" t="s">
        <v>1387</v>
      </c>
      <c r="K207" s="39" t="str">
        <f>VLOOKUP(F207,glossary!J:N,5,FALSE)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7" s="30" t="s">
        <v>1388</v>
      </c>
      <c r="M207" s="30" t="str">
        <f t="shared" si="10"/>
        <v>{{ mod_cr_tl_abrv_txt }}</v>
      </c>
      <c r="N207" t="s">
        <v>896</v>
      </c>
      <c r="O207" s="13" t="s">
        <v>1816</v>
      </c>
      <c r="P207" t="s">
        <v>4582</v>
      </c>
      <c r="Q207" t="str">
        <f t="shared" si="11"/>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7" t="b" cm="1">
        <f t="array" ref="R207">SUMPRODUCT(--EXACT($J$2:$J$490,J207))&gt;1</f>
        <v>0</v>
      </c>
      <c r="S207" t="s">
        <v>4882</v>
      </c>
    </row>
    <row r="208" spans="1:19">
      <c r="A208" s="30">
        <v>1</v>
      </c>
      <c r="B208" s="30" t="s">
        <v>1064</v>
      </c>
      <c r="C208" s="30" t="s">
        <v>0</v>
      </c>
      <c r="D208" s="30" t="s">
        <v>1208</v>
      </c>
      <c r="E208" s="30" t="s">
        <v>1752</v>
      </c>
      <c r="F208" s="30" t="s">
        <v>29</v>
      </c>
      <c r="G208" s="39" t="str">
        <f>VLOOKUP(F208,glossary!J:N,2,FALSE)</f>
        <v>Capture-recapture (CR) / Capture-mark-recapture (CMR) (Karanth, 1995; Karanth &amp; Nichols, 1998)</v>
      </c>
      <c r="H208" s="30" t="s">
        <v>1775</v>
      </c>
      <c r="I208" s="45" t="str">
        <f t="shared" si="9"/>
        <v>mod_cr_tu_abrv</v>
      </c>
      <c r="J208" s="39" t="s">
        <v>1196</v>
      </c>
      <c r="K208" s="39" t="str">
        <f>VLOOKUP(F208,glossary!J:N,5,FALSE)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8" s="30" t="s">
        <v>1145</v>
      </c>
      <c r="M208" s="30" t="str">
        <f t="shared" si="10"/>
        <v>{{ mod_cr_tu_abrv }}</v>
      </c>
      <c r="N208" t="s">
        <v>896</v>
      </c>
      <c r="O208" s="13" t="s">
        <v>1816</v>
      </c>
      <c r="P208" t="s">
        <v>4582</v>
      </c>
      <c r="Q208" t="str">
        <f t="shared" si="11"/>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208" t="b" cm="1">
        <f t="array" ref="R208">SUMPRODUCT(--EXACT($J$2:$J$490,J208))&gt;1</f>
        <v>0</v>
      </c>
      <c r="S208" t="s">
        <v>4883</v>
      </c>
    </row>
    <row r="209" spans="1:19">
      <c r="A209" s="30">
        <v>1</v>
      </c>
      <c r="B209" s="30" t="s">
        <v>1064</v>
      </c>
      <c r="C209" s="30" t="s">
        <v>0</v>
      </c>
      <c r="D209" s="30" t="s">
        <v>1208</v>
      </c>
      <c r="E209" s="30" t="s">
        <v>1760</v>
      </c>
      <c r="F209" s="30" t="s">
        <v>29</v>
      </c>
      <c r="G209" s="39" t="str">
        <f>VLOOKUP(F209,glossary!J:N,2,FALSE)</f>
        <v>Capture-recapture (CR) / Capture-mark-recapture (CMR) (Karanth, 1995; Karanth &amp; Nichols, 1998)</v>
      </c>
      <c r="H209" s="30" t="s">
        <v>1775</v>
      </c>
      <c r="I209" s="45" t="str">
        <f t="shared" si="9"/>
        <v>mod_cr_tu_abrv_txt</v>
      </c>
      <c r="J209" s="39" t="s">
        <v>1777</v>
      </c>
      <c r="K209" s="39" t="str">
        <f>VLOOKUP(F209,glossary!J:N,5,FALSE)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9" s="30" t="s">
        <v>1388</v>
      </c>
      <c r="M209" s="30" t="str">
        <f t="shared" si="10"/>
        <v>{{ mod_cr_tu_abrv_txt }}</v>
      </c>
      <c r="N209" t="s">
        <v>896</v>
      </c>
      <c r="O209" s="13" t="s">
        <v>1816</v>
      </c>
      <c r="P209" t="s">
        <v>4582</v>
      </c>
      <c r="Q209" t="str">
        <f t="shared" si="11"/>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9" t="b" cm="1">
        <f t="array" ref="R209">SUMPRODUCT(--EXACT($J$2:$J$490,J209))&gt;1</f>
        <v>0</v>
      </c>
      <c r="S209" t="s">
        <v>4884</v>
      </c>
    </row>
    <row r="210" spans="1:19">
      <c r="A210" s="30">
        <v>3</v>
      </c>
      <c r="B210" s="30" t="s">
        <v>1393</v>
      </c>
      <c r="C210" s="30"/>
      <c r="D210" s="30" t="s">
        <v>1207</v>
      </c>
      <c r="E210" s="30" t="s">
        <v>1750</v>
      </c>
      <c r="F210" s="30" t="s">
        <v>434</v>
      </c>
      <c r="G210" s="39" t="str">
        <f>VLOOKUP(F210,glossary!J:N,2,FALSE)</f>
        <v>Alpha richness (α)</v>
      </c>
      <c r="H210" s="34" t="s">
        <v>434</v>
      </c>
      <c r="I210" s="45" t="str">
        <f t="shared" si="9"/>
        <v>mod_divers_rich_alpha_tl_simp</v>
      </c>
      <c r="J210" s="43" t="s">
        <v>901</v>
      </c>
      <c r="K210" s="39" t="str">
        <f>VLOOKUP(F210,glossary!J:N,5,FALSE)</f>
        <v>The number of species at the level of an individual camera location (Wearn &amp; Glover-Kapfer, 2017).</v>
      </c>
      <c r="L210" t="s">
        <v>1583</v>
      </c>
      <c r="M210" s="30" t="str">
        <f t="shared" si="10"/>
        <v>{{ mod_divers_rich_alpha_tl_simp }}</v>
      </c>
      <c r="N210" t="s">
        <v>896</v>
      </c>
      <c r="O210" s="13" t="s">
        <v>1816</v>
      </c>
      <c r="P210" t="s">
        <v>4582</v>
      </c>
      <c r="Q210" t="str">
        <f t="shared" si="11"/>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0" t="b" cm="1">
        <f t="array" ref="R210">SUMPRODUCT(--EXACT($J$2:$J$490,J210))&gt;1</f>
        <v>0</v>
      </c>
      <c r="S210" t="s">
        <v>4885</v>
      </c>
    </row>
    <row r="211" spans="1:19">
      <c r="A211" s="30">
        <v>3</v>
      </c>
      <c r="B211" s="30" t="s">
        <v>1393</v>
      </c>
      <c r="C211" s="30"/>
      <c r="D211" s="30" t="s">
        <v>1208</v>
      </c>
      <c r="E211" s="30" t="s">
        <v>1750</v>
      </c>
      <c r="F211" s="30" t="s">
        <v>434</v>
      </c>
      <c r="G211" s="39" t="str">
        <f>VLOOKUP(F211,glossary!J:N,2,FALSE)</f>
        <v>Alpha richness (α)</v>
      </c>
      <c r="H211" s="34" t="s">
        <v>434</v>
      </c>
      <c r="I211" s="45" t="str">
        <f t="shared" si="9"/>
        <v>mod_divers_rich_alpha_tu_simp</v>
      </c>
      <c r="J211" s="39" t="s">
        <v>621</v>
      </c>
      <c r="K211" s="39" t="str">
        <f>VLOOKUP(F211,glossary!J:N,5,FALSE)</f>
        <v>The number of species at the level of an individual camera location (Wearn &amp; Glover-Kapfer, 2017).</v>
      </c>
      <c r="L211" t="s">
        <v>1582</v>
      </c>
      <c r="M211" s="30" t="str">
        <f t="shared" si="10"/>
        <v>{{ mod_divers_rich_alpha_tu_simp }}</v>
      </c>
      <c r="N211" t="s">
        <v>896</v>
      </c>
      <c r="O211" s="13" t="s">
        <v>1816</v>
      </c>
      <c r="P211" t="s">
        <v>4582</v>
      </c>
      <c r="Q211" t="str">
        <f t="shared" si="11"/>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1" t="b" cm="1">
        <f t="array" ref="R211">SUMPRODUCT(--EXACT($J$2:$J$490,J211))&gt;1</f>
        <v>0</v>
      </c>
      <c r="S211" t="s">
        <v>4886</v>
      </c>
    </row>
    <row r="212" spans="1:19">
      <c r="A212" s="30">
        <v>3</v>
      </c>
      <c r="B212" s="30" t="s">
        <v>1393</v>
      </c>
      <c r="C212" s="30"/>
      <c r="D212" s="30" t="s">
        <v>1207</v>
      </c>
      <c r="E212" s="30" t="s">
        <v>1750</v>
      </c>
      <c r="F212" s="30" t="s">
        <v>433</v>
      </c>
      <c r="G212" s="39" t="str">
        <f>VLOOKUP(F212,glossary!J:N,2,FALSE)</f>
        <v>Beta-diversity (β)</v>
      </c>
      <c r="H212" s="34" t="s">
        <v>433</v>
      </c>
      <c r="I212" s="45" t="str">
        <f t="shared" si="9"/>
        <v>mod_divers_rich_beta_tl_simp</v>
      </c>
      <c r="J212" s="43" t="s">
        <v>904</v>
      </c>
      <c r="K212" s="39" t="str">
        <f>VLOOKUP(F212,glossary!J:N,5,FALSE)</f>
        <v>The differences between the communities or, more formally, the variance among the communities  (Wearn &amp; Glover-Kapfer, 2017).</v>
      </c>
      <c r="L212" t="s">
        <v>1581</v>
      </c>
      <c r="M212" s="30" t="str">
        <f t="shared" si="10"/>
        <v>{{ mod_divers_rich_beta_tl_simp }}</v>
      </c>
      <c r="N212" t="s">
        <v>896</v>
      </c>
      <c r="O212" s="13" t="s">
        <v>1816</v>
      </c>
      <c r="P212" t="s">
        <v>4582</v>
      </c>
      <c r="Q212" t="str">
        <f t="shared" si="11"/>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2" t="b" cm="1">
        <f t="array" ref="R212">SUMPRODUCT(--EXACT($J$2:$J$490,J212))&gt;1</f>
        <v>0</v>
      </c>
      <c r="S212" t="s">
        <v>4887</v>
      </c>
    </row>
    <row r="213" spans="1:19">
      <c r="A213" s="30">
        <v>3</v>
      </c>
      <c r="B213" s="30" t="s">
        <v>1393</v>
      </c>
      <c r="C213" s="30"/>
      <c r="D213" s="30" t="s">
        <v>1208</v>
      </c>
      <c r="E213" s="30" t="s">
        <v>1750</v>
      </c>
      <c r="F213" s="30" t="s">
        <v>433</v>
      </c>
      <c r="G213" s="39" t="str">
        <f>VLOOKUP(F213,glossary!J:N,2,FALSE)</f>
        <v>Beta-diversity (β)</v>
      </c>
      <c r="H213" s="34" t="s">
        <v>433</v>
      </c>
      <c r="I213" s="45" t="str">
        <f t="shared" si="9"/>
        <v>mod_divers_rich_beta_tu_simp</v>
      </c>
      <c r="J213" s="39" t="s">
        <v>620</v>
      </c>
      <c r="K213" s="39" t="str">
        <f>VLOOKUP(F213,glossary!J:N,5,FALSE)</f>
        <v>The differences between the communities or, more formally, the variance among the communities  (Wearn &amp; Glover-Kapfer, 2017).</v>
      </c>
      <c r="L213" t="s">
        <v>1580</v>
      </c>
      <c r="M213" s="30" t="str">
        <f t="shared" si="10"/>
        <v>{{ mod_divers_rich_beta_tu_simp }}</v>
      </c>
      <c r="N213" t="s">
        <v>896</v>
      </c>
      <c r="O213" s="13" t="s">
        <v>1816</v>
      </c>
      <c r="P213" t="s">
        <v>4582</v>
      </c>
      <c r="Q213" t="str">
        <f t="shared" si="11"/>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3" t="b" cm="1">
        <f t="array" ref="R213">SUMPRODUCT(--EXACT($J$2:$J$490,J213))&gt;1</f>
        <v>0</v>
      </c>
      <c r="S213" t="s">
        <v>4888</v>
      </c>
    </row>
    <row r="214" spans="1:19">
      <c r="A214" s="30">
        <v>3</v>
      </c>
      <c r="B214" s="30" t="s">
        <v>1393</v>
      </c>
      <c r="C214" s="30"/>
      <c r="D214" s="30" t="s">
        <v>1207</v>
      </c>
      <c r="E214" s="30" t="s">
        <v>984</v>
      </c>
      <c r="F214" s="30" t="s">
        <v>538</v>
      </c>
      <c r="G214" s="39" t="str">
        <f>VLOOKUP(F214,glossary!J:N,2,FALSE)</f>
        <v>Species diversity</v>
      </c>
      <c r="H214" s="34" t="s">
        <v>538</v>
      </c>
      <c r="I214" s="45" t="str">
        <f t="shared" si="9"/>
        <v>mod_divers_rich_divers_tl</v>
      </c>
      <c r="J214" s="43" t="s">
        <v>951</v>
      </c>
      <c r="K214" s="39" t="str">
        <f>VLOOKUP(F214,glossary!J:N,5,FALSE)</f>
        <v>A measure of diversity that incorporates both the number of species in an assemblage and some measure of their relative abundances.' (Gotelli &amp; Chao, 2013)</v>
      </c>
      <c r="L214" t="s">
        <v>1579</v>
      </c>
      <c r="M214" s="30" t="str">
        <f t="shared" si="10"/>
        <v>{{ mod_divers_rich_divers_tl }}</v>
      </c>
      <c r="N214" t="s">
        <v>896</v>
      </c>
      <c r="O214" s="13" t="s">
        <v>1816</v>
      </c>
      <c r="P214" t="s">
        <v>4582</v>
      </c>
      <c r="Q214" t="str">
        <f t="shared" si="11"/>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4" t="b" cm="1">
        <f t="array" ref="R214">SUMPRODUCT(--EXACT($J$2:$J$490,J214))&gt;1</f>
        <v>0</v>
      </c>
      <c r="S214" t="s">
        <v>4889</v>
      </c>
    </row>
    <row r="215" spans="1:19">
      <c r="A215" s="30">
        <v>3</v>
      </c>
      <c r="B215" s="30" t="s">
        <v>1393</v>
      </c>
      <c r="C215" s="30"/>
      <c r="D215" s="30" t="s">
        <v>1208</v>
      </c>
      <c r="E215" s="30" t="s">
        <v>984</v>
      </c>
      <c r="F215" s="30" t="s">
        <v>538</v>
      </c>
      <c r="G215" s="39" t="str">
        <f>VLOOKUP(F215,glossary!J:N,2,FALSE)</f>
        <v>Species diversity</v>
      </c>
      <c r="H215" s="34" t="s">
        <v>538</v>
      </c>
      <c r="I215" s="45" t="str">
        <f t="shared" si="9"/>
        <v>mod_divers_rich_divers_tu</v>
      </c>
      <c r="J215" s="42" t="s">
        <v>443</v>
      </c>
      <c r="K215" s="39" t="str">
        <f>VLOOKUP(F215,glossary!J:N,5,FALSE)</f>
        <v>A measure of diversity that incorporates both the number of species in an assemblage and some measure of their relative abundances.' (Gotelli &amp; Chao, 2013)</v>
      </c>
      <c r="L215" t="s">
        <v>1578</v>
      </c>
      <c r="M215" s="30" t="str">
        <f t="shared" si="10"/>
        <v>{{ mod_divers_rich_divers_tu }}</v>
      </c>
      <c r="N215" t="s">
        <v>896</v>
      </c>
      <c r="O215" s="13" t="s">
        <v>1816</v>
      </c>
      <c r="P215" t="s">
        <v>4582</v>
      </c>
      <c r="Q215" t="str">
        <f t="shared" si="11"/>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5" t="b" cm="1">
        <f t="array" ref="R215">SUMPRODUCT(--EXACT($J$2:$J$490,J215))&gt;1</f>
        <v>0</v>
      </c>
      <c r="S215" t="s">
        <v>4890</v>
      </c>
    </row>
    <row r="216" spans="1:19">
      <c r="A216" s="30">
        <v>3</v>
      </c>
      <c r="B216" s="30" t="s">
        <v>1393</v>
      </c>
      <c r="C216" s="30"/>
      <c r="D216" s="30" t="s">
        <v>1207</v>
      </c>
      <c r="E216" s="30" t="s">
        <v>1750</v>
      </c>
      <c r="F216" s="30" t="s">
        <v>435</v>
      </c>
      <c r="G216" s="39" t="str">
        <f>VLOOKUP(F216,glossary!J:N,2,FALSE)</f>
        <v>Gamma richness (γ)</v>
      </c>
      <c r="H216" s="34" t="s">
        <v>435</v>
      </c>
      <c r="I216" s="45" t="str">
        <f t="shared" si="9"/>
        <v>mod_divers_rich_gamma_tl_simp</v>
      </c>
      <c r="J216" s="43" t="s">
        <v>922</v>
      </c>
      <c r="K216" s="39" t="str">
        <f>VLOOKUP(F216,glossary!J:N,5,FALSE)</f>
        <v>The number of species across a whole study area (Wearn &amp; Glover-Kapfer, 2017).</v>
      </c>
      <c r="L216" t="s">
        <v>1577</v>
      </c>
      <c r="M216" s="30" t="str">
        <f t="shared" si="10"/>
        <v>{{ mod_divers_rich_gamma_tl_simp }}</v>
      </c>
      <c r="N216" t="s">
        <v>896</v>
      </c>
      <c r="O216" s="13" t="s">
        <v>1816</v>
      </c>
      <c r="P216" t="s">
        <v>4582</v>
      </c>
      <c r="Q216" t="str">
        <f t="shared" si="11"/>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6" t="b" cm="1">
        <f t="array" ref="R216">SUMPRODUCT(--EXACT($J$2:$J$490,J216))&gt;1</f>
        <v>0</v>
      </c>
      <c r="S216" t="s">
        <v>4891</v>
      </c>
    </row>
    <row r="217" spans="1:19">
      <c r="A217" s="30">
        <v>3</v>
      </c>
      <c r="B217" s="30" t="s">
        <v>1393</v>
      </c>
      <c r="C217" s="30"/>
      <c r="D217" s="30" t="s">
        <v>1208</v>
      </c>
      <c r="E217" s="30" t="s">
        <v>1750</v>
      </c>
      <c r="F217" s="30" t="s">
        <v>435</v>
      </c>
      <c r="G217" s="39" t="str">
        <f>VLOOKUP(F217,glossary!J:N,2,FALSE)</f>
        <v>Gamma richness (γ)</v>
      </c>
      <c r="H217" s="34" t="s">
        <v>435</v>
      </c>
      <c r="I217" s="45" t="str">
        <f t="shared" si="9"/>
        <v>mod_divers_rich_gamma_tu_simp</v>
      </c>
      <c r="J217" s="39" t="s">
        <v>619</v>
      </c>
      <c r="K217" s="39" t="str">
        <f>VLOOKUP(F217,glossary!J:N,5,FALSE)</f>
        <v>The number of species across a whole study area (Wearn &amp; Glover-Kapfer, 2017).</v>
      </c>
      <c r="L217" t="s">
        <v>1576</v>
      </c>
      <c r="M217" s="30" t="str">
        <f t="shared" si="10"/>
        <v>{{ mod_divers_rich_gamma_tu_simp }}</v>
      </c>
      <c r="N217" t="s">
        <v>896</v>
      </c>
      <c r="O217" s="13" t="s">
        <v>1816</v>
      </c>
      <c r="P217" t="s">
        <v>4582</v>
      </c>
      <c r="Q217" t="str">
        <f t="shared" si="11"/>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7" t="b" cm="1">
        <f t="array" ref="R217">SUMPRODUCT(--EXACT($J$2:$J$490,J217))&gt;1</f>
        <v>0</v>
      </c>
      <c r="S217" t="s">
        <v>4892</v>
      </c>
    </row>
    <row r="218" spans="1:19">
      <c r="A218" s="30">
        <v>3</v>
      </c>
      <c r="B218" s="30" t="s">
        <v>1393</v>
      </c>
      <c r="C218" s="30"/>
      <c r="D218" s="30" t="s">
        <v>1207</v>
      </c>
      <c r="E218" s="30" t="s">
        <v>984</v>
      </c>
      <c r="F218" s="30" t="s">
        <v>451</v>
      </c>
      <c r="G218" s="39" t="str">
        <f>VLOOKUP(F218,glossary!J:N,2,FALSE)</f>
        <v>Species richness</v>
      </c>
      <c r="H218" s="34" t="s">
        <v>451</v>
      </c>
      <c r="I218" s="45" t="str">
        <f t="shared" si="9"/>
        <v>mod_divers_rich_rich_tl</v>
      </c>
      <c r="J218" s="43" t="s">
        <v>953</v>
      </c>
      <c r="K218" s="39" t="str">
        <f>VLOOKUP(F218,glossary!J:N,5,FALSE)</f>
        <v>The total number of species in an assemblage or a sample' (Gotelli &amp; Chao, 2013).</v>
      </c>
      <c r="L218" t="s">
        <v>1575</v>
      </c>
      <c r="M218" s="30" t="str">
        <f t="shared" si="10"/>
        <v>{{ mod_divers_rich_rich_tl }}</v>
      </c>
      <c r="N218" t="s">
        <v>896</v>
      </c>
      <c r="O218" s="13" t="s">
        <v>1816</v>
      </c>
      <c r="P218" t="s">
        <v>4582</v>
      </c>
      <c r="Q218" t="str">
        <f t="shared" si="11"/>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8" t="b" cm="1">
        <f t="array" ref="R218">SUMPRODUCT(--EXACT($J$2:$J$490,J218))&gt;1</f>
        <v>1</v>
      </c>
      <c r="S218" t="s">
        <v>4893</v>
      </c>
    </row>
    <row r="219" spans="1:19">
      <c r="A219" s="30">
        <v>3</v>
      </c>
      <c r="B219" s="30" t="s">
        <v>1393</v>
      </c>
      <c r="C219" s="30"/>
      <c r="D219" s="30" t="s">
        <v>1208</v>
      </c>
      <c r="E219" s="30" t="s">
        <v>984</v>
      </c>
      <c r="F219" s="30" t="s">
        <v>451</v>
      </c>
      <c r="G219" s="39" t="str">
        <f>VLOOKUP(F219,glossary!J:N,2,FALSE)</f>
        <v>Species richness</v>
      </c>
      <c r="H219" s="34" t="s">
        <v>451</v>
      </c>
      <c r="I219" s="45" t="str">
        <f t="shared" si="9"/>
        <v>mod_divers_rich_rich_tu</v>
      </c>
      <c r="J219" s="42" t="s">
        <v>442</v>
      </c>
      <c r="K219" s="39" t="str">
        <f>VLOOKUP(F219,glossary!J:N,5,FALSE)</f>
        <v>The total number of species in an assemblage or a sample' (Gotelli &amp; Chao, 2013).</v>
      </c>
      <c r="L219" t="s">
        <v>1574</v>
      </c>
      <c r="M219" s="30" t="str">
        <f t="shared" si="10"/>
        <v>{{ mod_divers_rich_rich_tu }}</v>
      </c>
      <c r="N219" t="s">
        <v>896</v>
      </c>
      <c r="O219" s="13" t="s">
        <v>1816</v>
      </c>
      <c r="P219" t="s">
        <v>4582</v>
      </c>
      <c r="Q219" t="str">
        <f t="shared" si="11"/>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9" t="b">
        <v>0</v>
      </c>
      <c r="S219" t="s">
        <v>4894</v>
      </c>
    </row>
    <row r="220" spans="1:19">
      <c r="B220" s="30" t="s">
        <v>768</v>
      </c>
      <c r="D220" s="30" t="s">
        <v>1207</v>
      </c>
      <c r="E220" s="30" t="s">
        <v>984</v>
      </c>
      <c r="F220" s="2" t="s">
        <v>1784</v>
      </c>
      <c r="G220" s="39" t="str">
        <f>VLOOKUP(F220,glossary!J:N,2,FALSE)</f>
        <v>Estimated species richness</v>
      </c>
      <c r="H220" s="2" t="s">
        <v>1784</v>
      </c>
      <c r="I220" s="45" t="str">
        <f t="shared" si="9"/>
        <v>mod_divers_rich_rich_est_tl</v>
      </c>
      <c r="J220" s="30" t="s">
        <v>1813</v>
      </c>
      <c r="K220" s="39" t="str">
        <f>VLOOKUP(F220,glossary!J:N,5,FALSE)</f>
        <v>when the 'sum of the number of species seen' is adjusted based on corrections for 'imperfect detection' (i.e. the fact that some species in a given sample may have been missed)' (Wearn &amp; Glover-Kapfer, 2017)</v>
      </c>
      <c r="L220" s="30" t="s">
        <v>984</v>
      </c>
      <c r="M220" s="30" t="str">
        <f t="shared" si="10"/>
        <v>{{ mod_divers_rich_rich_est_tl }}</v>
      </c>
      <c r="N220" t="s">
        <v>896</v>
      </c>
      <c r="O220" s="13" t="s">
        <v>1816</v>
      </c>
      <c r="P220" t="s">
        <v>4582</v>
      </c>
      <c r="Q220" t="str">
        <f t="shared" si="11"/>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0" t="b" cm="1">
        <f t="array" ref="R220">SUMPRODUCT(--EXACT($J$2:$J$490,J220))&gt;1</f>
        <v>0</v>
      </c>
      <c r="S220" t="s">
        <v>4895</v>
      </c>
    </row>
    <row r="221" spans="1:19">
      <c r="B221" s="30" t="s">
        <v>768</v>
      </c>
      <c r="D221" s="30" t="s">
        <v>1208</v>
      </c>
      <c r="E221" s="30" t="s">
        <v>984</v>
      </c>
      <c r="F221" s="2" t="s">
        <v>1784</v>
      </c>
      <c r="G221" s="39" t="str">
        <f>VLOOKUP(F221,glossary!J:N,2,FALSE)</f>
        <v>Estimated species richness</v>
      </c>
      <c r="H221" s="2" t="s">
        <v>1784</v>
      </c>
      <c r="I221" s="45" t="str">
        <f t="shared" si="9"/>
        <v>mod_divers_rich_rich_est_tu</v>
      </c>
      <c r="J221" s="30" t="s">
        <v>1217</v>
      </c>
      <c r="K221" s="39" t="str">
        <f>VLOOKUP(F221,glossary!J:N,5,FALSE)</f>
        <v>when the 'sum of the number of species seen' is adjusted based on corrections for 'imperfect detection' (i.e. the fact that some species in a given sample may have been missed)' (Wearn &amp; Glover-Kapfer, 2017)</v>
      </c>
      <c r="L221" s="30" t="s">
        <v>984</v>
      </c>
      <c r="M221" s="30" t="str">
        <f t="shared" si="10"/>
        <v>{{ mod_divers_rich_rich_est_tu }}</v>
      </c>
      <c r="N221" t="s">
        <v>896</v>
      </c>
      <c r="O221" s="13" t="s">
        <v>1816</v>
      </c>
      <c r="P221" t="s">
        <v>4582</v>
      </c>
      <c r="Q221" t="str">
        <f t="shared" si="11"/>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1" t="b" cm="1">
        <f t="array" ref="R221">SUMPRODUCT(--EXACT($J$2:$J$490,J221))&gt;1</f>
        <v>0</v>
      </c>
      <c r="S221" t="s">
        <v>4896</v>
      </c>
    </row>
    <row r="222" spans="1:19">
      <c r="B222" s="30" t="s">
        <v>768</v>
      </c>
      <c r="D222" s="30" t="s">
        <v>1207</v>
      </c>
      <c r="E222" s="30" t="s">
        <v>984</v>
      </c>
      <c r="F222" s="30" t="s">
        <v>1783</v>
      </c>
      <c r="G222" s="39" t="str">
        <f>VLOOKUP(F222,glossary!J:N,2,FALSE)</f>
        <v>Observed species richness</v>
      </c>
      <c r="H222" s="30" t="s">
        <v>1783</v>
      </c>
      <c r="I222" s="45" t="str">
        <f t="shared" si="9"/>
        <v>mod_divers_rich_rich_obs_tl</v>
      </c>
      <c r="J222" s="30" t="s">
        <v>1810</v>
      </c>
      <c r="K222" s="39" t="str">
        <f>VLOOKUP(F222,glossary!J:N,5,FALSE)</f>
        <v>the sum of the number of species seen' (e.g., Kitamura et al., 2010; Pettorelli et al., 2010; Ahumada et al., 2011; Aamejima et al., 2012)</v>
      </c>
      <c r="L222" s="30" t="s">
        <v>984</v>
      </c>
      <c r="M222" s="30" t="str">
        <f t="shared" si="10"/>
        <v>{{ mod_divers_rich_rich_obs_tl }}</v>
      </c>
      <c r="N222" t="s">
        <v>896</v>
      </c>
      <c r="O222" s="13" t="s">
        <v>1816</v>
      </c>
      <c r="P222" t="s">
        <v>4582</v>
      </c>
      <c r="Q222"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2" t="b" cm="1">
        <f t="array" ref="R222">SUMPRODUCT(--EXACT($J$2:$J$490,J222))&gt;1</f>
        <v>0</v>
      </c>
      <c r="S222" t="s">
        <v>4897</v>
      </c>
    </row>
    <row r="223" spans="1:19">
      <c r="B223" s="30" t="s">
        <v>768</v>
      </c>
      <c r="D223" s="30" t="s">
        <v>1208</v>
      </c>
      <c r="E223" s="30" t="s">
        <v>984</v>
      </c>
      <c r="F223" s="30" t="s">
        <v>1783</v>
      </c>
      <c r="G223" s="39" t="str">
        <f>VLOOKUP(F223,glossary!J:N,2,FALSE)</f>
        <v>Observed species richness</v>
      </c>
      <c r="H223" s="30" t="s">
        <v>1783</v>
      </c>
      <c r="I223" s="45" t="str">
        <f t="shared" si="9"/>
        <v>mod_divers_rich_rich_obs_tu</v>
      </c>
      <c r="J223" s="30" t="s">
        <v>1216</v>
      </c>
      <c r="K223" s="39" t="str">
        <f>VLOOKUP(F223,glossary!J:N,5,FALSE)</f>
        <v>the sum of the number of species seen' (e.g., Kitamura et al., 2010; Pettorelli et al., 2010; Ahumada et al., 2011; Aamejima et al., 2012)</v>
      </c>
      <c r="L223" s="30" t="s">
        <v>984</v>
      </c>
      <c r="M223" s="30" t="str">
        <f t="shared" si="10"/>
        <v>{{ mod_divers_rich_rich_obs_tu }}</v>
      </c>
      <c r="N223" t="s">
        <v>896</v>
      </c>
      <c r="O223" s="13" t="s">
        <v>1816</v>
      </c>
      <c r="P223" t="s">
        <v>4582</v>
      </c>
      <c r="Q223"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3" t="b" cm="1">
        <f t="array" ref="R223">SUMPRODUCT(--EXACT($J$2:$J$490,J223))&gt;1</f>
        <v>0</v>
      </c>
      <c r="S223" t="s">
        <v>4898</v>
      </c>
    </row>
    <row r="224" spans="1:19">
      <c r="A224" s="30">
        <v>2</v>
      </c>
      <c r="B224" s="30" t="s">
        <v>1400</v>
      </c>
      <c r="C224" s="30"/>
      <c r="D224" s="30" t="s">
        <v>1207</v>
      </c>
      <c r="E224" s="30" t="s">
        <v>984</v>
      </c>
      <c r="F224" s="30" t="s">
        <v>591</v>
      </c>
      <c r="G224" s="39" t="e">
        <f>VLOOKUP(F224,glossary!J:N,2,FALSE)</f>
        <v>#N/A</v>
      </c>
      <c r="H224" s="30" t="s">
        <v>591</v>
      </c>
      <c r="I224" s="45" t="str">
        <f t="shared" si="9"/>
        <v>mod_divers_rich_rich2_tl</v>
      </c>
      <c r="J224" s="39" t="s">
        <v>953</v>
      </c>
      <c r="K224" s="39" t="e">
        <f>VLOOKUP(F224,glossary!J:N,5,FALSE)</f>
        <v>#N/A</v>
      </c>
      <c r="L224" s="30" t="s">
        <v>984</v>
      </c>
      <c r="M224" s="30" t="str">
        <f t="shared" si="10"/>
        <v>{{ mod_divers_rich_rich2_tl }}</v>
      </c>
      <c r="N224" t="s">
        <v>896</v>
      </c>
      <c r="O224" s="13" t="s">
        <v>1816</v>
      </c>
      <c r="P224" t="s">
        <v>4582</v>
      </c>
      <c r="Q224" t="e">
        <f t="shared" si="11"/>
        <v>#N/A</v>
      </c>
      <c r="R224" t="b" cm="1">
        <f t="array" ref="R224">SUMPRODUCT(--EXACT($J$2:$J$490,J224))&gt;1</f>
        <v>1</v>
      </c>
      <c r="S224" t="s">
        <v>4899</v>
      </c>
    </row>
    <row r="225" spans="1:19">
      <c r="A225" s="30">
        <v>2</v>
      </c>
      <c r="B225" s="30" t="s">
        <v>1400</v>
      </c>
      <c r="C225" s="30"/>
      <c r="D225" s="30" t="s">
        <v>1208</v>
      </c>
      <c r="E225" s="30" t="s">
        <v>984</v>
      </c>
      <c r="F225" s="30" t="s">
        <v>591</v>
      </c>
      <c r="G225" s="39" t="e">
        <f>VLOOKUP(F225,glossary!J:N,2,FALSE)</f>
        <v>#N/A</v>
      </c>
      <c r="H225" s="30" t="s">
        <v>591</v>
      </c>
      <c r="I225" s="45" t="str">
        <f t="shared" si="9"/>
        <v>mod_divers_rich_rich2_tu</v>
      </c>
      <c r="J225" s="39" t="s">
        <v>442</v>
      </c>
      <c r="K225" s="39" t="e">
        <f>VLOOKUP(F225,glossary!J:N,5,FALSE)</f>
        <v>#N/A</v>
      </c>
      <c r="L225" s="30" t="s">
        <v>984</v>
      </c>
      <c r="M225" s="30" t="str">
        <f t="shared" si="10"/>
        <v>{{ mod_divers_rich_rich2_tu }}</v>
      </c>
      <c r="N225" t="s">
        <v>896</v>
      </c>
      <c r="O225" s="13" t="s">
        <v>1816</v>
      </c>
      <c r="P225" t="s">
        <v>4582</v>
      </c>
      <c r="Q225" t="e">
        <f t="shared" si="11"/>
        <v>#N/A</v>
      </c>
      <c r="R225" t="b">
        <v>0</v>
      </c>
      <c r="S225" t="s">
        <v>4900</v>
      </c>
    </row>
    <row r="226" spans="1:19">
      <c r="A226" s="30">
        <v>3</v>
      </c>
      <c r="B226" s="30" t="s">
        <v>1393</v>
      </c>
      <c r="C226" s="30"/>
      <c r="D226" s="30" t="s">
        <v>1208</v>
      </c>
      <c r="E226" s="30" t="s">
        <v>823</v>
      </c>
      <c r="F226" s="30" t="s">
        <v>10</v>
      </c>
      <c r="G226" s="39" t="str">
        <f>VLOOKUP(F226,glossary!J:N,2,FALSE)</f>
        <v>Distance sampling (DS) model (Howe et al., 2017)</v>
      </c>
      <c r="H226" s="34" t="s">
        <v>10</v>
      </c>
      <c r="I226" s="45" t="str">
        <f t="shared" si="9"/>
        <v>mod_ds_tu_ref</v>
      </c>
      <c r="J226" s="42" t="s">
        <v>196</v>
      </c>
      <c r="K226" s="39" t="str">
        <f>VLOOKUP(F226,glossary!J:N,5,FALSE)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226" t="s">
        <v>1573</v>
      </c>
      <c r="M226" s="30" t="str">
        <f t="shared" si="10"/>
        <v>{{ mod_ds_tu_ref }}</v>
      </c>
      <c r="N226" t="s">
        <v>896</v>
      </c>
      <c r="O226" s="13" t="s">
        <v>1816</v>
      </c>
      <c r="P226" t="s">
        <v>4582</v>
      </c>
      <c r="Q226" t="str">
        <f t="shared" si="11"/>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226" t="b" cm="1">
        <f t="array" ref="R226">SUMPRODUCT(--EXACT($J$2:$J$490,J226))&gt;1</f>
        <v>0</v>
      </c>
      <c r="S226" t="s">
        <v>4901</v>
      </c>
    </row>
    <row r="227" spans="1:19">
      <c r="A227" s="30">
        <v>2</v>
      </c>
      <c r="B227" s="30" t="s">
        <v>1400</v>
      </c>
      <c r="C227" s="30"/>
      <c r="D227" s="30" t="s">
        <v>1207</v>
      </c>
      <c r="E227" s="30" t="s">
        <v>1752</v>
      </c>
      <c r="F227" s="30" t="s">
        <v>38</v>
      </c>
      <c r="G227" s="39" t="str">
        <f>VLOOKUP(F227,glossary!J:N,2,FALSE)</f>
        <v>Inventory</v>
      </c>
      <c r="H227" s="30" t="s">
        <v>38</v>
      </c>
      <c r="I227" s="45" t="str">
        <f t="shared" si="9"/>
        <v>mod_inventory_tl_abrv</v>
      </c>
      <c r="J227" s="39" t="s">
        <v>933</v>
      </c>
      <c r="K227" s="39" t="str">
        <f>VLOOKUP(F227,glossary!J:N,5,FALSE)</f>
        <v>Rapid assessment surveys used to determine what species are present in a given area at a given point in time; there is no attempt made to quantify aspects of communities or populations (Wearn &amp; Glover-Kapfer, 2017).</v>
      </c>
      <c r="L227" s="30" t="s">
        <v>1572</v>
      </c>
      <c r="M227" s="30" t="str">
        <f t="shared" si="10"/>
        <v>{{ mod_inventory_tl_abrv }}</v>
      </c>
      <c r="N227" t="s">
        <v>896</v>
      </c>
      <c r="O227" s="13" t="s">
        <v>1816</v>
      </c>
      <c r="P227" t="s">
        <v>4582</v>
      </c>
      <c r="Q227"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7" t="b" cm="1">
        <f t="array" ref="R227">SUMPRODUCT(--EXACT($J$2:$J$490,J227))&gt;1</f>
        <v>0</v>
      </c>
      <c r="S227" t="s">
        <v>4902</v>
      </c>
    </row>
    <row r="228" spans="1:19">
      <c r="A228" s="30">
        <v>2</v>
      </c>
      <c r="B228" s="30" t="s">
        <v>1400</v>
      </c>
      <c r="C228" s="30"/>
      <c r="D228" s="30" t="s">
        <v>1208</v>
      </c>
      <c r="E228" s="30" t="s">
        <v>1752</v>
      </c>
      <c r="F228" s="30" t="s">
        <v>38</v>
      </c>
      <c r="G228" s="39" t="str">
        <f>VLOOKUP(F228,glossary!J:N,2,FALSE)</f>
        <v>Inventory</v>
      </c>
      <c r="H228" s="30" t="s">
        <v>38</v>
      </c>
      <c r="I228" s="45" t="str">
        <f t="shared" si="9"/>
        <v>mod_inventory_tu_abrv</v>
      </c>
      <c r="J228" s="39" t="s">
        <v>163</v>
      </c>
      <c r="K228" s="39" t="str">
        <f>VLOOKUP(F228,glossary!J:N,5,FALSE)</f>
        <v>Rapid assessment surveys used to determine what species are present in a given area at a given point in time; there is no attempt made to quantify aspects of communities or populations (Wearn &amp; Glover-Kapfer, 2017).</v>
      </c>
      <c r="L228" s="30" t="s">
        <v>1571</v>
      </c>
      <c r="M228" s="30" t="str">
        <f t="shared" si="10"/>
        <v>{{ mod_inventory_tu_abrv }}</v>
      </c>
      <c r="N228" t="s">
        <v>896</v>
      </c>
      <c r="O228" s="13" t="s">
        <v>1816</v>
      </c>
      <c r="P228" t="s">
        <v>4582</v>
      </c>
      <c r="Q228"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8" t="b" cm="1">
        <f t="array" ref="R228">SUMPRODUCT(--EXACT($J$2:$J$490,J228))&gt;1</f>
        <v>0</v>
      </c>
      <c r="S228" t="s">
        <v>4903</v>
      </c>
    </row>
    <row r="229" spans="1:19">
      <c r="A229" s="30">
        <v>3</v>
      </c>
      <c r="B229" s="30" t="s">
        <v>1393</v>
      </c>
      <c r="C229" s="30"/>
      <c r="D229" s="30" t="s">
        <v>1208</v>
      </c>
      <c r="E229" s="30" t="s">
        <v>823</v>
      </c>
      <c r="F229" s="30" t="s">
        <v>3</v>
      </c>
      <c r="G229" s="39" t="str">
        <f>VLOOKUP(F229,glossary!J:N,2,FALSE)</f>
        <v>Instantaneous sampling (IS) model (Moeller et al., 2018)</v>
      </c>
      <c r="H229" s="34" t="s">
        <v>3</v>
      </c>
      <c r="I229" s="45" t="str">
        <f t="shared" si="9"/>
        <v>mod_is_tu_ref</v>
      </c>
      <c r="J229" s="42" t="s">
        <v>899</v>
      </c>
      <c r="K229" s="39" t="str">
        <f>VLOOKUP(F229,glossary!J:N,5,FALSE)</f>
        <v>A method used to estimate abundance or density from time-lapse images from randomly deployed cameras; the number of unique individuals (the count) is needed (Moeller et al., 2018).</v>
      </c>
      <c r="L229" t="s">
        <v>1570</v>
      </c>
      <c r="M229" s="30" t="str">
        <f t="shared" si="10"/>
        <v>{{ mod_is_tu_ref }}</v>
      </c>
      <c r="N229" t="s">
        <v>896</v>
      </c>
      <c r="O229" s="13" t="s">
        <v>1816</v>
      </c>
      <c r="P229" t="s">
        <v>4582</v>
      </c>
      <c r="Q229" t="str">
        <f t="shared" si="11"/>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229" t="b" cm="1">
        <f t="array" ref="R229">SUMPRODUCT(--EXACT($J$2:$J$490,J229))&gt;1</f>
        <v>0</v>
      </c>
      <c r="S229" t="s">
        <v>4904</v>
      </c>
    </row>
    <row r="230" spans="1:19">
      <c r="A230" s="30">
        <v>3</v>
      </c>
      <c r="B230" s="30" t="s">
        <v>1393</v>
      </c>
      <c r="C230" s="30"/>
      <c r="D230" s="30" t="s">
        <v>1208</v>
      </c>
      <c r="E230" s="30" t="s">
        <v>823</v>
      </c>
      <c r="F230" s="30" t="s">
        <v>27</v>
      </c>
      <c r="G230" s="39" t="str">
        <f>VLOOKUP(F230,glossary!J:N,2,FALSE)</f>
        <v>Mark-resight (MR) model (Arnason et al., 1991; McClintock et al., 2009)</v>
      </c>
      <c r="H230" s="34" t="s">
        <v>27</v>
      </c>
      <c r="I230" s="45" t="str">
        <f t="shared" si="9"/>
        <v>mod_mr_tu_ref</v>
      </c>
      <c r="J230" s="42" t="s">
        <v>158</v>
      </c>
      <c r="K230" s="39" t="str">
        <f>VLOOKUP(F230,glossary!J:N,5,FALSE)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30" t="s">
        <v>1569</v>
      </c>
      <c r="M230" s="30" t="str">
        <f t="shared" si="10"/>
        <v>{{ mod_mr_tu_ref }}</v>
      </c>
      <c r="N230" t="s">
        <v>896</v>
      </c>
      <c r="O230" s="13" t="s">
        <v>1816</v>
      </c>
      <c r="P230" t="s">
        <v>4582</v>
      </c>
      <c r="Q230"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30" t="b" cm="1">
        <f t="array" ref="R230">SUMPRODUCT(--EXACT($J$2:$J$490,J230))&gt;1</f>
        <v>0</v>
      </c>
      <c r="S230" t="s">
        <v>4905</v>
      </c>
    </row>
    <row r="231" spans="1:19">
      <c r="A231" s="30">
        <v>1</v>
      </c>
      <c r="B231" s="30" t="s">
        <v>1064</v>
      </c>
      <c r="C231" s="30" t="s">
        <v>0</v>
      </c>
      <c r="D231" s="30" t="s">
        <v>1207</v>
      </c>
      <c r="E231" s="30" t="s">
        <v>1752</v>
      </c>
      <c r="F231" s="30" t="s">
        <v>459</v>
      </c>
      <c r="G231" s="39" t="str">
        <f>VLOOKUP(F231,glossary!J:N,2,FALSE)</f>
        <v>N-mixture models</v>
      </c>
      <c r="H231" s="30" t="s">
        <v>459</v>
      </c>
      <c r="I231" s="45" t="str">
        <f t="shared" si="9"/>
        <v>mod_n_mixture_tl_abrv</v>
      </c>
      <c r="J231" s="39" t="s">
        <v>938</v>
      </c>
      <c r="K231" s="39" t="str">
        <f>VLOOKUP(F231,glossary!J:N,5,FALSE)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1" s="30" t="s">
        <v>1719</v>
      </c>
      <c r="M231" s="30" t="str">
        <f t="shared" si="10"/>
        <v>{{ mod_n_mixture_tl_abrv }}</v>
      </c>
      <c r="N231" t="s">
        <v>896</v>
      </c>
      <c r="O231" s="13" t="s">
        <v>1816</v>
      </c>
      <c r="P231" t="s">
        <v>4582</v>
      </c>
      <c r="Q23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1" t="b" cm="1">
        <f t="array" ref="R231">SUMPRODUCT(--EXACT($J$2:$J$490,J231))&gt;1</f>
        <v>0</v>
      </c>
      <c r="S231" t="s">
        <v>4906</v>
      </c>
    </row>
    <row r="232" spans="1:19">
      <c r="A232" s="30">
        <v>3</v>
      </c>
      <c r="B232" s="30" t="s">
        <v>1393</v>
      </c>
      <c r="C232" s="30"/>
      <c r="D232" s="30" t="s">
        <v>1207</v>
      </c>
      <c r="E232" s="30" t="s">
        <v>1758</v>
      </c>
      <c r="F232" s="30" t="s">
        <v>459</v>
      </c>
      <c r="G232" s="39" t="str">
        <f>VLOOKUP(F232,glossary!J:N,2,FALSE)</f>
        <v>N-mixture models</v>
      </c>
      <c r="H232" s="34" t="s">
        <v>459</v>
      </c>
      <c r="I232" s="45" t="str">
        <f t="shared" si="9"/>
        <v>mod_n_mixture_tl_pl</v>
      </c>
      <c r="J232" s="43" t="s">
        <v>939</v>
      </c>
      <c r="K232" s="39" t="str">
        <f>VLOOKUP(F232,glossary!J:N,5,FALSE)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2" t="s">
        <v>1568</v>
      </c>
      <c r="M232" s="30" t="str">
        <f t="shared" si="10"/>
        <v>{{ mod_n_mixture_tl_pl }}</v>
      </c>
      <c r="N232" t="s">
        <v>896</v>
      </c>
      <c r="O232" s="13" t="s">
        <v>1816</v>
      </c>
      <c r="P232" t="s">
        <v>4582</v>
      </c>
      <c r="Q23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2" t="b" cm="1">
        <f t="array" ref="R232">SUMPRODUCT(--EXACT($J$2:$J$490,J232))&gt;1</f>
        <v>0</v>
      </c>
      <c r="S232" t="s">
        <v>4907</v>
      </c>
    </row>
    <row r="233" spans="1:19">
      <c r="A233" s="30">
        <v>1</v>
      </c>
      <c r="B233" s="30" t="s">
        <v>1064</v>
      </c>
      <c r="C233" s="30" t="s">
        <v>0</v>
      </c>
      <c r="D233" s="30" t="s">
        <v>1208</v>
      </c>
      <c r="E233" s="30" t="s">
        <v>1752</v>
      </c>
      <c r="F233" s="30" t="s">
        <v>459</v>
      </c>
      <c r="G233" s="39" t="str">
        <f>VLOOKUP(F233,glossary!J:N,2,FALSE)</f>
        <v>N-mixture models</v>
      </c>
      <c r="H233" s="30" t="s">
        <v>459</v>
      </c>
      <c r="I233" s="45" t="str">
        <f t="shared" si="9"/>
        <v>mod_n_mixture_tu_abrv</v>
      </c>
      <c r="J233" s="39" t="s">
        <v>17</v>
      </c>
      <c r="K233" s="39" t="str">
        <f>VLOOKUP(F233,glossary!J:N,5,FALSE)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3" s="30" t="s">
        <v>1134</v>
      </c>
      <c r="M233" s="30" t="str">
        <f t="shared" si="10"/>
        <v>{{ mod_n_mixture_tu_abrv }}</v>
      </c>
      <c r="N233" t="s">
        <v>896</v>
      </c>
      <c r="O233" s="13" t="s">
        <v>1816</v>
      </c>
      <c r="P233" t="s">
        <v>4582</v>
      </c>
      <c r="Q23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3" t="b" cm="1">
        <f t="array" ref="R233">SUMPRODUCT(--EXACT($J$2:$J$490,J233))&gt;1</f>
        <v>0</v>
      </c>
      <c r="S233" t="s">
        <v>4908</v>
      </c>
    </row>
    <row r="234" spans="1:19">
      <c r="A234" s="30">
        <v>3</v>
      </c>
      <c r="B234" s="30" t="s">
        <v>1393</v>
      </c>
      <c r="C234" s="30"/>
      <c r="D234" s="30" t="s">
        <v>1208</v>
      </c>
      <c r="E234" s="30" t="s">
        <v>1758</v>
      </c>
      <c r="F234" s="30" t="s">
        <v>459</v>
      </c>
      <c r="G234" s="39" t="str">
        <f>VLOOKUP(F234,glossary!J:N,2,FALSE)</f>
        <v>N-mixture models</v>
      </c>
      <c r="H234" s="34" t="s">
        <v>459</v>
      </c>
      <c r="I234" s="45" t="str">
        <f t="shared" si="9"/>
        <v>mod_n_mixture_tu_pl</v>
      </c>
      <c r="J234" s="42" t="s">
        <v>150</v>
      </c>
      <c r="K234" s="39" t="str">
        <f>VLOOKUP(F234,glossary!J:N,5,FALSE)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4" t="s">
        <v>1567</v>
      </c>
      <c r="M234" s="30" t="str">
        <f t="shared" si="10"/>
        <v>{{ mod_n_mixture_tu_pl }}</v>
      </c>
      <c r="N234" t="s">
        <v>896</v>
      </c>
      <c r="O234" s="13" t="s">
        <v>1816</v>
      </c>
      <c r="P234" t="s">
        <v>4582</v>
      </c>
      <c r="Q23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4" t="b" cm="1">
        <f t="array" ref="R234">SUMPRODUCT(--EXACT($J$2:$J$490,J234))&gt;1</f>
        <v>0</v>
      </c>
      <c r="S234" t="s">
        <v>4909</v>
      </c>
    </row>
    <row r="235" spans="1:19">
      <c r="A235" s="30">
        <v>1</v>
      </c>
      <c r="B235" s="30" t="s">
        <v>1064</v>
      </c>
      <c r="C235" s="30"/>
      <c r="D235" s="30" t="s">
        <v>1207</v>
      </c>
      <c r="E235" s="30" t="s">
        <v>1759</v>
      </c>
      <c r="F235" s="30" t="s">
        <v>34</v>
      </c>
      <c r="G235" s="39" t="str">
        <f>VLOOKUP(F235,glossary!J:N,2,FALSE)</f>
        <v>Occupancy model (MacKenzie et al., 2002)</v>
      </c>
      <c r="H235" s="30" t="s">
        <v>34</v>
      </c>
      <c r="I235" s="45" t="str">
        <f t="shared" si="9"/>
        <v>mod_occupancy_tl_abrv_pl</v>
      </c>
      <c r="J235" s="39" t="s">
        <v>1385</v>
      </c>
      <c r="K235" s="39" t="str">
        <f>VLOOKUP(F235,glossary!J:N,5,FALSE)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5" s="30" t="s">
        <v>1386</v>
      </c>
      <c r="M235" s="30" t="str">
        <f t="shared" si="10"/>
        <v>{{ mod_occupancy_tl_abrv_pl }}</v>
      </c>
      <c r="N235" t="s">
        <v>896</v>
      </c>
      <c r="O235" s="13" t="s">
        <v>1816</v>
      </c>
      <c r="P235" t="s">
        <v>4582</v>
      </c>
      <c r="Q235"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35" t="b" cm="1">
        <f t="array" ref="R235">SUMPRODUCT(--EXACT($J$2:$J$490,J235))&gt;1</f>
        <v>0</v>
      </c>
      <c r="S235" t="s">
        <v>4910</v>
      </c>
    </row>
    <row r="236" spans="1:19">
      <c r="A236" s="30">
        <v>1</v>
      </c>
      <c r="B236" s="30" t="s">
        <v>1064</v>
      </c>
      <c r="C236" s="30" t="s">
        <v>0</v>
      </c>
      <c r="D236" s="30" t="s">
        <v>1208</v>
      </c>
      <c r="E236" s="30" t="s">
        <v>1758</v>
      </c>
      <c r="F236" s="30" t="s">
        <v>34</v>
      </c>
      <c r="G236" s="39" t="str">
        <f>VLOOKUP(F236,glossary!J:N,2,FALSE)</f>
        <v>Occupancy model (MacKenzie et al., 2002)</v>
      </c>
      <c r="H236" s="30" t="s">
        <v>34</v>
      </c>
      <c r="I236" s="45" t="str">
        <f t="shared" si="9"/>
        <v>mod_occupancy_tu_pl</v>
      </c>
      <c r="J236" s="39" t="s">
        <v>1168</v>
      </c>
      <c r="K236" s="39" t="str">
        <f>VLOOKUP(F236,glossary!J:N,5,FALSE)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6" s="30" t="s">
        <v>1132</v>
      </c>
      <c r="M236" s="30" t="str">
        <f t="shared" si="10"/>
        <v>{{ mod_occupancy_tu_pl }}</v>
      </c>
      <c r="N236" t="s">
        <v>896</v>
      </c>
      <c r="O236" s="13" t="s">
        <v>1816</v>
      </c>
      <c r="P236" t="s">
        <v>4582</v>
      </c>
      <c r="Q236"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36" t="b" cm="1">
        <f t="array" ref="R236">SUMPRODUCT(--EXACT($J$2:$J$490,J236))&gt;1</f>
        <v>0</v>
      </c>
      <c r="S236" t="s">
        <v>4911</v>
      </c>
    </row>
    <row r="237" spans="1:19">
      <c r="A237" s="30">
        <v>3</v>
      </c>
      <c r="B237" s="30" t="s">
        <v>1393</v>
      </c>
      <c r="C237" s="30"/>
      <c r="D237" s="30" t="s">
        <v>1208</v>
      </c>
      <c r="E237" s="30" t="s">
        <v>823</v>
      </c>
      <c r="F237" s="30" t="s">
        <v>34</v>
      </c>
      <c r="G237" s="39" t="str">
        <f>VLOOKUP(F237,glossary!J:N,2,FALSE)</f>
        <v>Occupancy model (MacKenzie et al., 2002)</v>
      </c>
      <c r="H237" s="34" t="s">
        <v>34</v>
      </c>
      <c r="I237" s="45" t="str">
        <f t="shared" si="9"/>
        <v>mod_occupancy_tu_ref</v>
      </c>
      <c r="J237" s="42" t="s">
        <v>148</v>
      </c>
      <c r="K237" s="39" t="str">
        <f>VLOOKUP(F237,glossary!J:N,5,FALSE)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7" t="s">
        <v>1566</v>
      </c>
      <c r="M237" s="30" t="str">
        <f t="shared" si="10"/>
        <v>{{ mod_occupancy_tu_ref }}</v>
      </c>
      <c r="N237" t="s">
        <v>896</v>
      </c>
      <c r="O237" s="13" t="s">
        <v>1816</v>
      </c>
      <c r="P237" t="s">
        <v>4582</v>
      </c>
      <c r="Q237"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37" t="b" cm="1">
        <f t="array" ref="R237">SUMPRODUCT(--EXACT($J$2:$J$490,J237))&gt;1</f>
        <v>0</v>
      </c>
      <c r="S237" t="s">
        <v>4912</v>
      </c>
    </row>
    <row r="238" spans="1:19">
      <c r="A238" s="30">
        <v>2</v>
      </c>
      <c r="B238" s="30" t="s">
        <v>1400</v>
      </c>
      <c r="C238" s="30"/>
      <c r="D238" s="30" t="s">
        <v>1207</v>
      </c>
      <c r="E238" s="30" t="s">
        <v>984</v>
      </c>
      <c r="F238" s="30" t="s">
        <v>460</v>
      </c>
      <c r="G238" s="39" t="str">
        <f>VLOOKUP(F238,glossary!J:N,2,FALSE)</f>
        <v>Overdispersion</v>
      </c>
      <c r="H238" s="30" t="s">
        <v>460</v>
      </c>
      <c r="I238" s="45" t="str">
        <f t="shared" si="9"/>
        <v>mod_overdispersion_tl</v>
      </c>
      <c r="J238" s="39" t="s">
        <v>464</v>
      </c>
      <c r="K238" s="39" t="str">
        <f>VLOOKUP(F238,glossary!J:N,5,FALSE)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8" s="30" t="s">
        <v>1565</v>
      </c>
      <c r="M238" s="30" t="str">
        <f t="shared" si="10"/>
        <v>{{ mod_overdispersion_tl }}</v>
      </c>
      <c r="N238" t="s">
        <v>896</v>
      </c>
      <c r="O238" s="13" t="s">
        <v>1816</v>
      </c>
      <c r="P238" t="s">
        <v>4582</v>
      </c>
      <c r="Q238"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8" t="b" cm="1">
        <f t="array" ref="R238">SUMPRODUCT(--EXACT($J$2:$J$490,J238))&gt;1</f>
        <v>0</v>
      </c>
      <c r="S238" t="s">
        <v>4913</v>
      </c>
    </row>
    <row r="239" spans="1:19">
      <c r="A239" s="30">
        <v>2</v>
      </c>
      <c r="B239" s="30" t="s">
        <v>1400</v>
      </c>
      <c r="C239" s="30"/>
      <c r="D239" s="30" t="s">
        <v>1208</v>
      </c>
      <c r="E239" s="30" t="s">
        <v>984</v>
      </c>
      <c r="F239" s="30" t="s">
        <v>460</v>
      </c>
      <c r="G239" s="39" t="str">
        <f>VLOOKUP(F239,glossary!J:N,2,FALSE)</f>
        <v>Overdispersion</v>
      </c>
      <c r="H239" s="30" t="s">
        <v>460</v>
      </c>
      <c r="I239" s="45" t="str">
        <f t="shared" si="9"/>
        <v>mod_overdispersion_tu</v>
      </c>
      <c r="J239" s="39" t="s">
        <v>146</v>
      </c>
      <c r="K239" s="39" t="str">
        <f>VLOOKUP(F239,glossary!J:N,5,FALSE)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9" s="30" t="s">
        <v>1564</v>
      </c>
      <c r="M239" s="30" t="str">
        <f t="shared" si="10"/>
        <v>{{ mod_overdispersion_tu }}</v>
      </c>
      <c r="N239" t="s">
        <v>896</v>
      </c>
      <c r="O239" s="13" t="s">
        <v>1816</v>
      </c>
      <c r="P239" t="s">
        <v>4582</v>
      </c>
      <c r="Q239"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9" t="b" cm="1">
        <f t="array" ref="R239">SUMPRODUCT(--EXACT($J$2:$J$490,J239))&gt;1</f>
        <v>0</v>
      </c>
      <c r="S239" t="s">
        <v>4914</v>
      </c>
    </row>
    <row r="240" spans="1:19">
      <c r="A240" s="30">
        <v>1</v>
      </c>
      <c r="B240" s="30" t="s">
        <v>1064</v>
      </c>
      <c r="C240" s="30"/>
      <c r="D240" s="30" t="s">
        <v>1207</v>
      </c>
      <c r="E240" s="30" t="s">
        <v>1755</v>
      </c>
      <c r="F240" s="30" t="s">
        <v>33</v>
      </c>
      <c r="G240" s="39" t="str">
        <f>VLOOKUP(F240,glossary!J:N,2,FALSE)</f>
        <v>Relative abundance indices</v>
      </c>
      <c r="H240" s="30" t="s">
        <v>33</v>
      </c>
      <c r="I240" s="45" t="str">
        <f t="shared" si="9"/>
        <v>mod_rai_tl_mod</v>
      </c>
      <c r="J240" s="39" t="s">
        <v>1826</v>
      </c>
      <c r="K240" s="39" t="str">
        <f>VLOOKUP(F240,glossary!J:N,5,FALSE)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0" s="30" t="s">
        <v>984</v>
      </c>
      <c r="M240" s="30" t="str">
        <f t="shared" si="10"/>
        <v>{{ mod_rai_tl_mod }}</v>
      </c>
      <c r="N240" t="s">
        <v>896</v>
      </c>
      <c r="O240" s="13" t="s">
        <v>1816</v>
      </c>
      <c r="P240" t="s">
        <v>4582</v>
      </c>
      <c r="Q240" t="str">
        <f t="shared" si="11"/>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0" t="b" cm="1">
        <f t="array" ref="R240">SUMPRODUCT(--EXACT($J$2:$J$490,J240))&gt;1</f>
        <v>0</v>
      </c>
      <c r="S240" t="s">
        <v>4915</v>
      </c>
    </row>
    <row r="241" spans="1:19">
      <c r="A241" s="30">
        <v>3</v>
      </c>
      <c r="B241" s="30" t="s">
        <v>1393</v>
      </c>
      <c r="C241" s="30"/>
      <c r="D241" s="30" t="s">
        <v>1207</v>
      </c>
      <c r="E241" s="30" t="s">
        <v>1758</v>
      </c>
      <c r="F241" s="30" t="s">
        <v>33</v>
      </c>
      <c r="G241" s="39" t="str">
        <f>VLOOKUP(F241,glossary!J:N,2,FALSE)</f>
        <v>Relative abundance indices</v>
      </c>
      <c r="H241" s="34" t="s">
        <v>33</v>
      </c>
      <c r="I241" s="45" t="str">
        <f t="shared" si="9"/>
        <v>mod_rai_tl_pl</v>
      </c>
      <c r="J241" s="43" t="s">
        <v>947</v>
      </c>
      <c r="K241" s="39" t="str">
        <f>VLOOKUP(F241,glossary!J:N,5,FALSE)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1" t="s">
        <v>1384</v>
      </c>
      <c r="M241" s="30" t="str">
        <f t="shared" si="10"/>
        <v>{{ mod_rai_tl_pl }}</v>
      </c>
      <c r="N241" t="s">
        <v>896</v>
      </c>
      <c r="O241" s="13" t="s">
        <v>1816</v>
      </c>
      <c r="P241" t="s">
        <v>4582</v>
      </c>
      <c r="Q241" t="str">
        <f t="shared" si="11"/>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1" t="b" cm="1">
        <f t="array" ref="R241">SUMPRODUCT(--EXACT($J$2:$J$490,J241))&gt;1</f>
        <v>0</v>
      </c>
      <c r="S241" t="s">
        <v>4916</v>
      </c>
    </row>
    <row r="242" spans="1:19">
      <c r="A242" s="30">
        <v>1</v>
      </c>
      <c r="B242" s="30" t="s">
        <v>1064</v>
      </c>
      <c r="C242" s="30"/>
      <c r="D242" s="30" t="s">
        <v>1208</v>
      </c>
      <c r="E242" s="30" t="s">
        <v>1755</v>
      </c>
      <c r="F242" s="30" t="s">
        <v>33</v>
      </c>
      <c r="G242" s="39" t="str">
        <f>VLOOKUP(F242,glossary!J:N,2,FALSE)</f>
        <v>Relative abundance indices</v>
      </c>
      <c r="H242" s="30" t="s">
        <v>33</v>
      </c>
      <c r="I242" s="45" t="str">
        <f t="shared" si="9"/>
        <v>mod_rai_tu_mod</v>
      </c>
      <c r="J242" s="39" t="s">
        <v>1827</v>
      </c>
      <c r="K242" s="39" t="str">
        <f>VLOOKUP(F242,glossary!J:N,5,FALSE)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2" s="30" t="s">
        <v>984</v>
      </c>
      <c r="M242" s="30" t="str">
        <f t="shared" si="10"/>
        <v>{{ mod_rai_tu_mod }}</v>
      </c>
      <c r="N242" t="s">
        <v>896</v>
      </c>
      <c r="O242" s="13" t="s">
        <v>1816</v>
      </c>
      <c r="P242" t="s">
        <v>4582</v>
      </c>
      <c r="Q242" t="str">
        <f t="shared" si="11"/>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2" t="b" cm="1">
        <f t="array" ref="R242">SUMPRODUCT(--EXACT($J$2:$J$490,J242))&gt;1</f>
        <v>0</v>
      </c>
      <c r="S242" t="s">
        <v>4917</v>
      </c>
    </row>
    <row r="243" spans="1:19">
      <c r="A243" s="30">
        <v>3</v>
      </c>
      <c r="B243" s="30" t="s">
        <v>1393</v>
      </c>
      <c r="C243" s="30"/>
      <c r="D243" s="30" t="s">
        <v>1208</v>
      </c>
      <c r="E243" s="30" t="s">
        <v>1758</v>
      </c>
      <c r="F243" s="30" t="s">
        <v>33</v>
      </c>
      <c r="G243" s="39" t="str">
        <f>VLOOKUP(F243,glossary!J:N,2,FALSE)</f>
        <v>Relative abundance indices</v>
      </c>
      <c r="H243" s="34" t="s">
        <v>33</v>
      </c>
      <c r="I243" s="45" t="str">
        <f t="shared" si="9"/>
        <v>mod_rai_tu_pl</v>
      </c>
      <c r="J243" s="42" t="s">
        <v>32</v>
      </c>
      <c r="K243" s="39" t="str">
        <f>VLOOKUP(F243,glossary!J:N,5,FALSE)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3" t="s">
        <v>1563</v>
      </c>
      <c r="M243" s="30" t="str">
        <f t="shared" si="10"/>
        <v>{{ mod_rai_tu_pl }}</v>
      </c>
      <c r="N243" t="s">
        <v>896</v>
      </c>
      <c r="O243" s="13" t="s">
        <v>1816</v>
      </c>
      <c r="P243" t="s">
        <v>4582</v>
      </c>
      <c r="Q243" t="str">
        <f t="shared" si="11"/>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3" t="b" cm="1">
        <f t="array" ref="R243">SUMPRODUCT(--EXACT($J$2:$J$490,J243))&gt;1</f>
        <v>0</v>
      </c>
      <c r="S243" t="s">
        <v>4918</v>
      </c>
    </row>
    <row r="244" spans="1:19">
      <c r="A244" s="30">
        <v>3</v>
      </c>
      <c r="B244" s="30" t="s">
        <v>1393</v>
      </c>
      <c r="C244" s="30"/>
      <c r="D244" s="30" t="s">
        <v>1208</v>
      </c>
      <c r="E244" s="30" t="s">
        <v>823</v>
      </c>
      <c r="F244" s="30" t="s">
        <v>446</v>
      </c>
      <c r="G244" s="39" t="str">
        <f>VLOOKUP(F244,glossary!J:N,2,FALSE)</f>
        <v>Hurdle model (Mullahy, 1986; Heilbron 1994)</v>
      </c>
      <c r="H244" s="34" t="s">
        <v>446</v>
      </c>
      <c r="I244" s="45" t="str">
        <f t="shared" si="9"/>
        <v>mod_rai_hurdle_tu_ref</v>
      </c>
      <c r="J244" s="42" t="s">
        <v>1397</v>
      </c>
      <c r="K244" s="39" t="str">
        <f>VLOOKUP(F244,glossary!J:N,5,FALSE)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244" t="s">
        <v>1562</v>
      </c>
      <c r="M244" s="30" t="str">
        <f t="shared" si="10"/>
        <v>{{ mod_rai_hurdle_tu_ref }}</v>
      </c>
      <c r="N244" t="s">
        <v>896</v>
      </c>
      <c r="O244" s="13" t="s">
        <v>1816</v>
      </c>
      <c r="P244" t="s">
        <v>4582</v>
      </c>
      <c r="Q244" t="str">
        <f t="shared" si="11"/>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244" t="b" cm="1">
        <f t="array" ref="R244">SUMPRODUCT(--EXACT($J$2:$J$490,J244))&gt;1</f>
        <v>0</v>
      </c>
      <c r="S244" t="s">
        <v>4919</v>
      </c>
    </row>
    <row r="245" spans="1:19">
      <c r="A245" s="30">
        <v>3</v>
      </c>
      <c r="B245" s="30" t="s">
        <v>1393</v>
      </c>
      <c r="C245" s="30"/>
      <c r="D245" s="30" t="s">
        <v>1208</v>
      </c>
      <c r="E245" s="30" t="s">
        <v>823</v>
      </c>
      <c r="F245" s="30" t="s">
        <v>449</v>
      </c>
      <c r="G245" s="39" t="str">
        <f>VLOOKUP(F245,glossary!J:N,2,FALSE)</f>
        <v>Negative binomial (NB) regression (Mullahy, 1986)</v>
      </c>
      <c r="H245" s="34" t="s">
        <v>449</v>
      </c>
      <c r="I245" s="45" t="str">
        <f t="shared" si="9"/>
        <v>mod_rai_nb_tu_ref</v>
      </c>
      <c r="J245" s="42" t="s">
        <v>152</v>
      </c>
      <c r="K245" s="39" t="str">
        <f>VLOOKUP(F245,glossary!J:N,5,FALSE)</f>
        <v>A regression model used for count data with overdispersion but without zero-inflation. [relative abundance indices]</v>
      </c>
      <c r="L245" t="s">
        <v>1561</v>
      </c>
      <c r="M245" s="30" t="str">
        <f t="shared" si="10"/>
        <v>{{ mod_rai_nb_tu_ref }}</v>
      </c>
      <c r="N245" t="s">
        <v>896</v>
      </c>
      <c r="O245" s="13" t="s">
        <v>1816</v>
      </c>
      <c r="P245" t="s">
        <v>4582</v>
      </c>
      <c r="Q24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45" t="b" cm="1">
        <f t="array" ref="R245">SUMPRODUCT(--EXACT($J$2:$J$490,J245))&gt;1</f>
        <v>0</v>
      </c>
      <c r="S245" t="s">
        <v>4920</v>
      </c>
    </row>
    <row r="246" spans="1:19">
      <c r="A246" s="30">
        <v>3</v>
      </c>
      <c r="B246" s="30" t="s">
        <v>1393</v>
      </c>
      <c r="C246" s="30"/>
      <c r="D246" s="30" t="s">
        <v>1207</v>
      </c>
      <c r="E246" s="30" t="s">
        <v>984</v>
      </c>
      <c r="F246" s="30" t="s">
        <v>432</v>
      </c>
      <c r="G246" s="39" t="str">
        <f>VLOOKUP(F246,glossary!J:N,2,FALSE)</f>
        <v>Poisson regression</v>
      </c>
      <c r="H246" s="34" t="s">
        <v>432</v>
      </c>
      <c r="I246" s="45" t="str">
        <f t="shared" si="9"/>
        <v>mod_rai_poisson_tl</v>
      </c>
      <c r="J246" s="43" t="s">
        <v>941</v>
      </c>
      <c r="K246" s="39" t="str">
        <f>VLOOKUP(F246,glossary!J:N,5,FALSE)</f>
        <v>A regression model for count data used when data are not overdispersed or zero-inflated (Lambert, 1992). [relative abundance indices]</v>
      </c>
      <c r="L246" t="s">
        <v>1560</v>
      </c>
      <c r="M246" s="30" t="str">
        <f t="shared" si="10"/>
        <v>{{ mod_rai_poisson_tl }}</v>
      </c>
      <c r="N246" t="s">
        <v>896</v>
      </c>
      <c r="O246" s="13" t="s">
        <v>1816</v>
      </c>
      <c r="P246" t="s">
        <v>4582</v>
      </c>
      <c r="Q246" t="str">
        <f t="shared" si="11"/>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6" t="b" cm="1">
        <f t="array" ref="R246">SUMPRODUCT(--EXACT($J$2:$J$490,J246))&gt;1</f>
        <v>0</v>
      </c>
      <c r="S246" t="s">
        <v>4921</v>
      </c>
    </row>
    <row r="247" spans="1:19">
      <c r="A247" s="30">
        <v>3</v>
      </c>
      <c r="B247" s="30" t="s">
        <v>1393</v>
      </c>
      <c r="C247" s="30"/>
      <c r="D247" s="30" t="s">
        <v>1208</v>
      </c>
      <c r="E247" s="30" t="s">
        <v>984</v>
      </c>
      <c r="F247" s="30" t="s">
        <v>432</v>
      </c>
      <c r="G247" s="39" t="str">
        <f>VLOOKUP(F247,glossary!J:N,2,FALSE)</f>
        <v>Poisson regression</v>
      </c>
      <c r="H247" s="34" t="s">
        <v>432</v>
      </c>
      <c r="I247" s="45" t="str">
        <f t="shared" si="9"/>
        <v>mod_rai_poisson_tu</v>
      </c>
      <c r="J247" s="42" t="s">
        <v>142</v>
      </c>
      <c r="K247" s="39" t="str">
        <f>VLOOKUP(F247,glossary!J:N,5,FALSE)</f>
        <v>A regression model for count data used when data are not overdispersed or zero-inflated (Lambert, 1992). [relative abundance indices]</v>
      </c>
      <c r="L247" t="s">
        <v>1559</v>
      </c>
      <c r="M247" s="30" t="str">
        <f t="shared" si="10"/>
        <v>{{ mod_rai_poisson_tu }}</v>
      </c>
      <c r="N247" t="s">
        <v>896</v>
      </c>
      <c r="O247" s="13" t="s">
        <v>1816</v>
      </c>
      <c r="P247" t="s">
        <v>4582</v>
      </c>
      <c r="Q247" t="str">
        <f t="shared" si="11"/>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7" t="b" cm="1">
        <f t="array" ref="R247">SUMPRODUCT(--EXACT($J$2:$J$490,J247))&gt;1</f>
        <v>0</v>
      </c>
      <c r="S247" t="s">
        <v>4922</v>
      </c>
    </row>
    <row r="248" spans="1:19">
      <c r="A248" s="30">
        <v>1</v>
      </c>
      <c r="B248" s="30" t="s">
        <v>1064</v>
      </c>
      <c r="C248" s="30" t="s">
        <v>0</v>
      </c>
      <c r="D248" s="30" t="s">
        <v>1208</v>
      </c>
      <c r="E248" s="30" t="s">
        <v>1752</v>
      </c>
      <c r="F248" s="30" t="s">
        <v>432</v>
      </c>
      <c r="G248" s="39" t="str">
        <f>VLOOKUP(F248,glossary!J:N,2,FALSE)</f>
        <v>Poisson regression</v>
      </c>
      <c r="H248" s="30" t="s">
        <v>432</v>
      </c>
      <c r="I248" s="45" t="str">
        <f t="shared" si="9"/>
        <v>mod_rai_poisson_tu_abrv</v>
      </c>
      <c r="J248" s="39" t="s">
        <v>444</v>
      </c>
      <c r="K248" s="39" t="str">
        <f>VLOOKUP(F248,glossary!J:N,5,FALSE)</f>
        <v>A regression model for count data used when data are not overdispersed or zero-inflated (Lambert, 1992). [relative abundance indices]</v>
      </c>
      <c r="L248" s="30" t="s">
        <v>1146</v>
      </c>
      <c r="M248" s="30" t="str">
        <f t="shared" si="10"/>
        <v>{{ mod_rai_poisson_tu_abrv }}</v>
      </c>
      <c r="N248" t="s">
        <v>896</v>
      </c>
      <c r="O248" s="13" t="s">
        <v>1816</v>
      </c>
      <c r="P248" t="s">
        <v>4582</v>
      </c>
      <c r="Q248" t="str">
        <f t="shared" si="11"/>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48" t="b" cm="1">
        <f t="array" ref="R248">SUMPRODUCT(--EXACT($J$2:$J$490,J248))&gt;1</f>
        <v>0</v>
      </c>
      <c r="S248" t="s">
        <v>4923</v>
      </c>
    </row>
    <row r="249" spans="1:19">
      <c r="A249" s="30">
        <v>1</v>
      </c>
      <c r="B249" s="30" t="s">
        <v>1064</v>
      </c>
      <c r="C249" s="30" t="s">
        <v>0</v>
      </c>
      <c r="D249" s="30" t="s">
        <v>1208</v>
      </c>
      <c r="E249" s="30" t="s">
        <v>1752</v>
      </c>
      <c r="F249" s="30" t="s">
        <v>447</v>
      </c>
      <c r="G249" s="39" t="str">
        <f>VLOOKUP(F249,glossary!J:N,2,FALSE)</f>
        <v>Zero-inflated negative binomial (ZINB) regression (McCullagh &amp; Nelder, 1989)</v>
      </c>
      <c r="H249" s="30" t="s">
        <v>447</v>
      </c>
      <c r="I249" s="45" t="str">
        <f t="shared" si="9"/>
        <v>mod_rai_zinb_tu_abrv</v>
      </c>
      <c r="J249" s="39" t="s">
        <v>1152</v>
      </c>
      <c r="K249" s="39" t="str">
        <f>VLOOKUP(F249,glossary!J:N,5,FALSE)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49" s="30" t="s">
        <v>1135</v>
      </c>
      <c r="M249" s="30" t="str">
        <f t="shared" si="10"/>
        <v>{{ mod_rai_zinb_tu_abrv }}</v>
      </c>
      <c r="N249" t="s">
        <v>896</v>
      </c>
      <c r="O249" s="13" t="s">
        <v>1816</v>
      </c>
      <c r="P249" t="s">
        <v>4582</v>
      </c>
      <c r="Q249" t="str">
        <f t="shared" si="11"/>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249" t="b" cm="1">
        <f t="array" ref="R249">SUMPRODUCT(--EXACT($J$2:$J$490,J249))&gt;1</f>
        <v>0</v>
      </c>
      <c r="S249" t="s">
        <v>4924</v>
      </c>
    </row>
    <row r="250" spans="1:19">
      <c r="A250" s="30">
        <v>3</v>
      </c>
      <c r="B250" s="30" t="s">
        <v>1393</v>
      </c>
      <c r="C250" s="30"/>
      <c r="D250" s="30" t="s">
        <v>1208</v>
      </c>
      <c r="E250" s="30" t="s">
        <v>823</v>
      </c>
      <c r="F250" s="30" t="s">
        <v>447</v>
      </c>
      <c r="G250" s="39" t="str">
        <f>VLOOKUP(F250,glossary!J:N,2,FALSE)</f>
        <v>Zero-inflated negative binomial (ZINB) regression (McCullagh &amp; Nelder, 1989)</v>
      </c>
      <c r="H250" s="34" t="s">
        <v>447</v>
      </c>
      <c r="I250" s="45" t="str">
        <f t="shared" si="9"/>
        <v>mod_rai_zinb_tu_ref</v>
      </c>
      <c r="J250" s="42" t="s">
        <v>55</v>
      </c>
      <c r="K250" s="39" t="str">
        <f>VLOOKUP(F250,glossary!J:N,5,FALSE)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0" t="s">
        <v>1558</v>
      </c>
      <c r="M250" s="30" t="str">
        <f t="shared" si="10"/>
        <v>{{ mod_rai_zinb_tu_ref }}</v>
      </c>
      <c r="N250" t="s">
        <v>896</v>
      </c>
      <c r="O250" s="13" t="s">
        <v>1816</v>
      </c>
      <c r="P250" t="s">
        <v>4582</v>
      </c>
      <c r="Q250" t="str">
        <f t="shared" si="11"/>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250" t="b" cm="1">
        <f t="array" ref="R250">SUMPRODUCT(--EXACT($J$2:$J$490,J250))&gt;1</f>
        <v>0</v>
      </c>
      <c r="S250" t="s">
        <v>4925</v>
      </c>
    </row>
    <row r="251" spans="1:19">
      <c r="A251" s="30">
        <v>1</v>
      </c>
      <c r="B251" s="30" t="s">
        <v>1064</v>
      </c>
      <c r="C251" s="30" t="s">
        <v>0</v>
      </c>
      <c r="D251" s="30" t="s">
        <v>1208</v>
      </c>
      <c r="E251" s="30" t="s">
        <v>1752</v>
      </c>
      <c r="F251" s="30" t="s">
        <v>450</v>
      </c>
      <c r="G251" s="39" t="str">
        <f>VLOOKUP(F251,glossary!J:N,2,FALSE)</f>
        <v>Zero-inflated Poisson (ZIP) regression (Lambert, 1992)</v>
      </c>
      <c r="H251" s="30" t="s">
        <v>450</v>
      </c>
      <c r="I251" s="45" t="str">
        <f t="shared" si="9"/>
        <v>mod_rai_zip_tu_abrv</v>
      </c>
      <c r="J251" s="39" t="s">
        <v>1153</v>
      </c>
      <c r="K251" s="39" t="str">
        <f>VLOOKUP(F251,glossary!J:N,5,FALSE)</f>
        <v>A regression model for count data that both follows the Poisson distribution and contains excess zeros (Lambert, 1992). ZIP models are only appropriate for data for which the overdispersion is not solely due to zero-inflation. [relative abundance indices]</v>
      </c>
      <c r="L251" s="30" t="s">
        <v>1136</v>
      </c>
      <c r="M251" s="30" t="str">
        <f t="shared" si="10"/>
        <v>{{ mod_rai_zip_tu_abrv }}</v>
      </c>
      <c r="N251" t="s">
        <v>896</v>
      </c>
      <c r="O251" s="13" t="s">
        <v>1816</v>
      </c>
      <c r="P251" t="s">
        <v>4582</v>
      </c>
      <c r="Q251" t="str">
        <f t="shared" si="11"/>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251" t="b" cm="1">
        <f t="array" ref="R251">SUMPRODUCT(--EXACT($J$2:$J$490,J251))&gt;1</f>
        <v>0</v>
      </c>
      <c r="S251" t="s">
        <v>4926</v>
      </c>
    </row>
    <row r="252" spans="1:19">
      <c r="A252" s="30">
        <v>3</v>
      </c>
      <c r="B252" s="30" t="s">
        <v>1393</v>
      </c>
      <c r="C252" s="30"/>
      <c r="D252" s="30" t="s">
        <v>1208</v>
      </c>
      <c r="E252" s="30" t="s">
        <v>823</v>
      </c>
      <c r="F252" s="30" t="s">
        <v>450</v>
      </c>
      <c r="G252" s="39" t="str">
        <f>VLOOKUP(F252,glossary!J:N,2,FALSE)</f>
        <v>Zero-inflated Poisson (ZIP) regression (Lambert, 1992)</v>
      </c>
      <c r="H252" s="34" t="s">
        <v>450</v>
      </c>
      <c r="I252" s="45" t="str">
        <f t="shared" si="9"/>
        <v>mod_rai_zip_tu_ref</v>
      </c>
      <c r="J252" s="42" t="s">
        <v>54</v>
      </c>
      <c r="K252" s="39" t="str">
        <f>VLOOKUP(F252,glossary!J:N,5,FALSE)</f>
        <v>A regression model for count data that both follows the Poisson distribution and contains excess zeros (Lambert, 1992). ZIP models are only appropriate for data for which the overdispersion is not solely due to zero-inflation. [relative abundance indices]</v>
      </c>
      <c r="L252" t="s">
        <v>1557</v>
      </c>
      <c r="M252" s="30" t="str">
        <f t="shared" si="10"/>
        <v>{{ mod_rai_zip_tu_ref }}</v>
      </c>
      <c r="N252" t="s">
        <v>896</v>
      </c>
      <c r="O252" s="13" t="s">
        <v>1816</v>
      </c>
      <c r="P252" t="s">
        <v>4582</v>
      </c>
      <c r="Q252" t="str">
        <f t="shared" si="11"/>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252" t="b" cm="1">
        <f t="array" ref="R252">SUMPRODUCT(--EXACT($J$2:$J$490,J252))&gt;1</f>
        <v>0</v>
      </c>
      <c r="S252" t="s">
        <v>4927</v>
      </c>
    </row>
    <row r="253" spans="1:19">
      <c r="A253" s="30">
        <v>1</v>
      </c>
      <c r="B253" s="30" t="s">
        <v>1064</v>
      </c>
      <c r="C253" s="30" t="s">
        <v>0</v>
      </c>
      <c r="D253" s="30" t="s">
        <v>1208</v>
      </c>
      <c r="E253" s="30" t="s">
        <v>1752</v>
      </c>
      <c r="F253" s="30" t="s">
        <v>16</v>
      </c>
      <c r="G253" s="39" t="str">
        <f>VLOOKUP(F253,glossary!J:N,2,FALSE)</f>
        <v>Random encounter model (REM) (Rowcliffe et al., 2008, 2013)</v>
      </c>
      <c r="H253" s="30" t="s">
        <v>16</v>
      </c>
      <c r="I253" s="45" t="str">
        <f t="shared" si="9"/>
        <v>mod_rem_tu_abrv</v>
      </c>
      <c r="J253" s="39" t="s">
        <v>1154</v>
      </c>
      <c r="K253" s="39" t="str">
        <f>VLOOKUP(F253,glossary!J:N,5,FALSE)</f>
        <v>A method used to estimate the density of unmarked populations; uses the rate of independent captures, an estimate of movement rate, average group size, and the area sampled by the remote camera.</v>
      </c>
      <c r="L253" s="30" t="s">
        <v>1137</v>
      </c>
      <c r="M253" s="30" t="str">
        <f t="shared" si="10"/>
        <v>{{ mod_rem_tu_abrv }}</v>
      </c>
      <c r="N253" t="s">
        <v>896</v>
      </c>
      <c r="O253" s="13" t="s">
        <v>1816</v>
      </c>
      <c r="P253" t="s">
        <v>4582</v>
      </c>
      <c r="Q253" t="str">
        <f t="shared" si="11"/>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53" t="b" cm="1">
        <f t="array" ref="R253">SUMPRODUCT(--EXACT($J$2:$J$490,J253))&gt;1</f>
        <v>0</v>
      </c>
      <c r="S253" t="s">
        <v>4928</v>
      </c>
    </row>
    <row r="254" spans="1:19">
      <c r="A254" s="30">
        <v>3</v>
      </c>
      <c r="B254" s="30" t="s">
        <v>1393</v>
      </c>
      <c r="C254" s="30"/>
      <c r="D254" s="30" t="s">
        <v>1208</v>
      </c>
      <c r="E254" s="30" t="s">
        <v>823</v>
      </c>
      <c r="F254" s="30" t="s">
        <v>16</v>
      </c>
      <c r="G254" s="39" t="str">
        <f>VLOOKUP(F254,glossary!J:N,2,FALSE)</f>
        <v>Random encounter model (REM) (Rowcliffe et al., 2008, 2013)</v>
      </c>
      <c r="H254" s="34" t="s">
        <v>16</v>
      </c>
      <c r="I254" s="45" t="str">
        <f t="shared" si="9"/>
        <v>mod_rem_tu_ref</v>
      </c>
      <c r="J254" s="42" t="s">
        <v>132</v>
      </c>
      <c r="K254" s="39" t="str">
        <f>VLOOKUP(F254,glossary!J:N,5,FALSE)</f>
        <v>A method used to estimate the density of unmarked populations; uses the rate of independent captures, an estimate of movement rate, average group size, and the area sampled by the remote camera.</v>
      </c>
      <c r="L254" t="s">
        <v>1556</v>
      </c>
      <c r="M254" s="30" t="str">
        <f t="shared" si="10"/>
        <v>{{ mod_rem_tu_ref }}</v>
      </c>
      <c r="N254" t="s">
        <v>896</v>
      </c>
      <c r="O254" s="13" t="s">
        <v>1816</v>
      </c>
      <c r="P254" t="s">
        <v>4582</v>
      </c>
      <c r="Q254" t="str">
        <f t="shared" si="11"/>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254" t="b" cm="1">
        <f t="array" ref="R254">SUMPRODUCT(--EXACT($J$2:$J$490,J254))&gt;1</f>
        <v>0</v>
      </c>
      <c r="S254" t="s">
        <v>4929</v>
      </c>
    </row>
    <row r="255" spans="1:19">
      <c r="A255" s="30">
        <v>1</v>
      </c>
      <c r="B255" s="30" t="s">
        <v>1064</v>
      </c>
      <c r="C255" s="30" t="s">
        <v>429</v>
      </c>
      <c r="D255" s="30" t="s">
        <v>1208</v>
      </c>
      <c r="E255" s="30" t="s">
        <v>1752</v>
      </c>
      <c r="F255" s="30" t="s">
        <v>14</v>
      </c>
      <c r="G255" s="39" t="str">
        <f>VLOOKUP(F255,glossary!J:N,2,FALSE)</f>
        <v>Random encounter and staying time (REST) model (Nakashima et al., 2018)</v>
      </c>
      <c r="H255" s="30" t="s">
        <v>14</v>
      </c>
      <c r="I255" s="45" t="str">
        <f t="shared" si="9"/>
        <v>mod_rest_tu_abrv</v>
      </c>
      <c r="J255" s="39" t="s">
        <v>1155</v>
      </c>
      <c r="K255" s="39" t="str">
        <f>VLOOKUP(F255,glossary!J:N,5,FALSE)</f>
        <v>A recent modification of the REM (Nakashima et al., 2018) that substitutes staying time (i.e., the cumulative time in the cameras' detection zone) for movement speed (staying time and movement speed are inversely proportional) (Cappelle et al., 2021).</v>
      </c>
      <c r="L255" s="30" t="s">
        <v>1138</v>
      </c>
      <c r="M255" s="30" t="str">
        <f t="shared" si="10"/>
        <v>{{ mod_rest_tu_abrv }}</v>
      </c>
      <c r="N255" t="s">
        <v>896</v>
      </c>
      <c r="O255" s="13" t="s">
        <v>1816</v>
      </c>
      <c r="P255" t="s">
        <v>4582</v>
      </c>
      <c r="Q255" t="str">
        <f t="shared" si="11"/>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55" t="b" cm="1">
        <f t="array" ref="R255">SUMPRODUCT(--EXACT($J$2:$J$490,J255))&gt;1</f>
        <v>0</v>
      </c>
      <c r="S255" t="s">
        <v>4930</v>
      </c>
    </row>
    <row r="256" spans="1:19">
      <c r="A256" s="30">
        <v>3</v>
      </c>
      <c r="B256" s="30" t="s">
        <v>1393</v>
      </c>
      <c r="C256" s="30"/>
      <c r="D256" s="30" t="s">
        <v>1208</v>
      </c>
      <c r="E256" s="30" t="s">
        <v>823</v>
      </c>
      <c r="F256" s="30" t="s">
        <v>14</v>
      </c>
      <c r="G256" s="39" t="str">
        <f>VLOOKUP(F256,glossary!J:N,2,FALSE)</f>
        <v>Random encounter and staying time (REST) model (Nakashima et al., 2018)</v>
      </c>
      <c r="H256" s="34" t="s">
        <v>14</v>
      </c>
      <c r="I256" s="45" t="str">
        <f t="shared" si="9"/>
        <v>mod_rest_tu_ref</v>
      </c>
      <c r="J256" s="42" t="s">
        <v>1396</v>
      </c>
      <c r="K256" s="39" t="str">
        <f>VLOOKUP(F256,glossary!J:N,5,FALSE)</f>
        <v>A recent modification of the REM (Nakashima et al., 2018) that substitutes staying time (i.e., the cumulative time in the cameras' detection zone) for movement speed (staying time and movement speed are inversely proportional) (Cappelle et al., 2021).</v>
      </c>
      <c r="L256" t="s">
        <v>1555</v>
      </c>
      <c r="M256" s="30" t="str">
        <f t="shared" si="10"/>
        <v>{{ mod_rest_tu_ref }}</v>
      </c>
      <c r="N256" t="s">
        <v>896</v>
      </c>
      <c r="O256" s="13" t="s">
        <v>1816</v>
      </c>
      <c r="P256" t="s">
        <v>4582</v>
      </c>
      <c r="Q256" t="str">
        <f t="shared" si="11"/>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56" t="b" cm="1">
        <f t="array" ref="R256">SUMPRODUCT(--EXACT($J$2:$J$490,J256))&gt;1</f>
        <v>0</v>
      </c>
      <c r="S256" t="s">
        <v>4931</v>
      </c>
    </row>
    <row r="257" spans="1:19">
      <c r="A257" s="30">
        <v>3</v>
      </c>
      <c r="B257" s="30" t="s">
        <v>1393</v>
      </c>
      <c r="C257" s="30"/>
      <c r="D257" s="30" t="s">
        <v>1208</v>
      </c>
      <c r="E257" s="30" t="s">
        <v>823</v>
      </c>
      <c r="F257" s="30" t="s">
        <v>461</v>
      </c>
      <c r="G257" s="39" t="str">
        <f>VLOOKUP(F257,glossary!J:N,2,FALSE)</f>
        <v>Royle-Nichols model (Royle &amp; Nichols, 2003; MacKenzie et al., 2006)</v>
      </c>
      <c r="H257" s="34" t="s">
        <v>461</v>
      </c>
      <c r="I257" s="45" t="str">
        <f t="shared" si="9"/>
        <v>mod_royle_nichols_tu_ref</v>
      </c>
      <c r="J257" s="42" t="s">
        <v>124</v>
      </c>
      <c r="K257" s="39" t="str">
        <f>VLOOKUP(F257,glossary!J:N,5,FALSE)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257" t="s">
        <v>1554</v>
      </c>
      <c r="M257" s="30" t="str">
        <f t="shared" si="10"/>
        <v>{{ mod_royle_nichols_tu_ref }}</v>
      </c>
      <c r="N257" t="s">
        <v>896</v>
      </c>
      <c r="O257" s="13" t="s">
        <v>1816</v>
      </c>
      <c r="P257" t="s">
        <v>4582</v>
      </c>
      <c r="Q257" t="str">
        <f t="shared" si="11"/>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257" t="b" cm="1">
        <f t="array" ref="R257">SUMPRODUCT(--EXACT($J$2:$J$490,J257))&gt;1</f>
        <v>0</v>
      </c>
      <c r="S257" t="s">
        <v>4932</v>
      </c>
    </row>
    <row r="258" spans="1:19">
      <c r="A258" s="30">
        <v>1</v>
      </c>
      <c r="B258" s="30" t="s">
        <v>1064</v>
      </c>
      <c r="C258" s="30" t="s">
        <v>0</v>
      </c>
      <c r="D258" s="30" t="s">
        <v>1208</v>
      </c>
      <c r="E258" s="30" t="s">
        <v>1752</v>
      </c>
      <c r="F258" s="30" t="s">
        <v>23</v>
      </c>
      <c r="G258" s="39" t="str">
        <f>VLOOKUP(F258,glossary!J:N,2,FALSE)</f>
        <v>Spatial count (SC) model / Unmarked spatial capture-recapture (Chandler &amp; Royle, 2013)</v>
      </c>
      <c r="H258" s="30" t="s">
        <v>23</v>
      </c>
      <c r="I258" s="45" t="str">
        <f t="shared" ref="I258:I321" si="12">IF(D258="-","-",IF(E258&lt;&gt;"-",(H258&amp;"_"&amp;D258&amp;"_"&amp;E258),H258&amp;"_"&amp;D258))</f>
        <v>mod_sc_tu_abrv</v>
      </c>
      <c r="J258" s="39" t="s">
        <v>1156</v>
      </c>
      <c r="K258" s="39" t="str">
        <f>VLOOKUP(F258,glossary!J:N,5,FALSE)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8" s="30" t="s">
        <v>1139</v>
      </c>
      <c r="M258" s="30" t="str">
        <f t="shared" ref="M258:M310" si="13">"{{ "&amp;I258&amp;" }}"</f>
        <v>{{ mod_sc_tu_abrv }}</v>
      </c>
      <c r="N258" t="s">
        <v>896</v>
      </c>
      <c r="O258" s="13" t="s">
        <v>1816</v>
      </c>
      <c r="P258" t="s">
        <v>4582</v>
      </c>
      <c r="Q258" t="str">
        <f t="shared" ref="Q258:Q321" si="14">IF(K258&lt;&gt;"-",("    "&amp;I258&amp;": "&amp;""""&amp;"&lt;a href=\"&amp;""""&amp;"09_glossary.html#"&amp;H258&amp;N258&amp;G258&amp;": "&amp;K258&amp;O258&amp;J258&amp;P258&amp;""""),"-")</f>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258" t="b" cm="1">
        <f t="array" ref="R258">SUMPRODUCT(--EXACT($J$2:$J$490,J258))&gt;1</f>
        <v>0</v>
      </c>
      <c r="S258" t="s">
        <v>4933</v>
      </c>
    </row>
    <row r="259" spans="1:19">
      <c r="A259" s="30">
        <v>3</v>
      </c>
      <c r="B259" s="30" t="s">
        <v>1393</v>
      </c>
      <c r="C259" s="30"/>
      <c r="D259" s="30" t="s">
        <v>1208</v>
      </c>
      <c r="E259" s="30" t="s">
        <v>823</v>
      </c>
      <c r="F259" s="30" t="s">
        <v>23</v>
      </c>
      <c r="G259" s="39" t="str">
        <f>VLOOKUP(F259,glossary!J:N,2,FALSE)</f>
        <v>Spatial count (SC) model / Unmarked spatial capture-recapture (Chandler &amp; Royle, 2013)</v>
      </c>
      <c r="H259" s="34" t="s">
        <v>23</v>
      </c>
      <c r="I259" s="45" t="str">
        <f t="shared" si="12"/>
        <v>mod_sc_tu_ref</v>
      </c>
      <c r="J259" s="42" t="s">
        <v>441</v>
      </c>
      <c r="K259" s="39" t="str">
        <f>VLOOKUP(F259,glossary!J:N,5,FALSE)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9" t="s">
        <v>1553</v>
      </c>
      <c r="M259" s="30" t="str">
        <f t="shared" si="13"/>
        <v>{{ mod_sc_tu_ref }}</v>
      </c>
      <c r="N259" t="s">
        <v>896</v>
      </c>
      <c r="O259" s="13" t="s">
        <v>1816</v>
      </c>
      <c r="P259" t="s">
        <v>4582</v>
      </c>
      <c r="Q259" t="str">
        <f t="shared" si="14"/>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259" t="b" cm="1">
        <f t="array" ref="R259">SUMPRODUCT(--EXACT($J$2:$J$490,J259))&gt;1</f>
        <v>0</v>
      </c>
      <c r="S259" t="s">
        <v>4934</v>
      </c>
    </row>
    <row r="260" spans="1:19">
      <c r="A260" s="30">
        <v>3</v>
      </c>
      <c r="B260" s="30" t="s">
        <v>1393</v>
      </c>
      <c r="C260" s="30"/>
      <c r="D260" s="30" t="s">
        <v>1208</v>
      </c>
      <c r="E260" s="30" t="s">
        <v>823</v>
      </c>
      <c r="F260" s="30" t="s">
        <v>28</v>
      </c>
      <c r="G260" s="39" t="str">
        <f>VLOOKUP(F260,glossary!J:N,2,FALSE)</f>
        <v>Spatially explicit capture-recapture (SECR) / Spatial capture-recapture (SCR) (Borchers &amp; Efford, 2008; Efford, 2004; Royle &amp; Young, 2008; Royle et al., 2009)</v>
      </c>
      <c r="H260" s="34" t="s">
        <v>28</v>
      </c>
      <c r="I260" s="45" t="str">
        <f t="shared" si="12"/>
        <v>mod_scr_secr_tu_ref</v>
      </c>
      <c r="J260" s="42" t="s">
        <v>550</v>
      </c>
      <c r="K260" s="39" t="str">
        <f>VLOOKUP(F260,glossary!J:N,5,FALSE)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0" t="s">
        <v>1552</v>
      </c>
      <c r="M260" s="30" t="str">
        <f t="shared" si="13"/>
        <v>{{ mod_scr_secr_tu_ref }}</v>
      </c>
      <c r="N260" t="s">
        <v>896</v>
      </c>
      <c r="O260" s="13" t="s">
        <v>1816</v>
      </c>
      <c r="P260" t="s">
        <v>4582</v>
      </c>
      <c r="Q260" t="str">
        <f t="shared" si="14"/>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260" t="b" cm="1">
        <f t="array" ref="R260">SUMPRODUCT(--EXACT($J$2:$J$490,J260))&gt;1</f>
        <v>0</v>
      </c>
      <c r="S260" t="s">
        <v>4935</v>
      </c>
    </row>
    <row r="261" spans="1:19">
      <c r="A261" s="30">
        <v>1</v>
      </c>
      <c r="B261" s="30" t="s">
        <v>1064</v>
      </c>
      <c r="C261" s="30" t="s">
        <v>429</v>
      </c>
      <c r="D261" s="30" t="s">
        <v>1208</v>
      </c>
      <c r="E261" s="30" t="s">
        <v>1752</v>
      </c>
      <c r="F261" s="30" t="s">
        <v>28</v>
      </c>
      <c r="G261" s="39" t="str">
        <f>VLOOKUP(F261,glossary!J:N,2,FALSE)</f>
        <v>Spatially explicit capture-recapture (SECR) / Spatial capture-recapture (SCR) (Borchers &amp; Efford, 2008; Efford, 2004; Royle &amp; Young, 2008; Royle et al., 2009)</v>
      </c>
      <c r="H261" s="30" t="s">
        <v>1772</v>
      </c>
      <c r="I261" s="45" t="str">
        <f t="shared" si="12"/>
        <v>mod_scr_tu_abrv</v>
      </c>
      <c r="J261" s="39" t="s">
        <v>1718</v>
      </c>
      <c r="K261" s="39" t="str">
        <f>VLOOKUP(F261,glossary!J:N,5,FALSE)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1" s="30" t="s">
        <v>1141</v>
      </c>
      <c r="M261" s="30" t="str">
        <f t="shared" si="13"/>
        <v>{{ mod_scr_tu_abrv }}</v>
      </c>
      <c r="N261" t="s">
        <v>896</v>
      </c>
      <c r="O261" s="13" t="s">
        <v>1816</v>
      </c>
      <c r="P261" t="s">
        <v>4582</v>
      </c>
      <c r="Q261" t="str">
        <f t="shared" si="14"/>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261" t="b" cm="1">
        <f t="array" ref="R261">SUMPRODUCT(--EXACT($J$2:$J$490,J261))&gt;1</f>
        <v>0</v>
      </c>
      <c r="S261" t="s">
        <v>4936</v>
      </c>
    </row>
    <row r="262" spans="1:19">
      <c r="A262" s="30">
        <v>1</v>
      </c>
      <c r="B262" s="30" t="s">
        <v>1064</v>
      </c>
      <c r="C262" s="30"/>
      <c r="D262" s="30" t="s">
        <v>1207</v>
      </c>
      <c r="E262" s="30" t="s">
        <v>1756</v>
      </c>
      <c r="F262" s="30" t="s">
        <v>28</v>
      </c>
      <c r="G262" s="39" t="str">
        <f>VLOOKUP(F262,glossary!J:N,2,FALSE)</f>
        <v>Spatially explicit capture-recapture (SECR) / Spatial capture-recapture (SCR) (Borchers &amp; Efford, 2008; Efford, 2004; Royle &amp; Young, 2008; Royle et al., 2009)</v>
      </c>
      <c r="H262" s="30" t="s">
        <v>1773</v>
      </c>
      <c r="I262" s="45" t="str">
        <f t="shared" si="12"/>
        <v>mod_secr_tl_modtxt</v>
      </c>
      <c r="J262" s="39" t="s">
        <v>1381</v>
      </c>
      <c r="K262" s="39" t="str">
        <f>VLOOKUP(F262,glossary!J:N,5,FALSE)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2" s="31" t="s">
        <v>1382</v>
      </c>
      <c r="M262" s="30" t="str">
        <f t="shared" si="13"/>
        <v>{{ mod_secr_tl_modtxt }}</v>
      </c>
      <c r="N262" t="s">
        <v>896</v>
      </c>
      <c r="O262" s="13" t="s">
        <v>1816</v>
      </c>
      <c r="P262" t="s">
        <v>4582</v>
      </c>
      <c r="Q262" t="str">
        <f t="shared" si="14"/>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262" t="b" cm="1">
        <f t="array" ref="R262">SUMPRODUCT(--EXACT($J$2:$J$490,J262))&gt;1</f>
        <v>0</v>
      </c>
      <c r="S262" t="s">
        <v>4937</v>
      </c>
    </row>
    <row r="263" spans="1:19">
      <c r="A263" s="30">
        <v>1</v>
      </c>
      <c r="B263" s="30" t="s">
        <v>1064</v>
      </c>
      <c r="C263" s="30" t="s">
        <v>0</v>
      </c>
      <c r="D263" s="30" t="s">
        <v>1208</v>
      </c>
      <c r="E263" s="30" t="s">
        <v>1752</v>
      </c>
      <c r="F263" s="30" t="s">
        <v>28</v>
      </c>
      <c r="G263" s="39" t="str">
        <f>VLOOKUP(F263,glossary!J:N,2,FALSE)</f>
        <v>Spatially explicit capture-recapture (SECR) / Spatial capture-recapture (SCR) (Borchers &amp; Efford, 2008; Efford, 2004; Royle &amp; Young, 2008; Royle et al., 2009)</v>
      </c>
      <c r="H263" s="30" t="s">
        <v>1773</v>
      </c>
      <c r="I263" s="45" t="str">
        <f t="shared" si="12"/>
        <v>mod_secr_tu_abrv</v>
      </c>
      <c r="J263" s="39" t="s">
        <v>1157</v>
      </c>
      <c r="K263" s="39" t="str">
        <f>VLOOKUP(F263,glossary!J:N,5,FALSE)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3" s="30" t="s">
        <v>1140</v>
      </c>
      <c r="M263" s="30" t="str">
        <f t="shared" si="13"/>
        <v>{{ mod_secr_tu_abrv }}</v>
      </c>
      <c r="N263" t="s">
        <v>896</v>
      </c>
      <c r="O263" s="13" t="s">
        <v>1816</v>
      </c>
      <c r="P263" t="s">
        <v>4582</v>
      </c>
      <c r="Q263" t="str">
        <f t="shared" si="14"/>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263" t="b" cm="1">
        <f t="array" ref="R263">SUMPRODUCT(--EXACT($J$2:$J$490,J263))&gt;1</f>
        <v>0</v>
      </c>
      <c r="S263" t="s">
        <v>4938</v>
      </c>
    </row>
    <row r="264" spans="1:19">
      <c r="A264" s="30">
        <v>1</v>
      </c>
      <c r="B264" s="30" t="s">
        <v>1064</v>
      </c>
      <c r="C264" s="30" t="s">
        <v>429</v>
      </c>
      <c r="D264" s="30" t="s">
        <v>1208</v>
      </c>
      <c r="E264" s="30" t="s">
        <v>1752</v>
      </c>
      <c r="F264" s="30" t="s">
        <v>25</v>
      </c>
      <c r="G264" s="39" t="str">
        <f>VLOOKUP(F264,glossary!J:N,2,FALSE)</f>
        <v>Spatial mark-resight (SMR) (Chandler &amp; Royle, 2013; Sollmann et al., 2013a, 2013b)</v>
      </c>
      <c r="H264" s="30" t="s">
        <v>25</v>
      </c>
      <c r="I264" s="45" t="str">
        <f t="shared" si="12"/>
        <v>mod_smr_tu_abrv</v>
      </c>
      <c r="J264" s="39" t="s">
        <v>1158</v>
      </c>
      <c r="K264" s="39" t="str">
        <f>VLOOKUP(F264,glossary!J:N,5,FALSE)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4" s="30" t="s">
        <v>1142</v>
      </c>
      <c r="M264" s="30" t="str">
        <f t="shared" si="13"/>
        <v>{{ mod_smr_tu_abrv }}</v>
      </c>
      <c r="N264" t="s">
        <v>896</v>
      </c>
      <c r="O264" s="13" t="s">
        <v>1816</v>
      </c>
      <c r="P264" t="s">
        <v>4582</v>
      </c>
      <c r="Q264" t="str">
        <f t="shared" si="14"/>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264" t="b" cm="1">
        <f t="array" ref="R264">SUMPRODUCT(--EXACT($J$2:$J$490,J264))&gt;1</f>
        <v>0</v>
      </c>
      <c r="S264" t="s">
        <v>4939</v>
      </c>
    </row>
    <row r="265" spans="1:19">
      <c r="A265" s="30">
        <v>3</v>
      </c>
      <c r="B265" s="30" t="s">
        <v>1393</v>
      </c>
      <c r="C265" s="30"/>
      <c r="D265" s="30" t="s">
        <v>1208</v>
      </c>
      <c r="E265" s="30" t="s">
        <v>823</v>
      </c>
      <c r="F265" s="30" t="s">
        <v>25</v>
      </c>
      <c r="G265" s="39" t="str">
        <f>VLOOKUP(F265,glossary!J:N,2,FALSE)</f>
        <v>Spatial mark-resight (SMR) (Chandler &amp; Royle, 2013; Sollmann et al., 2013a, 2013b)</v>
      </c>
      <c r="H265" s="34" t="s">
        <v>25</v>
      </c>
      <c r="I265" s="45" t="str">
        <f t="shared" si="12"/>
        <v>mod_smr_tu_ref</v>
      </c>
      <c r="J265" s="42" t="s">
        <v>105</v>
      </c>
      <c r="K265" s="39" t="str">
        <f>VLOOKUP(F265,glossary!J:N,5,FALSE)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5" t="s">
        <v>1551</v>
      </c>
      <c r="M265" s="30" t="str">
        <f t="shared" si="13"/>
        <v>{{ mod_smr_tu_ref }}</v>
      </c>
      <c r="N265" t="s">
        <v>896</v>
      </c>
      <c r="O265" s="13" t="s">
        <v>1816</v>
      </c>
      <c r="P265" t="s">
        <v>4582</v>
      </c>
      <c r="Q265" t="str">
        <f t="shared" si="14"/>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265" t="b" cm="1">
        <f t="array" ref="R265">SUMPRODUCT(--EXACT($J$2:$J$490,J265))&gt;1</f>
        <v>0</v>
      </c>
      <c r="S265" t="s">
        <v>4940</v>
      </c>
    </row>
    <row r="266" spans="1:19">
      <c r="A266" s="30">
        <v>3</v>
      </c>
      <c r="B266" s="30" t="s">
        <v>1393</v>
      </c>
      <c r="C266" s="30"/>
      <c r="D266" s="30" t="s">
        <v>1208</v>
      </c>
      <c r="E266" s="30" t="s">
        <v>823</v>
      </c>
      <c r="F266" s="30" t="s">
        <v>6</v>
      </c>
      <c r="G266" s="39" t="str">
        <f>VLOOKUP(F266,glossary!J:N,2,FALSE)</f>
        <v>Space-to-event (STE) model (Moeller et al., 2018)</v>
      </c>
      <c r="H266" s="34" t="s">
        <v>6</v>
      </c>
      <c r="I266" s="45" t="str">
        <f t="shared" si="12"/>
        <v>mod_ste_tu_ref</v>
      </c>
      <c r="J266" s="42" t="s">
        <v>109</v>
      </c>
      <c r="K266" s="39" t="str">
        <f>VLOOKUP(F266,glossary!J:N,5,FALSE)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266" t="s">
        <v>1550</v>
      </c>
      <c r="M266" s="30" t="str">
        <f t="shared" si="13"/>
        <v>{{ mod_ste_tu_ref }}</v>
      </c>
      <c r="N266" t="s">
        <v>896</v>
      </c>
      <c r="O266" s="13" t="s">
        <v>1816</v>
      </c>
      <c r="P266" t="s">
        <v>4582</v>
      </c>
      <c r="Q266" t="str">
        <f t="shared" si="14"/>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266" t="b" cm="1">
        <f t="array" ref="R266">SUMPRODUCT(--EXACT($J$2:$J$490,J266))&gt;1</f>
        <v>0</v>
      </c>
      <c r="S266" t="s">
        <v>4941</v>
      </c>
    </row>
    <row r="267" spans="1:19">
      <c r="A267" s="30">
        <v>3</v>
      </c>
      <c r="B267" s="30" t="s">
        <v>1393</v>
      </c>
      <c r="C267" s="30"/>
      <c r="D267" s="30" t="s">
        <v>1208</v>
      </c>
      <c r="E267" s="30" t="s">
        <v>823</v>
      </c>
      <c r="F267" s="30" t="s">
        <v>12</v>
      </c>
      <c r="G267" s="39" t="str">
        <f>VLOOKUP(F267,glossary!J:N,2,FALSE)</f>
        <v>Time in front of the camera (TIFC) (Huggard, 2018; Warbington &amp; Boyce, 2020; tested in Becker et al., 2022)</v>
      </c>
      <c r="H267" s="34" t="s">
        <v>12</v>
      </c>
      <c r="I267" s="45" t="str">
        <f t="shared" si="12"/>
        <v>mod_tifc_tu_ref</v>
      </c>
      <c r="J267" s="42" t="s">
        <v>81</v>
      </c>
      <c r="K267" s="39" t="str">
        <f>VLOOKUP(F267,glossary!J:N,5,FALSE)</f>
        <v>A method used to estimate density that treats camera image data as quadrat samples (Becker et al., 2022).</v>
      </c>
      <c r="L267" t="s">
        <v>1549</v>
      </c>
      <c r="M267" s="30" t="str">
        <f t="shared" si="13"/>
        <v>{{ mod_tifc_tu_ref }}</v>
      </c>
      <c r="N267" t="s">
        <v>896</v>
      </c>
      <c r="O267" s="13" t="s">
        <v>1816</v>
      </c>
      <c r="P267" t="s">
        <v>4582</v>
      </c>
      <c r="Q267" t="str">
        <f t="shared" si="14"/>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267" t="b" cm="1">
        <f t="array" ref="R267">SUMPRODUCT(--EXACT($J$2:$J$490,J267))&gt;1</f>
        <v>0</v>
      </c>
      <c r="S267" t="s">
        <v>4942</v>
      </c>
    </row>
    <row r="268" spans="1:19">
      <c r="A268" s="30">
        <v>3</v>
      </c>
      <c r="B268" s="30" t="s">
        <v>1393</v>
      </c>
      <c r="C268" s="30"/>
      <c r="D268" s="30" t="s">
        <v>1208</v>
      </c>
      <c r="E268" s="30" t="s">
        <v>823</v>
      </c>
      <c r="F268" s="30" t="s">
        <v>8</v>
      </c>
      <c r="G268" s="39" t="str">
        <f>VLOOKUP(F268,glossary!J:N,2,FALSE)</f>
        <v>Time-to-event (TTE) model (Moeller et al., 2018)</v>
      </c>
      <c r="H268" s="34" t="s">
        <v>8</v>
      </c>
      <c r="I268" s="45" t="str">
        <f t="shared" si="12"/>
        <v>mod_tte_tu_ref</v>
      </c>
      <c r="J268" s="42" t="s">
        <v>78</v>
      </c>
      <c r="K268" s="39" t="str">
        <f>VLOOKUP(F268,glossary!J:N,5,FALSE)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268" t="s">
        <v>1548</v>
      </c>
      <c r="M268" s="30" t="str">
        <f t="shared" si="13"/>
        <v>{{ mod_tte_tu_ref }}</v>
      </c>
      <c r="N268" t="s">
        <v>896</v>
      </c>
      <c r="O268" s="13" t="s">
        <v>1816</v>
      </c>
      <c r="P268" t="s">
        <v>4582</v>
      </c>
      <c r="Q268" t="str">
        <f t="shared" si="14"/>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268" t="b" cm="1">
        <f t="array" ref="R268">SUMPRODUCT(--EXACT($J$2:$J$490,J268))&gt;1</f>
        <v>0</v>
      </c>
      <c r="S268" t="s">
        <v>4943</v>
      </c>
    </row>
    <row r="269" spans="1:19">
      <c r="A269" s="30">
        <v>3</v>
      </c>
      <c r="B269" s="30" t="s">
        <v>1393</v>
      </c>
      <c r="C269" s="30"/>
      <c r="D269" s="30" t="s">
        <v>1207</v>
      </c>
      <c r="E269" s="30" t="s">
        <v>984</v>
      </c>
      <c r="F269" s="30" t="s">
        <v>462</v>
      </c>
      <c r="G269" s="39" t="str">
        <f>VLOOKUP(F269,glossary!J:N,2,FALSE)</f>
        <v>Zero-inflation</v>
      </c>
      <c r="H269" s="34" t="s">
        <v>462</v>
      </c>
      <c r="I269" s="45" t="str">
        <f t="shared" si="12"/>
        <v>mod_zero_inflation_tl</v>
      </c>
      <c r="J269" s="43" t="s">
        <v>971</v>
      </c>
      <c r="K269" s="39" t="str">
        <f>VLOOKUP(F269,glossary!J:N,5,FALSE)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69" t="s">
        <v>1547</v>
      </c>
      <c r="M269" s="30" t="str">
        <f t="shared" si="13"/>
        <v>{{ mod_zero_inflation_tl }}</v>
      </c>
      <c r="N269" t="s">
        <v>896</v>
      </c>
      <c r="O269" s="13" t="s">
        <v>1816</v>
      </c>
      <c r="P269" t="s">
        <v>4582</v>
      </c>
      <c r="Q269" t="str">
        <f t="shared" si="14"/>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69" t="b" cm="1">
        <f t="array" ref="R269">SUMPRODUCT(--EXACT($J$2:$J$490,J269))&gt;1</f>
        <v>0</v>
      </c>
      <c r="S269" t="s">
        <v>4944</v>
      </c>
    </row>
    <row r="270" spans="1:19">
      <c r="A270" s="30">
        <v>3</v>
      </c>
      <c r="B270" s="30" t="s">
        <v>1393</v>
      </c>
      <c r="C270" s="30"/>
      <c r="D270" s="30" t="s">
        <v>1208</v>
      </c>
      <c r="E270" s="30" t="s">
        <v>984</v>
      </c>
      <c r="F270" s="30" t="s">
        <v>462</v>
      </c>
      <c r="G270" s="39" t="str">
        <f>VLOOKUP(F270,glossary!J:N,2,FALSE)</f>
        <v>Zero-inflation</v>
      </c>
      <c r="H270" s="34" t="s">
        <v>462</v>
      </c>
      <c r="I270" s="45" t="str">
        <f t="shared" si="12"/>
        <v>mod_zero_inflation_tu</v>
      </c>
      <c r="J270" s="42" t="s">
        <v>52</v>
      </c>
      <c r="K270" s="39" t="str">
        <f>VLOOKUP(F270,glossary!J:N,5,FALSE)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0" t="s">
        <v>1546</v>
      </c>
      <c r="M270" s="30" t="str">
        <f t="shared" si="13"/>
        <v>{{ mod_zero_inflation_tu }}</v>
      </c>
      <c r="N270" t="s">
        <v>896</v>
      </c>
      <c r="O270" s="13" t="s">
        <v>1816</v>
      </c>
      <c r="P270" t="s">
        <v>4582</v>
      </c>
      <c r="Q270" t="str">
        <f t="shared" si="14"/>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0" t="b" cm="1">
        <f t="array" ref="R270">SUMPRODUCT(--EXACT($J$2:$J$490,J270))&gt;1</f>
        <v>0</v>
      </c>
      <c r="S270" t="s">
        <v>4945</v>
      </c>
    </row>
    <row r="271" spans="1:19">
      <c r="A271" s="30">
        <v>3</v>
      </c>
      <c r="B271" s="30" t="s">
        <v>1393</v>
      </c>
      <c r="C271" s="30"/>
      <c r="D271" s="30" t="s">
        <v>1208</v>
      </c>
      <c r="E271" s="30" t="s">
        <v>984</v>
      </c>
      <c r="F271" s="30" t="s">
        <v>1224</v>
      </c>
      <c r="G271" s="39" t="str">
        <f>VLOOKUP(F271,glossary!J:N,2,FALSE)</f>
        <v>Northing Camera Location</v>
      </c>
      <c r="H271" s="34" t="s">
        <v>1224</v>
      </c>
      <c r="I271" s="45" t="str">
        <f t="shared" si="12"/>
        <v>northing_cam_location_tu</v>
      </c>
      <c r="J271" s="42" t="s">
        <v>705</v>
      </c>
      <c r="K271" s="39" t="str">
        <f>VLOOKUP(F271,glossary!J:N,5,FALSE)</f>
        <v>The northing UTM coordinate of the camera location (e.g., '5962006'). Record using the NAD83 datum. Leave blank if recording the Latitude instead.</v>
      </c>
      <c r="L271" t="s">
        <v>1545</v>
      </c>
      <c r="M271" s="30" t="str">
        <f t="shared" si="13"/>
        <v>{{ northing_cam_location_tu }}</v>
      </c>
      <c r="N271" t="s">
        <v>896</v>
      </c>
      <c r="O271" s="13" t="s">
        <v>1816</v>
      </c>
      <c r="P271" t="s">
        <v>4582</v>
      </c>
      <c r="Q271" t="str">
        <f t="shared" si="14"/>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71" t="b" cm="1">
        <f t="array" ref="R271">SUMPRODUCT(--EXACT($J$2:$J$490,J271))&gt;1</f>
        <v>0</v>
      </c>
      <c r="S271" t="s">
        <v>4946</v>
      </c>
    </row>
    <row r="272" spans="1:19">
      <c r="A272" s="30">
        <v>3</v>
      </c>
      <c r="B272" s="30" t="s">
        <v>1393</v>
      </c>
      <c r="C272" s="30"/>
      <c r="D272" s="30" t="s">
        <v>1208</v>
      </c>
      <c r="E272" s="30" t="s">
        <v>984</v>
      </c>
      <c r="F272" s="30" t="s">
        <v>345</v>
      </c>
      <c r="G272" s="39" t="str">
        <f>VLOOKUP(F272,glossary!J:N,2,FALSE)</f>
        <v># Of Images</v>
      </c>
      <c r="H272" s="34" t="s">
        <v>345</v>
      </c>
      <c r="I272" s="45" t="str">
        <f t="shared" si="12"/>
        <v>number_of_images_tu</v>
      </c>
      <c r="J272" s="42" t="s">
        <v>751</v>
      </c>
      <c r="K272" s="39" t="str">
        <f>VLOOKUP(F272,glossary!J:N,5,FALSE)</f>
        <v>The number of images on an SD card.</v>
      </c>
      <c r="L272" t="s">
        <v>1544</v>
      </c>
      <c r="M272" s="30" t="str">
        <f t="shared" si="13"/>
        <v>{{ number_of_images_tu }}</v>
      </c>
      <c r="N272" t="s">
        <v>896</v>
      </c>
      <c r="O272" s="13" t="s">
        <v>1816</v>
      </c>
      <c r="P272" t="s">
        <v>4582</v>
      </c>
      <c r="Q272" t="str">
        <f t="shared" si="14"/>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72" t="b" cm="1">
        <f t="array" ref="R272">SUMPRODUCT(--EXACT($J$2:$J$490,J272))&gt;1</f>
        <v>0</v>
      </c>
      <c r="S272" t="s">
        <v>4947</v>
      </c>
    </row>
    <row r="273" spans="1:19">
      <c r="A273" s="30">
        <v>1</v>
      </c>
      <c r="B273" s="30" t="s">
        <v>1064</v>
      </c>
      <c r="C273" s="30" t="s">
        <v>429</v>
      </c>
      <c r="D273" s="30" t="s">
        <v>1207</v>
      </c>
      <c r="E273" s="30" t="s">
        <v>1753</v>
      </c>
      <c r="F273" s="30" t="s">
        <v>43</v>
      </c>
      <c r="G273" s="39" t="str">
        <f>VLOOKUP(F273,glossary!J:N,2,FALSE)</f>
        <v>Absolute abundance / Population size</v>
      </c>
      <c r="H273" s="30" t="s">
        <v>43</v>
      </c>
      <c r="I273" s="45" t="str">
        <f t="shared" si="12"/>
        <v>obj_abundance_tl_abrv2</v>
      </c>
      <c r="J273" s="39" t="s">
        <v>777</v>
      </c>
      <c r="K273" s="39" t="str">
        <f>VLOOKUP(F273,glossary!J:N,5,FALSE)</f>
        <v>The number of individuals in a population (Wearn &amp; Glover-Kapfer, 2017).</v>
      </c>
      <c r="L273" s="30" t="s">
        <v>1818</v>
      </c>
      <c r="M273" s="30" t="str">
        <f t="shared" si="13"/>
        <v>{{ obj_abundance_tl_abrv2 }}</v>
      </c>
      <c r="N273" t="s">
        <v>896</v>
      </c>
      <c r="O273" s="13" t="s">
        <v>1816</v>
      </c>
      <c r="P273" t="s">
        <v>4582</v>
      </c>
      <c r="Q273" t="str">
        <f t="shared" si="14"/>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3" t="b" cm="1">
        <f t="array" ref="R273">SUMPRODUCT(--EXACT($J$2:$J$490,J273))&gt;1</f>
        <v>0</v>
      </c>
      <c r="S273" t="s">
        <v>4948</v>
      </c>
    </row>
    <row r="274" spans="1:19">
      <c r="A274" s="30">
        <v>3</v>
      </c>
      <c r="B274" s="30" t="s">
        <v>1393</v>
      </c>
      <c r="C274" s="30"/>
      <c r="D274" s="30" t="s">
        <v>1207</v>
      </c>
      <c r="E274" s="30" t="s">
        <v>1763</v>
      </c>
      <c r="F274" s="30" t="s">
        <v>43</v>
      </c>
      <c r="G274" s="39" t="str">
        <f>VLOOKUP(F274,glossary!J:N,2,FALSE)</f>
        <v>Absolute abundance / Population size</v>
      </c>
      <c r="H274" s="34" t="s">
        <v>43</v>
      </c>
      <c r="I274" s="45" t="str">
        <f t="shared" si="12"/>
        <v>obj_abundance_tl_or</v>
      </c>
      <c r="J274" s="43" t="s">
        <v>975</v>
      </c>
      <c r="K274" s="39" t="str">
        <f>VLOOKUP(F274,glossary!J:N,5,FALSE)</f>
        <v>The number of individuals in a population (Wearn &amp; Glover-Kapfer, 2017).</v>
      </c>
      <c r="L274" t="s">
        <v>1543</v>
      </c>
      <c r="M274" s="30" t="str">
        <f t="shared" si="13"/>
        <v>{{ obj_abundance_tl_or }}</v>
      </c>
      <c r="N274" t="s">
        <v>896</v>
      </c>
      <c r="O274" s="13" t="s">
        <v>1816</v>
      </c>
      <c r="P274" t="s">
        <v>4582</v>
      </c>
      <c r="Q274" t="str">
        <f t="shared" si="14"/>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4" t="b" cm="1">
        <f t="array" ref="R274">SUMPRODUCT(--EXACT($J$2:$J$490,J274))&gt;1</f>
        <v>0</v>
      </c>
      <c r="S274" t="s">
        <v>4949</v>
      </c>
    </row>
    <row r="275" spans="1:19">
      <c r="A275" s="30">
        <v>1</v>
      </c>
      <c r="B275" s="30" t="s">
        <v>1064</v>
      </c>
      <c r="C275" s="30" t="s">
        <v>429</v>
      </c>
      <c r="D275" s="30" t="s">
        <v>1208</v>
      </c>
      <c r="E275" s="30" t="s">
        <v>1752</v>
      </c>
      <c r="F275" s="30" t="s">
        <v>43</v>
      </c>
      <c r="G275" s="39" t="str">
        <f>VLOOKUP(F275,glossary!J:N,2,FALSE)</f>
        <v>Absolute abundance / Population size</v>
      </c>
      <c r="H275" s="30" t="s">
        <v>43</v>
      </c>
      <c r="I275" s="45" t="str">
        <f t="shared" si="12"/>
        <v>obj_abundance_tu_abrv</v>
      </c>
      <c r="J275" s="39" t="s">
        <v>822</v>
      </c>
      <c r="K275" s="39" t="str">
        <f>VLOOKUP(F275,glossary!J:N,5,FALSE)</f>
        <v>The number of individuals in a population (Wearn &amp; Glover-Kapfer, 2017).</v>
      </c>
      <c r="L275" s="30" t="s">
        <v>1147</v>
      </c>
      <c r="M275" s="30" t="str">
        <f t="shared" si="13"/>
        <v>{{ obj_abundance_tu_abrv }}</v>
      </c>
      <c r="N275" t="s">
        <v>896</v>
      </c>
      <c r="O275" s="13" t="s">
        <v>1816</v>
      </c>
      <c r="P275" t="s">
        <v>4582</v>
      </c>
      <c r="Q275" t="str">
        <f t="shared" si="14"/>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275" t="b" cm="1">
        <f t="array" ref="R275">SUMPRODUCT(--EXACT($J$2:$J$490,J275))&gt;1</f>
        <v>0</v>
      </c>
      <c r="S275" t="s">
        <v>4950</v>
      </c>
    </row>
    <row r="276" spans="1:19">
      <c r="A276" s="30">
        <v>1</v>
      </c>
      <c r="B276" s="30" t="s">
        <v>1064</v>
      </c>
      <c r="C276" s="30" t="s">
        <v>429</v>
      </c>
      <c r="D276" s="30" t="s">
        <v>1208</v>
      </c>
      <c r="E276" s="30" t="s">
        <v>1753</v>
      </c>
      <c r="F276" s="30" t="s">
        <v>43</v>
      </c>
      <c r="G276" s="39" t="str">
        <f>VLOOKUP(F276,glossary!J:N,2,FALSE)</f>
        <v>Absolute abundance / Population size</v>
      </c>
      <c r="H276" s="30" t="s">
        <v>43</v>
      </c>
      <c r="I276" s="45" t="str">
        <f t="shared" si="12"/>
        <v>obj_abundance_tu_abrv2</v>
      </c>
      <c r="J276" s="39" t="s">
        <v>627</v>
      </c>
      <c r="K276" s="39" t="str">
        <f>VLOOKUP(F276,glossary!J:N,5,FALSE)</f>
        <v>The number of individuals in a population (Wearn &amp; Glover-Kapfer, 2017).</v>
      </c>
      <c r="L276" s="30" t="s">
        <v>1817</v>
      </c>
      <c r="M276" s="30" t="str">
        <f t="shared" si="13"/>
        <v>{{ obj_abundance_tu_abrv2 }}</v>
      </c>
      <c r="N276" t="s">
        <v>896</v>
      </c>
      <c r="O276" s="13" t="s">
        <v>1816</v>
      </c>
      <c r="P276" t="s">
        <v>4582</v>
      </c>
      <c r="Q276" t="str">
        <f t="shared" si="14"/>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6" t="b" cm="1">
        <f t="array" ref="R276">SUMPRODUCT(--EXACT($J$2:$J$490,J276))&gt;1</f>
        <v>0</v>
      </c>
      <c r="S276" t="s">
        <v>4951</v>
      </c>
    </row>
    <row r="277" spans="1:19">
      <c r="A277" s="30">
        <v>3</v>
      </c>
      <c r="B277" s="30" t="s">
        <v>1393</v>
      </c>
      <c r="C277" s="30"/>
      <c r="D277" s="30" t="s">
        <v>1208</v>
      </c>
      <c r="E277" s="30" t="s">
        <v>1763</v>
      </c>
      <c r="F277" s="30" t="s">
        <v>43</v>
      </c>
      <c r="G277" s="39" t="str">
        <f>VLOOKUP(F277,glossary!J:N,2,FALSE)</f>
        <v>Absolute abundance / Population size</v>
      </c>
      <c r="H277" s="34" t="s">
        <v>43</v>
      </c>
      <c r="I277" s="45" t="str">
        <f t="shared" si="12"/>
        <v>obj_abundance_tu_or</v>
      </c>
      <c r="J277" s="39" t="s">
        <v>564</v>
      </c>
      <c r="K277" s="39" t="str">
        <f>VLOOKUP(F277,glossary!J:N,5,FALSE)</f>
        <v>The number of individuals in a population (Wearn &amp; Glover-Kapfer, 2017).</v>
      </c>
      <c r="L277" t="s">
        <v>1542</v>
      </c>
      <c r="M277" s="30" t="str">
        <f t="shared" si="13"/>
        <v>{{ obj_abundance_tu_or }}</v>
      </c>
      <c r="N277" t="s">
        <v>896</v>
      </c>
      <c r="O277" s="13" t="s">
        <v>1816</v>
      </c>
      <c r="P277" t="s">
        <v>4582</v>
      </c>
      <c r="Q277" t="str">
        <f t="shared" si="14"/>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7" t="b" cm="1">
        <f t="array" ref="R277">SUMPRODUCT(--EXACT($J$2:$J$490,J277))&gt;1</f>
        <v>0</v>
      </c>
      <c r="S277" t="s">
        <v>4952</v>
      </c>
    </row>
    <row r="278" spans="1:19">
      <c r="A278" s="30">
        <v>2</v>
      </c>
      <c r="B278" s="30" t="s">
        <v>1400</v>
      </c>
      <c r="C278" s="30"/>
      <c r="D278" s="30" t="s">
        <v>1207</v>
      </c>
      <c r="E278" s="30" t="s">
        <v>984</v>
      </c>
      <c r="F278" s="30" t="s">
        <v>39</v>
      </c>
      <c r="G278" s="39" t="str">
        <f>VLOOKUP(F278,glossary!J:N,2,FALSE)</f>
        <v>Behaviour</v>
      </c>
      <c r="H278" s="30" t="s">
        <v>39</v>
      </c>
      <c r="I278" s="45" t="str">
        <f t="shared" si="12"/>
        <v>obj_behaviour_tl</v>
      </c>
      <c r="J278" s="39" t="s">
        <v>339</v>
      </c>
      <c r="K278" s="39" t="str">
        <f>VLOOKUP(F278,glossary!J:N,5,FALSE)</f>
        <v>Behaviour focused objectives vary greatly; they may be qualitative or quantitative (e.g., diel activity patterns, mating, boldness, predation, foraging, activity patterns, vigilance, parental care (Caravaggi et al., 2020; Wearn &amp; Glover-Kapfer, 2017).</v>
      </c>
      <c r="L278" s="30" t="s">
        <v>1541</v>
      </c>
      <c r="M278" s="30" t="str">
        <f t="shared" si="13"/>
        <v>{{ obj_behaviour_tl }}</v>
      </c>
      <c r="N278" t="s">
        <v>896</v>
      </c>
      <c r="O278" s="13" t="s">
        <v>1816</v>
      </c>
      <c r="P278" t="s">
        <v>4582</v>
      </c>
      <c r="Q278" t="str">
        <f t="shared" si="14"/>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8" t="b" cm="1">
        <f t="array" ref="R278">SUMPRODUCT(--EXACT($J$2:$J$490,J278))&gt;1</f>
        <v>0</v>
      </c>
      <c r="S278" t="s">
        <v>4953</v>
      </c>
    </row>
    <row r="279" spans="1:19">
      <c r="A279" s="30">
        <v>2</v>
      </c>
      <c r="B279" s="30" t="s">
        <v>1400</v>
      </c>
      <c r="C279" s="30"/>
      <c r="D279" s="30" t="s">
        <v>1208</v>
      </c>
      <c r="E279" s="30" t="s">
        <v>984</v>
      </c>
      <c r="F279" s="30" t="s">
        <v>39</v>
      </c>
      <c r="G279" s="39" t="str">
        <f>VLOOKUP(F279,glossary!J:N,2,FALSE)</f>
        <v>Behaviour</v>
      </c>
      <c r="H279" s="30" t="s">
        <v>39</v>
      </c>
      <c r="I279" s="45" t="str">
        <f t="shared" si="12"/>
        <v>obj_behaviour_tu</v>
      </c>
      <c r="J279" s="39" t="s">
        <v>30</v>
      </c>
      <c r="K279" s="39" t="str">
        <f>VLOOKUP(F279,glossary!J:N,5,FALSE)</f>
        <v>Behaviour focused objectives vary greatly; they may be qualitative or quantitative (e.g., diel activity patterns, mating, boldness, predation, foraging, activity patterns, vigilance, parental care (Caravaggi et al., 2020; Wearn &amp; Glover-Kapfer, 2017).</v>
      </c>
      <c r="L279" s="30" t="s">
        <v>1540</v>
      </c>
      <c r="M279" s="30" t="str">
        <f t="shared" si="13"/>
        <v>{{ obj_behaviour_tu }}</v>
      </c>
      <c r="N279" t="s">
        <v>896</v>
      </c>
      <c r="O279" s="13" t="s">
        <v>1816</v>
      </c>
      <c r="P279" t="s">
        <v>4582</v>
      </c>
      <c r="Q279" t="str">
        <f t="shared" si="14"/>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9" t="b" cm="1">
        <f t="array" ref="R279">SUMPRODUCT(--EXACT($J$2:$J$490,J279))&gt;1</f>
        <v>0</v>
      </c>
      <c r="S279" t="s">
        <v>4954</v>
      </c>
    </row>
    <row r="280" spans="1:19">
      <c r="A280" s="30">
        <v>2</v>
      </c>
      <c r="B280" s="30" t="s">
        <v>1400</v>
      </c>
      <c r="C280" s="30"/>
      <c r="D280" s="30" t="s">
        <v>1207</v>
      </c>
      <c r="E280" s="30" t="s">
        <v>984</v>
      </c>
      <c r="F280" s="30" t="s">
        <v>537</v>
      </c>
      <c r="G280" s="39" t="str">
        <f>VLOOKUP(F280,glossary!J:N,2,FALSE)</f>
        <v>Density</v>
      </c>
      <c r="H280" s="30" t="s">
        <v>537</v>
      </c>
      <c r="I280" s="45" t="str">
        <f t="shared" si="12"/>
        <v>obj_density_tl</v>
      </c>
      <c r="J280" s="39" t="s">
        <v>518</v>
      </c>
      <c r="K280" s="39" t="str">
        <f>VLOOKUP(F280,glossary!J:N,5,FALSE)</f>
        <v>The number of individuals per unit area (Wearn &amp; Glover-Kapfer, 2017)</v>
      </c>
      <c r="L280" s="30" t="s">
        <v>1539</v>
      </c>
      <c r="M280" s="30" t="str">
        <f t="shared" si="13"/>
        <v>{{ obj_density_tl }}</v>
      </c>
      <c r="N280" t="s">
        <v>896</v>
      </c>
      <c r="O280" s="13" t="s">
        <v>1816</v>
      </c>
      <c r="P280" t="s">
        <v>4582</v>
      </c>
      <c r="Q280" t="str">
        <f t="shared" si="14"/>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0" t="b" cm="1">
        <f t="array" ref="R280">SUMPRODUCT(--EXACT($J$2:$J$490,J280))&gt;1</f>
        <v>0</v>
      </c>
      <c r="S280" t="s">
        <v>4955</v>
      </c>
    </row>
    <row r="281" spans="1:19">
      <c r="A281" s="30">
        <v>2</v>
      </c>
      <c r="B281" s="30" t="s">
        <v>1400</v>
      </c>
      <c r="C281" s="30"/>
      <c r="D281" s="30" t="s">
        <v>1208</v>
      </c>
      <c r="E281" s="30" t="s">
        <v>984</v>
      </c>
      <c r="F281" s="30" t="s">
        <v>537</v>
      </c>
      <c r="G281" s="39" t="str">
        <f>VLOOKUP(F281,glossary!J:N,2,FALSE)</f>
        <v>Density</v>
      </c>
      <c r="H281" s="30" t="s">
        <v>537</v>
      </c>
      <c r="I281" s="45" t="str">
        <f t="shared" si="12"/>
        <v>obj_density_tu</v>
      </c>
      <c r="J281" s="39" t="s">
        <v>527</v>
      </c>
      <c r="K281" s="39" t="str">
        <f>VLOOKUP(F281,glossary!J:N,5,FALSE)</f>
        <v>The number of individuals per unit area (Wearn &amp; Glover-Kapfer, 2017)</v>
      </c>
      <c r="L281" s="30" t="s">
        <v>1538</v>
      </c>
      <c r="M281" s="30" t="str">
        <f t="shared" si="13"/>
        <v>{{ obj_density_tu }}</v>
      </c>
      <c r="N281" t="s">
        <v>896</v>
      </c>
      <c r="O281" s="13" t="s">
        <v>1816</v>
      </c>
      <c r="P281" t="s">
        <v>4582</v>
      </c>
      <c r="Q281" t="str">
        <f t="shared" si="14"/>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1" t="b" cm="1">
        <f t="array" ref="R281">SUMPRODUCT(--EXACT($J$2:$J$490,J281))&gt;1</f>
        <v>0</v>
      </c>
      <c r="S281" t="s">
        <v>4956</v>
      </c>
    </row>
    <row r="282" spans="1:19">
      <c r="A282" s="30">
        <v>3</v>
      </c>
      <c r="B282" s="30" t="s">
        <v>1393</v>
      </c>
      <c r="C282" s="30"/>
      <c r="D282" s="30" t="s">
        <v>1207</v>
      </c>
      <c r="E282" s="30" t="s">
        <v>984</v>
      </c>
      <c r="F282" s="30" t="s">
        <v>48</v>
      </c>
      <c r="G282" s="39" t="str">
        <f>VLOOKUP(F282,glossary!J:N,2,FALSE)</f>
        <v>Species diversity &amp; richness</v>
      </c>
      <c r="H282" s="34" t="s">
        <v>48</v>
      </c>
      <c r="I282" s="45" t="str">
        <f t="shared" si="12"/>
        <v>obj_divers_rich_tl</v>
      </c>
      <c r="J282" s="43" t="s">
        <v>900</v>
      </c>
      <c r="K282" s="39" t="str">
        <f>VLOOKUP(F282,glossary!J:N,5,FALSE)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2" t="s">
        <v>1537</v>
      </c>
      <c r="M282" s="30" t="str">
        <f t="shared" si="13"/>
        <v>{{ obj_divers_rich_tl }}</v>
      </c>
      <c r="N282" t="s">
        <v>896</v>
      </c>
      <c r="O282" s="13" t="s">
        <v>1816</v>
      </c>
      <c r="P282" t="s">
        <v>4582</v>
      </c>
      <c r="Q282" t="str">
        <f t="shared" si="14"/>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2" t="b" cm="1">
        <f t="array" ref="R282">SUMPRODUCT(--EXACT($J$2:$J$490,J282))&gt;1</f>
        <v>0</v>
      </c>
      <c r="S282" t="s">
        <v>4957</v>
      </c>
    </row>
    <row r="283" spans="1:19">
      <c r="A283" s="30">
        <v>3</v>
      </c>
      <c r="B283" s="30" t="s">
        <v>1393</v>
      </c>
      <c r="C283" s="30"/>
      <c r="D283" s="30" t="s">
        <v>1208</v>
      </c>
      <c r="E283" s="30" t="s">
        <v>984</v>
      </c>
      <c r="F283" s="30" t="s">
        <v>48</v>
      </c>
      <c r="G283" s="39" t="str">
        <f>VLOOKUP(F283,glossary!J:N,2,FALSE)</f>
        <v>Species diversity &amp; richness</v>
      </c>
      <c r="H283" s="34" t="s">
        <v>48</v>
      </c>
      <c r="I283" s="45" t="str">
        <f t="shared" si="12"/>
        <v>obj_divers_rich_tu</v>
      </c>
      <c r="J283" s="39" t="s">
        <v>35</v>
      </c>
      <c r="K283" s="39" t="str">
        <f>VLOOKUP(F283,glossary!J:N,5,FALSE)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3" t="s">
        <v>1536</v>
      </c>
      <c r="M283" s="30" t="str">
        <f t="shared" si="13"/>
        <v>{{ obj_divers_rich_tu }}</v>
      </c>
      <c r="N283" t="s">
        <v>896</v>
      </c>
      <c r="O283" s="13" t="s">
        <v>1816</v>
      </c>
      <c r="P283" t="s">
        <v>4582</v>
      </c>
      <c r="Q283" t="str">
        <f t="shared" si="14"/>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3" t="b" cm="1">
        <f t="array" ref="R283">SUMPRODUCT(--EXACT($J$2:$J$490,J283))&gt;1</f>
        <v>0</v>
      </c>
      <c r="S283" t="s">
        <v>4958</v>
      </c>
    </row>
    <row r="284" spans="1:19">
      <c r="A284" s="30">
        <v>3</v>
      </c>
      <c r="B284" s="30" t="s">
        <v>1393</v>
      </c>
      <c r="C284" s="30"/>
      <c r="D284" s="30" t="s">
        <v>1207</v>
      </c>
      <c r="E284" s="30" t="s">
        <v>984</v>
      </c>
      <c r="F284" s="30" t="s">
        <v>49</v>
      </c>
      <c r="G284" s="39" t="str">
        <f>VLOOKUP(F284,glossary!J:N,2,FALSE)</f>
        <v>Species inventory</v>
      </c>
      <c r="H284" s="34" t="s">
        <v>49</v>
      </c>
      <c r="I284" s="45" t="str">
        <f t="shared" si="12"/>
        <v>obj_inventory_tl</v>
      </c>
      <c r="J284" s="43" t="s">
        <v>952</v>
      </c>
      <c r="K284" s="39" t="str">
        <f>VLOOKUP(F284,glossary!J:N,5,FALSE)</f>
        <v>Rapid assessment surveys used to determine what species are present in a given area at a given point in time; there is no attempt made to quantify aspects of communities or populations (Wearn &amp; Glover-Kapfer, 2017).</v>
      </c>
      <c r="L284" t="s">
        <v>1535</v>
      </c>
      <c r="M284" s="30" t="str">
        <f t="shared" si="13"/>
        <v>{{ obj_inventory_tl }}</v>
      </c>
      <c r="N284" t="s">
        <v>896</v>
      </c>
      <c r="O284" s="13" t="s">
        <v>1816</v>
      </c>
      <c r="P284" t="s">
        <v>4582</v>
      </c>
      <c r="Q284" t="str">
        <f t="shared" si="14"/>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4" t="b" cm="1">
        <f t="array" ref="R284">SUMPRODUCT(--EXACT($J$2:$J$490,J284))&gt;1</f>
        <v>0</v>
      </c>
      <c r="S284" t="s">
        <v>4959</v>
      </c>
    </row>
    <row r="285" spans="1:19">
      <c r="A285" s="30">
        <v>3</v>
      </c>
      <c r="B285" s="30" t="s">
        <v>1393</v>
      </c>
      <c r="C285" s="30"/>
      <c r="D285" s="30" t="s">
        <v>1208</v>
      </c>
      <c r="E285" s="30" t="s">
        <v>984</v>
      </c>
      <c r="F285" s="30" t="s">
        <v>49</v>
      </c>
      <c r="G285" s="39" t="str">
        <f>VLOOKUP(F285,glossary!J:N,2,FALSE)</f>
        <v>Species inventory</v>
      </c>
      <c r="H285" s="34" t="s">
        <v>49</v>
      </c>
      <c r="I285" s="45" t="str">
        <f t="shared" si="12"/>
        <v>obj_inventory_tu</v>
      </c>
      <c r="J285" s="39" t="s">
        <v>37</v>
      </c>
      <c r="K285" s="39" t="str">
        <f>VLOOKUP(F285,glossary!J:N,5,FALSE)</f>
        <v>Rapid assessment surveys used to determine what species are present in a given area at a given point in time; there is no attempt made to quantify aspects of communities or populations (Wearn &amp; Glover-Kapfer, 2017).</v>
      </c>
      <c r="L285" t="s">
        <v>1534</v>
      </c>
      <c r="M285" s="30" t="str">
        <f t="shared" si="13"/>
        <v>{{ obj_inventory_tu }}</v>
      </c>
      <c r="N285" t="s">
        <v>896</v>
      </c>
      <c r="O285" s="13" t="s">
        <v>1816</v>
      </c>
      <c r="P285" t="s">
        <v>4582</v>
      </c>
      <c r="Q285" t="str">
        <f t="shared" si="14"/>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5" t="b" cm="1">
        <f t="array" ref="R285">SUMPRODUCT(--EXACT($J$2:$J$490,J285))&gt;1</f>
        <v>0</v>
      </c>
      <c r="S285" t="s">
        <v>4960</v>
      </c>
    </row>
    <row r="286" spans="1:19">
      <c r="A286" s="30">
        <v>2</v>
      </c>
      <c r="B286" s="30" t="s">
        <v>1400</v>
      </c>
      <c r="C286" s="30"/>
      <c r="D286" s="30" t="s">
        <v>1207</v>
      </c>
      <c r="E286" s="30" t="s">
        <v>984</v>
      </c>
      <c r="F286" s="30" t="s">
        <v>47</v>
      </c>
      <c r="G286" s="39" t="str">
        <f>VLOOKUP(F286,glossary!J:N,2,FALSE)</f>
        <v>Occupancy</v>
      </c>
      <c r="H286" s="30" t="s">
        <v>47</v>
      </c>
      <c r="I286" s="45" t="str">
        <f t="shared" si="12"/>
        <v>obj_occupancy_tl</v>
      </c>
      <c r="J286" s="39" t="s">
        <v>149</v>
      </c>
      <c r="K286" s="39" t="str">
        <f>VLOOKUP(F286,glossary!J:N,5,FALSE)</f>
        <v>The probability a site is occupied by the species (Mackenzie et al., 2002).</v>
      </c>
      <c r="L286" s="30" t="s">
        <v>1533</v>
      </c>
      <c r="M286" s="30" t="str">
        <f t="shared" si="13"/>
        <v>{{ obj_occupancy_tl }}</v>
      </c>
      <c r="N286" t="s">
        <v>896</v>
      </c>
      <c r="O286" s="13" t="s">
        <v>1816</v>
      </c>
      <c r="P286" t="s">
        <v>4582</v>
      </c>
      <c r="Q286" t="str">
        <f t="shared" si="14"/>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6" t="b" cm="1">
        <f t="array" ref="R286">SUMPRODUCT(--EXACT($J$2:$J$490,J286))&gt;1</f>
        <v>0</v>
      </c>
      <c r="S286" t="s">
        <v>4961</v>
      </c>
    </row>
    <row r="287" spans="1:19">
      <c r="A287" s="30">
        <v>2</v>
      </c>
      <c r="B287" s="30" t="s">
        <v>1400</v>
      </c>
      <c r="C287" s="30"/>
      <c r="D287" s="30" t="s">
        <v>1208</v>
      </c>
      <c r="E287" s="30" t="s">
        <v>984</v>
      </c>
      <c r="F287" s="30" t="s">
        <v>47</v>
      </c>
      <c r="G287" s="39" t="str">
        <f>VLOOKUP(F287,glossary!J:N,2,FALSE)</f>
        <v>Occupancy</v>
      </c>
      <c r="H287" s="30" t="s">
        <v>47</v>
      </c>
      <c r="I287" s="45" t="str">
        <f t="shared" si="12"/>
        <v>obj_occupancy_tu</v>
      </c>
      <c r="J287" s="39" t="s">
        <v>46</v>
      </c>
      <c r="K287" s="39" t="str">
        <f>VLOOKUP(F287,glossary!J:N,5,FALSE)</f>
        <v>The probability a site is occupied by the species (Mackenzie et al., 2002).</v>
      </c>
      <c r="L287" s="30" t="s">
        <v>1532</v>
      </c>
      <c r="M287" s="30" t="str">
        <f t="shared" si="13"/>
        <v>{{ obj_occupancy_tu }}</v>
      </c>
      <c r="N287" t="s">
        <v>896</v>
      </c>
      <c r="O287" s="13" t="s">
        <v>1816</v>
      </c>
      <c r="P287" t="s">
        <v>4582</v>
      </c>
      <c r="Q287" t="str">
        <f t="shared" si="14"/>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7" t="b" cm="1">
        <f t="array" ref="R287">SUMPRODUCT(--EXACT($J$2:$J$490,J287))&gt;1</f>
        <v>0</v>
      </c>
      <c r="S287" t="s">
        <v>4962</v>
      </c>
    </row>
    <row r="288" spans="1:19">
      <c r="A288" s="30">
        <v>3</v>
      </c>
      <c r="B288" s="30" t="s">
        <v>1393</v>
      </c>
      <c r="C288" s="30"/>
      <c r="D288" s="30" t="s">
        <v>1207</v>
      </c>
      <c r="E288" s="30" t="s">
        <v>984</v>
      </c>
      <c r="F288" s="30" t="s">
        <v>45</v>
      </c>
      <c r="G288" s="39" t="str">
        <f>VLOOKUP(F288,glossary!J:N,2,FALSE)</f>
        <v>Relative abundance</v>
      </c>
      <c r="H288" s="34" t="s">
        <v>45</v>
      </c>
      <c r="I288" s="45" t="str">
        <f t="shared" si="12"/>
        <v>obj_rel_abund_tl</v>
      </c>
      <c r="J288" s="43" t="s">
        <v>946</v>
      </c>
      <c r="K288" s="39" t="str">
        <f>VLOOKUP(F288,glossary!J:N,5,FALSE)</f>
        <v>The number of animals detected from one camera/area compared to another camera/area.</v>
      </c>
      <c r="L288" t="s">
        <v>1383</v>
      </c>
      <c r="M288" s="30" t="str">
        <f t="shared" si="13"/>
        <v>{{ obj_rel_abund_tl }}</v>
      </c>
      <c r="N288" t="s">
        <v>896</v>
      </c>
      <c r="O288" s="13" t="s">
        <v>1816</v>
      </c>
      <c r="P288" t="s">
        <v>4582</v>
      </c>
      <c r="Q288"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8" t="b" cm="1">
        <f t="array" ref="R288">SUMPRODUCT(--EXACT($J$2:$J$490,J288))&gt;1</f>
        <v>0</v>
      </c>
      <c r="S288" t="s">
        <v>4963</v>
      </c>
    </row>
    <row r="289" spans="1:19">
      <c r="A289" s="30">
        <v>3</v>
      </c>
      <c r="B289" s="30" t="s">
        <v>1393</v>
      </c>
      <c r="C289" s="30"/>
      <c r="D289" s="30" t="s">
        <v>1208</v>
      </c>
      <c r="E289" s="30" t="s">
        <v>984</v>
      </c>
      <c r="F289" s="30" t="s">
        <v>45</v>
      </c>
      <c r="G289" s="39" t="str">
        <f>VLOOKUP(F289,glossary!J:N,2,FALSE)</f>
        <v>Relative abundance</v>
      </c>
      <c r="H289" s="34" t="s">
        <v>45</v>
      </c>
      <c r="I289" s="45" t="str">
        <f t="shared" si="12"/>
        <v>obj_rel_abund_tu</v>
      </c>
      <c r="J289" s="39" t="s">
        <v>44</v>
      </c>
      <c r="K289" s="39" t="str">
        <f>VLOOKUP(F289,glossary!J:N,5,FALSE)</f>
        <v>The number of animals detected from one camera/area compared to another camera/area.</v>
      </c>
      <c r="L289" t="s">
        <v>1531</v>
      </c>
      <c r="M289" s="30" t="str">
        <f t="shared" si="13"/>
        <v>{{ obj_rel_abund_tu }}</v>
      </c>
      <c r="N289" t="s">
        <v>896</v>
      </c>
      <c r="O289" s="13" t="s">
        <v>1816</v>
      </c>
      <c r="P289" t="s">
        <v>4582</v>
      </c>
      <c r="Q289"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9" t="b" cm="1">
        <f t="array" ref="R289">SUMPRODUCT(--EXACT($J$2:$J$490,J289))&gt;1</f>
        <v>0</v>
      </c>
      <c r="S289" t="s">
        <v>4964</v>
      </c>
    </row>
    <row r="290" spans="1:19">
      <c r="A290" s="30">
        <v>3</v>
      </c>
      <c r="B290" s="30" t="s">
        <v>1393</v>
      </c>
      <c r="C290" s="30"/>
      <c r="D290" s="30" t="s">
        <v>1207</v>
      </c>
      <c r="E290" s="30" t="s">
        <v>984</v>
      </c>
      <c r="F290" s="30" t="s">
        <v>42</v>
      </c>
      <c r="G290" s="39" t="str">
        <f>VLOOKUP(F290,glossary!J:N,2,FALSE)</f>
        <v>Vital rate</v>
      </c>
      <c r="H290" s="34" t="s">
        <v>42</v>
      </c>
      <c r="I290" s="45" t="str">
        <f t="shared" si="12"/>
        <v>obj_vital_rate_tl</v>
      </c>
      <c r="J290" s="43" t="s">
        <v>970</v>
      </c>
      <c r="K290" s="39" t="str">
        <f>VLOOKUP(F290,glossary!J:N,5,FALSE)</f>
        <v>The species-specific factors of a population that, together, play a large role in the population's trend. These include the birth rate, recruitment rate, and probability of survival and mortality.' (NBCKC, 2024a)</v>
      </c>
      <c r="L290" t="s">
        <v>1530</v>
      </c>
      <c r="M290" s="30" t="str">
        <f t="shared" si="13"/>
        <v>{{ obj_vital_rate_tl }}</v>
      </c>
      <c r="N290" t="s">
        <v>896</v>
      </c>
      <c r="O290" s="13" t="s">
        <v>1816</v>
      </c>
      <c r="P290" t="s">
        <v>4582</v>
      </c>
      <c r="Q290" t="str">
        <f t="shared" si="14"/>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0" t="b" cm="1">
        <f t="array" ref="R290">SUMPRODUCT(--EXACT($J$2:$J$490,J290))&gt;1</f>
        <v>0</v>
      </c>
      <c r="S290" t="s">
        <v>4965</v>
      </c>
    </row>
    <row r="291" spans="1:19">
      <c r="A291" s="30">
        <v>3</v>
      </c>
      <c r="B291" s="30" t="s">
        <v>1393</v>
      </c>
      <c r="C291" s="30"/>
      <c r="D291" s="30" t="s">
        <v>1208</v>
      </c>
      <c r="E291" s="30" t="s">
        <v>984</v>
      </c>
      <c r="F291" s="30" t="s">
        <v>42</v>
      </c>
      <c r="G291" s="39" t="str">
        <f>VLOOKUP(F291,glossary!J:N,2,FALSE)</f>
        <v>Vital rate</v>
      </c>
      <c r="H291" s="34" t="s">
        <v>42</v>
      </c>
      <c r="I291" s="45" t="str">
        <f t="shared" si="12"/>
        <v>obj_vital_rate_tu</v>
      </c>
      <c r="J291" s="39" t="s">
        <v>894</v>
      </c>
      <c r="K291" s="39" t="str">
        <f>VLOOKUP(F291,glossary!J:N,5,FALSE)</f>
        <v>The species-specific factors of a population that, together, play a large role in the population's trend. These include the birth rate, recruitment rate, and probability of survival and mortality.' (NBCKC, 2024a)</v>
      </c>
      <c r="L291" t="s">
        <v>1529</v>
      </c>
      <c r="M291" s="30" t="str">
        <f t="shared" si="13"/>
        <v>{{ obj_vital_rate_tu }}</v>
      </c>
      <c r="N291" t="s">
        <v>896</v>
      </c>
      <c r="O291" s="13" t="s">
        <v>1816</v>
      </c>
      <c r="P291" t="s">
        <v>4582</v>
      </c>
      <c r="Q291" t="str">
        <f t="shared" si="14"/>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1" t="b" cm="1">
        <f t="array" ref="R291">SUMPRODUCT(--EXACT($J$2:$J$490,J291))&gt;1</f>
        <v>0</v>
      </c>
      <c r="S291" t="s">
        <v>4966</v>
      </c>
    </row>
    <row r="292" spans="1:19">
      <c r="B292" s="30" t="s">
        <v>768</v>
      </c>
      <c r="D292" s="30" t="s">
        <v>1207</v>
      </c>
      <c r="E292" s="30" t="s">
        <v>984</v>
      </c>
      <c r="F292" s="30" t="s">
        <v>788</v>
      </c>
      <c r="G292" s="39" t="str">
        <f>VLOOKUP(F292,glossary!J:N,2,FALSE)</f>
        <v>Precision</v>
      </c>
      <c r="H292" s="30" t="s">
        <v>788</v>
      </c>
      <c r="I292" s="45" t="str">
        <f t="shared" si="12"/>
        <v>precision_tl</v>
      </c>
      <c r="J292" s="30" t="s">
        <v>788</v>
      </c>
      <c r="K292" s="39" t="str">
        <f>VLOOKUP(F292,glossary!J:N,5,FALSE)</f>
        <v>Uncertainty in estimates (Hammond et al., 2021)' (Clarke et al., 2023).</v>
      </c>
      <c r="L292" s="30" t="s">
        <v>984</v>
      </c>
      <c r="M292" s="30" t="str">
        <f t="shared" si="13"/>
        <v>{{ precision_tl }}</v>
      </c>
      <c r="N292" t="s">
        <v>896</v>
      </c>
      <c r="O292" s="13" t="s">
        <v>1816</v>
      </c>
      <c r="P292" t="s">
        <v>4582</v>
      </c>
      <c r="Q292"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2" t="b" cm="1">
        <f t="array" ref="R292">SUMPRODUCT(--EXACT($J$2:$J$490,J292))&gt;1</f>
        <v>0</v>
      </c>
      <c r="S292" t="s">
        <v>4967</v>
      </c>
    </row>
    <row r="293" spans="1:19">
      <c r="B293" s="30" t="s">
        <v>1393</v>
      </c>
      <c r="D293" s="30" t="s">
        <v>1207</v>
      </c>
      <c r="E293" s="30" t="s">
        <v>1752</v>
      </c>
      <c r="F293" s="30" t="s">
        <v>788</v>
      </c>
      <c r="G293" s="39" t="str">
        <f>VLOOKUP(F293,glossary!J:N,2,FALSE)</f>
        <v>Precision</v>
      </c>
      <c r="H293" s="30" t="s">
        <v>788</v>
      </c>
      <c r="I293" s="46" t="str">
        <f t="shared" si="12"/>
        <v>precision_tl_abrv</v>
      </c>
      <c r="J293" s="39" t="s">
        <v>4463</v>
      </c>
      <c r="K293" s="39" t="str">
        <f>VLOOKUP(F293,glossary!J:N,5,FALSE)</f>
        <v>Uncertainty in estimates (Hammond et al., 2021)' (Clarke et al., 2023).</v>
      </c>
      <c r="L293" s="30" t="s">
        <v>984</v>
      </c>
      <c r="M293" s="30" t="str">
        <f t="shared" si="13"/>
        <v>{{ precision_tl_abrv }}</v>
      </c>
      <c r="N293" t="s">
        <v>896</v>
      </c>
      <c r="O293" s="13" t="s">
        <v>1816</v>
      </c>
      <c r="P293" t="s">
        <v>4582</v>
      </c>
      <c r="Q293"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93" t="b" cm="1">
        <f t="array" ref="R293">SUMPRODUCT(--EXACT($J$2:$J$490,J293))&gt;1</f>
        <v>0</v>
      </c>
      <c r="S293" t="s">
        <v>4968</v>
      </c>
    </row>
    <row r="294" spans="1:19">
      <c r="B294" s="30" t="s">
        <v>768</v>
      </c>
      <c r="D294" s="30" t="s">
        <v>1207</v>
      </c>
      <c r="E294" s="30" t="s">
        <v>4485</v>
      </c>
      <c r="F294" s="30" t="s">
        <v>788</v>
      </c>
      <c r="G294" s="39" t="str">
        <f>VLOOKUP(F294,glossary!J:N,2,FALSE)</f>
        <v>Precision</v>
      </c>
      <c r="H294" s="30" t="s">
        <v>788</v>
      </c>
      <c r="I294" s="45" t="str">
        <f t="shared" si="12"/>
        <v>precision_tl_op</v>
      </c>
      <c r="J294" s="30" t="s">
        <v>4481</v>
      </c>
      <c r="K294" s="39" t="str">
        <f>VLOOKUP(F294,glossary!J:N,5,FALSE)</f>
        <v>Uncertainty in estimates (Hammond et al., 2021)' (Clarke et al., 2023).</v>
      </c>
      <c r="L294" s="30" t="s">
        <v>984</v>
      </c>
      <c r="M294" s="30" t="str">
        <f t="shared" si="13"/>
        <v>{{ precision_tl_op }}</v>
      </c>
      <c r="N294" t="s">
        <v>896</v>
      </c>
      <c r="O294" s="13" t="s">
        <v>1816</v>
      </c>
      <c r="P294" t="s">
        <v>4582</v>
      </c>
      <c r="Q294"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4" t="b" cm="1">
        <f t="array" ref="R294">SUMPRODUCT(--EXACT($J$2:$J$490,J294))&gt;1</f>
        <v>0</v>
      </c>
      <c r="S294" t="s">
        <v>4969</v>
      </c>
    </row>
    <row r="295" spans="1:19">
      <c r="B295" s="30" t="s">
        <v>768</v>
      </c>
      <c r="D295" s="30" t="s">
        <v>1208</v>
      </c>
      <c r="E295" s="30" t="s">
        <v>984</v>
      </c>
      <c r="F295" s="30" t="s">
        <v>788</v>
      </c>
      <c r="G295" s="39" t="str">
        <f>VLOOKUP(F295,glossary!J:N,2,FALSE)</f>
        <v>Precision</v>
      </c>
      <c r="H295" s="30" t="s">
        <v>788</v>
      </c>
      <c r="I295" s="45" t="str">
        <f t="shared" si="12"/>
        <v>precision_tu</v>
      </c>
      <c r="J295" s="30" t="s">
        <v>662</v>
      </c>
      <c r="K295" s="39" t="str">
        <f>VLOOKUP(F295,glossary!J:N,5,FALSE)</f>
        <v>Uncertainty in estimates (Hammond et al., 2021)' (Clarke et al., 2023).</v>
      </c>
      <c r="L295" s="30" t="s">
        <v>984</v>
      </c>
      <c r="M295" s="30" t="str">
        <f t="shared" si="13"/>
        <v>{{ precision_tu }}</v>
      </c>
      <c r="N295" t="s">
        <v>896</v>
      </c>
      <c r="O295" s="13" t="s">
        <v>1816</v>
      </c>
      <c r="P295" t="s">
        <v>4582</v>
      </c>
      <c r="Q295"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5" t="b" cm="1">
        <f t="array" ref="R295">SUMPRODUCT(--EXACT($J$2:$J$490,J295))&gt;1</f>
        <v>0</v>
      </c>
      <c r="S295" t="s">
        <v>4970</v>
      </c>
    </row>
    <row r="296" spans="1:19">
      <c r="B296" s="30" t="s">
        <v>1393</v>
      </c>
      <c r="D296" s="30" t="s">
        <v>1208</v>
      </c>
      <c r="E296" s="30" t="s">
        <v>1752</v>
      </c>
      <c r="F296" s="30" t="s">
        <v>788</v>
      </c>
      <c r="G296" s="39" t="str">
        <f>VLOOKUP(F296,glossary!J:N,2,FALSE)</f>
        <v>Precision</v>
      </c>
      <c r="H296" s="30" t="s">
        <v>788</v>
      </c>
      <c r="I296" s="46" t="str">
        <f t="shared" si="12"/>
        <v>precision_tu_abrv</v>
      </c>
      <c r="J296" s="39" t="s">
        <v>4464</v>
      </c>
      <c r="K296" s="39" t="str">
        <f>VLOOKUP(F296,glossary!J:N,5,FALSE)</f>
        <v>Uncertainty in estimates (Hammond et al., 2021)' (Clarke et al., 2023).</v>
      </c>
      <c r="L296" s="30" t="s">
        <v>984</v>
      </c>
      <c r="M296" s="30" t="str">
        <f t="shared" si="13"/>
        <v>{{ precision_tu_abrv }}</v>
      </c>
      <c r="N296" t="s">
        <v>896</v>
      </c>
      <c r="O296" s="13" t="s">
        <v>1816</v>
      </c>
      <c r="P296" t="s">
        <v>4582</v>
      </c>
      <c r="Q296"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96" t="s">
        <v>4971</v>
      </c>
    </row>
    <row r="297" spans="1:19">
      <c r="B297" s="30" t="s">
        <v>768</v>
      </c>
      <c r="D297" s="30" t="s">
        <v>1208</v>
      </c>
      <c r="E297" s="30" t="s">
        <v>4485</v>
      </c>
      <c r="F297" s="30" t="s">
        <v>788</v>
      </c>
      <c r="G297" s="39" t="str">
        <f>VLOOKUP(F297,glossary!J:N,2,FALSE)</f>
        <v>Precision</v>
      </c>
      <c r="H297" s="30" t="s">
        <v>788</v>
      </c>
      <c r="I297" s="45" t="str">
        <f t="shared" si="12"/>
        <v>precision_tu_op</v>
      </c>
      <c r="J297" s="30" t="s">
        <v>4482</v>
      </c>
      <c r="K297" s="39" t="str">
        <f>VLOOKUP(F297,glossary!J:N,5,FALSE)</f>
        <v>Uncertainty in estimates (Hammond et al., 2021)' (Clarke et al., 2023).</v>
      </c>
      <c r="L297" s="30" t="s">
        <v>984</v>
      </c>
      <c r="M297" s="30" t="str">
        <f t="shared" si="13"/>
        <v>{{ precision_tu_op }}</v>
      </c>
      <c r="N297" t="s">
        <v>896</v>
      </c>
      <c r="O297" s="13" t="s">
        <v>1816</v>
      </c>
      <c r="P297" t="s">
        <v>4582</v>
      </c>
      <c r="Q297"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7" t="b" cm="1">
        <f t="array" ref="R297">SUMPRODUCT(--EXACT($J$2:$J$490,J297))&gt;1</f>
        <v>0</v>
      </c>
      <c r="S297" t="s">
        <v>4972</v>
      </c>
    </row>
    <row r="298" spans="1:19">
      <c r="A298" s="30">
        <v>2</v>
      </c>
      <c r="B298" s="30" t="s">
        <v>1400</v>
      </c>
      <c r="C298" s="30"/>
      <c r="D298" s="30" t="s">
        <v>1207</v>
      </c>
      <c r="E298" s="30" t="s">
        <v>984</v>
      </c>
      <c r="F298" s="30" t="s">
        <v>139</v>
      </c>
      <c r="G298" s="39" t="str">
        <f>VLOOKUP(F298,glossary!J:N,2,FALSE)</f>
        <v>Project</v>
      </c>
      <c r="H298" s="30" t="s">
        <v>139</v>
      </c>
      <c r="I298" s="45" t="str">
        <f t="shared" si="12"/>
        <v>project_tl</v>
      </c>
      <c r="J298" s="39" t="s">
        <v>139</v>
      </c>
      <c r="K298" s="39" t="str">
        <f>VLOOKUP(F298,glossary!J:N,5,FALSE)</f>
        <v>A scientific study, inventory or monitoring program that has a certain objective, defined methods, and a defined boundary in space and time (recorded as 'Project Name').</v>
      </c>
      <c r="L298" s="30" t="s">
        <v>1528</v>
      </c>
      <c r="M298" s="30" t="str">
        <f t="shared" si="13"/>
        <v>{{ project_tl }}</v>
      </c>
      <c r="N298" t="s">
        <v>896</v>
      </c>
      <c r="O298" s="13" t="s">
        <v>1816</v>
      </c>
      <c r="P298" t="s">
        <v>4582</v>
      </c>
      <c r="Q298"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98" t="b" cm="1">
        <f t="array" ref="R298">SUMPRODUCT(--EXACT($J$2:$J$490,J298))&gt;1</f>
        <v>0</v>
      </c>
      <c r="S298" t="s">
        <v>4973</v>
      </c>
    </row>
    <row r="299" spans="1:19">
      <c r="A299" s="30">
        <v>1</v>
      </c>
      <c r="B299" s="30" t="s">
        <v>1064</v>
      </c>
      <c r="C299" s="30" t="s">
        <v>429</v>
      </c>
      <c r="D299" s="30" t="s">
        <v>1207</v>
      </c>
      <c r="E299" s="30" t="s">
        <v>1758</v>
      </c>
      <c r="F299" s="30" t="s">
        <v>139</v>
      </c>
      <c r="G299" s="39" t="str">
        <f>VLOOKUP(F299,glossary!J:N,2,FALSE)</f>
        <v>Project</v>
      </c>
      <c r="H299" s="30" t="s">
        <v>139</v>
      </c>
      <c r="I299" s="45" t="str">
        <f t="shared" si="12"/>
        <v>project_tl_pl</v>
      </c>
      <c r="J299" s="39" t="s">
        <v>1183</v>
      </c>
      <c r="K299" s="39" t="str">
        <f>VLOOKUP(F299,glossary!J:N,5,FALSE)</f>
        <v>A scientific study, inventory or monitoring program that has a certain objective, defined methods, and a defined boundary in space and time (recorded as 'Project Name').</v>
      </c>
      <c r="L299" s="30" t="s">
        <v>1128</v>
      </c>
      <c r="M299" s="30" t="str">
        <f t="shared" si="13"/>
        <v>{{ project_tl_pl }}</v>
      </c>
      <c r="N299" t="s">
        <v>896</v>
      </c>
      <c r="O299" s="13" t="s">
        <v>1816</v>
      </c>
      <c r="P299" t="s">
        <v>4582</v>
      </c>
      <c r="Q299"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99" t="b" cm="1">
        <f t="array" ref="R299">SUMPRODUCT(--EXACT($J$2:$J$490,J299))&gt;1</f>
        <v>0</v>
      </c>
      <c r="S299" t="s">
        <v>4974</v>
      </c>
    </row>
    <row r="300" spans="1:19">
      <c r="A300" s="30">
        <v>2</v>
      </c>
      <c r="B300" s="30" t="s">
        <v>1400</v>
      </c>
      <c r="C300" s="30"/>
      <c r="D300" s="30" t="s">
        <v>1208</v>
      </c>
      <c r="E300" s="30" t="s">
        <v>984</v>
      </c>
      <c r="F300" s="30" t="s">
        <v>139</v>
      </c>
      <c r="G300" s="39" t="str">
        <f>VLOOKUP(F300,glossary!J:N,2,FALSE)</f>
        <v>Project</v>
      </c>
      <c r="H300" s="30" t="s">
        <v>139</v>
      </c>
      <c r="I300" s="45" t="str">
        <f t="shared" si="12"/>
        <v>project_tu</v>
      </c>
      <c r="J300" s="39" t="s">
        <v>140</v>
      </c>
      <c r="K300" s="39" t="str">
        <f>VLOOKUP(F300,glossary!J:N,5,FALSE)</f>
        <v>A scientific study, inventory or monitoring program that has a certain objective, defined methods, and a defined boundary in space and time (recorded as 'Project Name').</v>
      </c>
      <c r="L300" s="30" t="s">
        <v>1527</v>
      </c>
      <c r="M300" s="30" t="str">
        <f t="shared" si="13"/>
        <v>{{ project_tu }}</v>
      </c>
      <c r="N300" t="s">
        <v>896</v>
      </c>
      <c r="O300" s="13" t="s">
        <v>1816</v>
      </c>
      <c r="P300" t="s">
        <v>4582</v>
      </c>
      <c r="Q300"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0" t="b" cm="1">
        <f t="array" ref="R300">SUMPRODUCT(--EXACT($J$2:$J$490,J300))&gt;1</f>
        <v>0</v>
      </c>
      <c r="S300" t="s">
        <v>4975</v>
      </c>
    </row>
    <row r="301" spans="1:19">
      <c r="A301" s="30">
        <v>1</v>
      </c>
      <c r="B301" s="30" t="s">
        <v>1064</v>
      </c>
      <c r="C301" s="30" t="s">
        <v>429</v>
      </c>
      <c r="D301" s="30" t="s">
        <v>1208</v>
      </c>
      <c r="E301" s="30" t="s">
        <v>1758</v>
      </c>
      <c r="F301" s="30" t="s">
        <v>139</v>
      </c>
      <c r="G301" s="39" t="str">
        <f>VLOOKUP(F301,glossary!J:N,2,FALSE)</f>
        <v>Project</v>
      </c>
      <c r="H301" s="30" t="s">
        <v>139</v>
      </c>
      <c r="I301" s="45" t="str">
        <f t="shared" si="12"/>
        <v>project_tu_pl</v>
      </c>
      <c r="J301" s="39" t="s">
        <v>1169</v>
      </c>
      <c r="K301" s="39" t="str">
        <f>VLOOKUP(F301,glossary!J:N,5,FALSE)</f>
        <v>A scientific study, inventory or monitoring program that has a certain objective, defined methods, and a defined boundary in space and time (recorded as 'Project Name').</v>
      </c>
      <c r="L301" s="30" t="s">
        <v>1125</v>
      </c>
      <c r="M301" s="30" t="str">
        <f t="shared" si="13"/>
        <v>{{ project_tu_pl }}</v>
      </c>
      <c r="N301" t="s">
        <v>896</v>
      </c>
      <c r="O301" s="13" t="s">
        <v>1816</v>
      </c>
      <c r="P301" t="s">
        <v>4582</v>
      </c>
      <c r="Q301"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1" t="b" cm="1">
        <f t="array" ref="R301">SUMPRODUCT(--EXACT($J$2:$J$490,J301))&gt;1</f>
        <v>0</v>
      </c>
      <c r="S301" t="s">
        <v>4976</v>
      </c>
    </row>
    <row r="302" spans="1:19">
      <c r="A302" s="30">
        <v>3</v>
      </c>
      <c r="B302" s="30" t="s">
        <v>1393</v>
      </c>
      <c r="C302" s="30"/>
      <c r="D302" s="30" t="s">
        <v>1208</v>
      </c>
      <c r="E302" s="30" t="s">
        <v>984</v>
      </c>
      <c r="F302" s="30" t="s">
        <v>268</v>
      </c>
      <c r="G302" s="39" t="str">
        <f>VLOOKUP(F302,glossary!J:N,2,FALSE)</f>
        <v>Project Coordinator</v>
      </c>
      <c r="H302" s="34" t="s">
        <v>268</v>
      </c>
      <c r="I302" s="45" t="str">
        <f t="shared" si="12"/>
        <v>project_coordinator_tu</v>
      </c>
      <c r="J302" s="42" t="s">
        <v>706</v>
      </c>
      <c r="K302" s="39" t="str">
        <f>VLOOKUP(F302,glossary!J:N,5,FALSE)</f>
        <v>The first and last name of the primary contact for the project.</v>
      </c>
      <c r="L302" t="s">
        <v>1526</v>
      </c>
      <c r="M302" s="30" t="str">
        <f t="shared" si="13"/>
        <v>{{ project_coordinator_tu }}</v>
      </c>
      <c r="N302" t="s">
        <v>896</v>
      </c>
      <c r="O302" s="13" t="s">
        <v>1816</v>
      </c>
      <c r="P302" t="s">
        <v>4582</v>
      </c>
      <c r="Q302"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302" t="b" cm="1">
        <f t="array" ref="R302">SUMPRODUCT(--EXACT($J$2:$J$490,J302))&gt;1</f>
        <v>0</v>
      </c>
      <c r="S302" t="s">
        <v>4977</v>
      </c>
    </row>
    <row r="303" spans="1:19">
      <c r="A303" s="30">
        <v>3</v>
      </c>
      <c r="B303" s="30" t="s">
        <v>1393</v>
      </c>
      <c r="C303" s="30"/>
      <c r="D303" s="30" t="s">
        <v>1208</v>
      </c>
      <c r="E303" s="30" t="s">
        <v>984</v>
      </c>
      <c r="F303" s="30" t="s">
        <v>271</v>
      </c>
      <c r="G303" s="39" t="str">
        <f>VLOOKUP(F303,glossary!J:N,2,FALSE)</f>
        <v>Project Coordinator Email</v>
      </c>
      <c r="H303" s="34" t="s">
        <v>271</v>
      </c>
      <c r="I303" s="45" t="str">
        <f t="shared" si="12"/>
        <v>project_coordinator_email_tu</v>
      </c>
      <c r="J303" s="42" t="s">
        <v>707</v>
      </c>
      <c r="K303" s="39" t="str">
        <f>VLOOKUP(F303,glossary!J:N,5,FALSE)</f>
        <v>The email address of the Project Coordinator.</v>
      </c>
      <c r="L303" t="s">
        <v>1525</v>
      </c>
      <c r="M303" s="30" t="str">
        <f t="shared" si="13"/>
        <v>{{ project_coordinator_email_tu }}</v>
      </c>
      <c r="N303" t="s">
        <v>896</v>
      </c>
      <c r="O303" s="13" t="s">
        <v>1816</v>
      </c>
      <c r="P303" t="s">
        <v>4582</v>
      </c>
      <c r="Q303"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303" t="b" cm="1">
        <f t="array" ref="R303">SUMPRODUCT(--EXACT($J$2:$J$490,J303))&gt;1</f>
        <v>0</v>
      </c>
      <c r="S303" t="s">
        <v>4978</v>
      </c>
    </row>
    <row r="304" spans="1:19">
      <c r="A304" s="30">
        <v>3</v>
      </c>
      <c r="B304" s="30" t="s">
        <v>1393</v>
      </c>
      <c r="C304" s="30"/>
      <c r="D304" s="30" t="s">
        <v>1208</v>
      </c>
      <c r="E304" s="30" t="s">
        <v>984</v>
      </c>
      <c r="F304" s="30" t="s">
        <v>265</v>
      </c>
      <c r="G304" s="39" t="str">
        <f>VLOOKUP(F304,glossary!J:N,2,FALSE)</f>
        <v>Project Description</v>
      </c>
      <c r="H304" s="34" t="s">
        <v>265</v>
      </c>
      <c r="I304" s="45" t="str">
        <f t="shared" si="12"/>
        <v>project_description_tu</v>
      </c>
      <c r="J304" s="42" t="s">
        <v>708</v>
      </c>
      <c r="K304" s="39" t="str">
        <f>VLOOKUP(F304,glossary!J:N,5,FALSE)</f>
        <v>A description of the project objective(s) and general methods.</v>
      </c>
      <c r="L304" t="s">
        <v>1524</v>
      </c>
      <c r="M304" s="30" t="str">
        <f t="shared" si="13"/>
        <v>{{ project_description_tu }}</v>
      </c>
      <c r="N304" t="s">
        <v>896</v>
      </c>
      <c r="O304" s="13" t="s">
        <v>1816</v>
      </c>
      <c r="P304" t="s">
        <v>4582</v>
      </c>
      <c r="Q304"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304" t="b" cm="1">
        <f t="array" ref="R304">SUMPRODUCT(--EXACT($J$2:$J$490,J304))&gt;1</f>
        <v>0</v>
      </c>
      <c r="S304" t="s">
        <v>4979</v>
      </c>
    </row>
    <row r="305" spans="1:19">
      <c r="A305" s="30">
        <v>3</v>
      </c>
      <c r="B305" s="30" t="s">
        <v>1393</v>
      </c>
      <c r="C305" s="30"/>
      <c r="D305" s="30" t="s">
        <v>1208</v>
      </c>
      <c r="E305" s="30" t="s">
        <v>984</v>
      </c>
      <c r="F305" s="30" t="s">
        <v>264</v>
      </c>
      <c r="G305" s="39" t="str">
        <f>VLOOKUP(F305,glossary!J:N,2,FALSE)</f>
        <v>Project Name</v>
      </c>
      <c r="H305" s="34" t="s">
        <v>264</v>
      </c>
      <c r="I305" s="45" t="str">
        <f t="shared" si="12"/>
        <v>project_name_tu</v>
      </c>
      <c r="J305" s="42" t="s">
        <v>709</v>
      </c>
      <c r="K305" s="39" t="str">
        <f>VLOOKUP(F305,glossary!J:N,5,FALSE)</f>
        <v>A unique alphanumeric identifier for each project. Ideally, the Project Name should include an abbreviation for the organization, a brief project name, and the year the project began (e.g., 'uofa_oilsands_2018').</v>
      </c>
      <c r="L305" t="s">
        <v>1523</v>
      </c>
      <c r="M305" s="30" t="str">
        <f t="shared" si="13"/>
        <v>{{ project_name_tu }}</v>
      </c>
      <c r="N305" t="s">
        <v>896</v>
      </c>
      <c r="O305" s="13" t="s">
        <v>1816</v>
      </c>
      <c r="P305" t="s">
        <v>4582</v>
      </c>
      <c r="Q305"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305" t="b" cm="1">
        <f t="array" ref="R305">SUMPRODUCT(--EXACT($J$2:$J$490,J305))&gt;1</f>
        <v>0</v>
      </c>
      <c r="S305" t="s">
        <v>4980</v>
      </c>
    </row>
    <row r="306" spans="1:19">
      <c r="A306" s="30">
        <v>2</v>
      </c>
      <c r="B306" s="30" t="s">
        <v>1400</v>
      </c>
      <c r="C306" s="30"/>
      <c r="D306" s="30" t="s">
        <v>1207</v>
      </c>
      <c r="E306" s="30" t="s">
        <v>984</v>
      </c>
      <c r="F306" s="30" t="s">
        <v>136</v>
      </c>
      <c r="G306" s="39" t="str">
        <f>VLOOKUP(F306,glossary!J:N,2,FALSE)</f>
        <v>Pseudoreplication</v>
      </c>
      <c r="H306" s="30" t="s">
        <v>136</v>
      </c>
      <c r="I306" s="45" t="str">
        <f t="shared" si="12"/>
        <v>pseudoreplication_tl</v>
      </c>
      <c r="J306" s="39" t="s">
        <v>136</v>
      </c>
      <c r="K306" s="39" t="str">
        <f>VLOOKUP(F306,glossary!J:N,5,FALSE)</f>
        <v>When observations are not statistically independent (spatially or temporally) but are treated as if they are independent.</v>
      </c>
      <c r="L306" s="30" t="s">
        <v>1522</v>
      </c>
      <c r="M306" s="30" t="str">
        <f t="shared" si="13"/>
        <v>{{ pseudoreplication_tl }}</v>
      </c>
      <c r="N306" t="s">
        <v>896</v>
      </c>
      <c r="O306" s="13" t="s">
        <v>1816</v>
      </c>
      <c r="P306" t="s">
        <v>4582</v>
      </c>
      <c r="Q306"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6" t="b" cm="1">
        <f t="array" ref="R306">SUMPRODUCT(--EXACT($J$2:$J$490,J306))&gt;1</f>
        <v>0</v>
      </c>
      <c r="S306" t="s">
        <v>4981</v>
      </c>
    </row>
    <row r="307" spans="1:19">
      <c r="A307" s="30">
        <v>2</v>
      </c>
      <c r="B307" s="30" t="s">
        <v>1400</v>
      </c>
      <c r="C307" s="30"/>
      <c r="D307" s="30" t="s">
        <v>1208</v>
      </c>
      <c r="E307" s="30" t="s">
        <v>984</v>
      </c>
      <c r="F307" s="30" t="s">
        <v>136</v>
      </c>
      <c r="G307" s="39" t="str">
        <f>VLOOKUP(F307,glossary!J:N,2,FALSE)</f>
        <v>Pseudoreplication</v>
      </c>
      <c r="H307" s="30" t="s">
        <v>136</v>
      </c>
      <c r="I307" s="45" t="str">
        <f t="shared" si="12"/>
        <v>pseudoreplication_tu</v>
      </c>
      <c r="J307" s="39" t="s">
        <v>138</v>
      </c>
      <c r="K307" s="39" t="str">
        <f>VLOOKUP(F307,glossary!J:N,5,FALSE)</f>
        <v>When observations are not statistically independent (spatially or temporally) but are treated as if they are independent.</v>
      </c>
      <c r="L307" s="30" t="s">
        <v>1521</v>
      </c>
      <c r="M307" s="30" t="str">
        <f t="shared" si="13"/>
        <v>{{ pseudoreplication_tu }}</v>
      </c>
      <c r="N307" t="s">
        <v>896</v>
      </c>
      <c r="O307" s="13" t="s">
        <v>1816</v>
      </c>
      <c r="P307" t="s">
        <v>4582</v>
      </c>
      <c r="Q307"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7" t="b" cm="1">
        <f t="array" ref="R307">SUMPRODUCT(--EXACT($J$2:$J$490,J307))&gt;1</f>
        <v>0</v>
      </c>
      <c r="S307" t="s">
        <v>4982</v>
      </c>
    </row>
    <row r="308" spans="1:19">
      <c r="A308" s="30">
        <v>3</v>
      </c>
      <c r="B308" s="30" t="s">
        <v>1393</v>
      </c>
      <c r="C308" s="30"/>
      <c r="D308" s="30" t="s">
        <v>1208</v>
      </c>
      <c r="E308" s="30" t="s">
        <v>984</v>
      </c>
      <c r="F308" s="30" t="s">
        <v>262</v>
      </c>
      <c r="G308" s="39" t="str">
        <f>VLOOKUP(F308,glossary!J:N,2,FALSE)</f>
        <v>Purpose of Visit</v>
      </c>
      <c r="H308" s="34" t="s">
        <v>262</v>
      </c>
      <c r="I308" s="45" t="str">
        <f t="shared" si="12"/>
        <v>purpose_of_visit_tu</v>
      </c>
      <c r="J308" s="42" t="s">
        <v>710</v>
      </c>
      <c r="K308" s="39" t="str">
        <f>VLOOKUP(F308,glossary!J:N,5,FALSE)</f>
        <v>The reason for visiting the camera location (i.e. to deploy the camera ['Deployment'], retrieve the camera ['Retrieve'] or to change batteries*/SD card or replace the camera ['Service']).</v>
      </c>
      <c r="L308" t="s">
        <v>1520</v>
      </c>
      <c r="M308" s="30" t="str">
        <f t="shared" si="13"/>
        <v>{{ purpose_of_visit_tu }}</v>
      </c>
      <c r="N308" t="s">
        <v>896</v>
      </c>
      <c r="O308" s="13" t="s">
        <v>1816</v>
      </c>
      <c r="P308" t="s">
        <v>4582</v>
      </c>
      <c r="Q308"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308" t="b" cm="1">
        <f t="array" ref="R308">SUMPRODUCT(--EXACT($J$2:$J$490,J308))&gt;1</f>
        <v>0</v>
      </c>
      <c r="S308" t="s">
        <v>4983</v>
      </c>
    </row>
    <row r="309" spans="1:19">
      <c r="B309" s="30" t="s">
        <v>768</v>
      </c>
      <c r="D309" s="30" t="s">
        <v>1207</v>
      </c>
      <c r="E309" s="30" t="s">
        <v>984</v>
      </c>
      <c r="F309" s="30" t="s">
        <v>985</v>
      </c>
      <c r="G309" s="39" t="str">
        <f>VLOOKUP(F309,glossary!J:N,2,FALSE)</f>
        <v>Rarefaction</v>
      </c>
      <c r="H309" s="30" t="s">
        <v>985</v>
      </c>
      <c r="I309" s="45" t="str">
        <f t="shared" si="12"/>
        <v>rarefaction_tl</v>
      </c>
      <c r="J309" s="30" t="s">
        <v>985</v>
      </c>
      <c r="K309" s="39" t="str">
        <f>VLOOKUP(F309,glossary!J:N,5,FALSE)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9" s="30" t="s">
        <v>984</v>
      </c>
      <c r="M309" s="30" t="str">
        <f t="shared" si="13"/>
        <v>{{ rarefaction_tl }}</v>
      </c>
      <c r="N309" t="s">
        <v>896</v>
      </c>
      <c r="O309" s="13" t="s">
        <v>1816</v>
      </c>
      <c r="P309" t="s">
        <v>4582</v>
      </c>
      <c r="Q309"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9" t="b" cm="1">
        <f t="array" ref="R309">SUMPRODUCT(--EXACT($J$2:$J$490,J309))&gt;1</f>
        <v>0</v>
      </c>
      <c r="S309" t="s">
        <v>4984</v>
      </c>
    </row>
    <row r="310" spans="1:19">
      <c r="B310" s="30" t="s">
        <v>768</v>
      </c>
      <c r="D310" s="30" t="s">
        <v>1208</v>
      </c>
      <c r="E310" s="30" t="s">
        <v>984</v>
      </c>
      <c r="F310" s="30" t="s">
        <v>985</v>
      </c>
      <c r="G310" s="39" t="str">
        <f>VLOOKUP(F310,glossary!J:N,2,FALSE)</f>
        <v>Rarefaction</v>
      </c>
      <c r="H310" s="30" t="s">
        <v>985</v>
      </c>
      <c r="I310" s="45" t="str">
        <f t="shared" si="12"/>
        <v>rarefaction_tu</v>
      </c>
      <c r="J310" s="30" t="s">
        <v>1358</v>
      </c>
      <c r="K310" s="39" t="str">
        <f>VLOOKUP(F310,glossary!J:N,5,FALSE)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0" s="30" t="s">
        <v>984</v>
      </c>
      <c r="M310" s="30" t="str">
        <f t="shared" si="13"/>
        <v>{{ rarefaction_tu }}</v>
      </c>
      <c r="N310" t="s">
        <v>896</v>
      </c>
      <c r="O310" s="13" t="s">
        <v>1816</v>
      </c>
      <c r="P310" t="s">
        <v>4582</v>
      </c>
      <c r="Q310"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0" t="b" cm="1">
        <f t="array" ref="R310">SUMPRODUCT(--EXACT($J$2:$J$490,J310))&gt;1</f>
        <v>0</v>
      </c>
      <c r="S310" t="s">
        <v>4985</v>
      </c>
    </row>
    <row r="311" spans="1:19">
      <c r="A311" s="30">
        <v>0</v>
      </c>
      <c r="B311" s="30" t="s">
        <v>768</v>
      </c>
      <c r="C311" s="30"/>
      <c r="D311" s="30" t="s">
        <v>984</v>
      </c>
      <c r="E311" s="30" t="s">
        <v>984</v>
      </c>
      <c r="F311" s="30" t="s">
        <v>1742</v>
      </c>
      <c r="G311" s="39" t="e">
        <f>VLOOKUP(F311,glossary!J:N,2,FALSE)</f>
        <v>#N/A</v>
      </c>
      <c r="H311" s="30" t="s">
        <v>1742</v>
      </c>
      <c r="I311" s="45" t="str">
        <f t="shared" si="12"/>
        <v>-</v>
      </c>
      <c r="J311" s="30" t="s">
        <v>1742</v>
      </c>
      <c r="K311" s="39" t="s">
        <v>984</v>
      </c>
      <c r="L311" s="30" t="s">
        <v>984</v>
      </c>
      <c r="M311" s="30" t="s">
        <v>1742</v>
      </c>
      <c r="N311" t="s">
        <v>896</v>
      </c>
      <c r="O311" s="13" t="s">
        <v>1816</v>
      </c>
      <c r="P311" t="s">
        <v>4582</v>
      </c>
      <c r="Q311" t="str">
        <f>IF(K311&lt;&gt;"-",("    "&amp;I311&amp;": "&amp;""""&amp;"&lt;a href=\"&amp;""""&amp;"09_glossary.html#"&amp;H311&amp;N311&amp;K311&amp;O311&amp;J311&amp;P311&amp;""""),"-")</f>
        <v>-</v>
      </c>
      <c r="R311" t="b">
        <v>0</v>
      </c>
      <c r="S311" t="s">
        <v>4986</v>
      </c>
    </row>
    <row r="312" spans="1:19">
      <c r="A312" s="30">
        <v>3</v>
      </c>
      <c r="B312" s="30" t="s">
        <v>1393</v>
      </c>
      <c r="C312" s="30"/>
      <c r="D312" s="30" t="s">
        <v>1207</v>
      </c>
      <c r="E312" s="30" t="s">
        <v>984</v>
      </c>
      <c r="F312" s="30" t="s">
        <v>129</v>
      </c>
      <c r="G312" s="39" t="str">
        <f>VLOOKUP(F312,glossary!J:N,2,FALSE)</f>
        <v>Recovery time</v>
      </c>
      <c r="H312" s="34" t="s">
        <v>129</v>
      </c>
      <c r="I312" s="45" t="str">
        <f t="shared" si="12"/>
        <v>recovery_time_tl</v>
      </c>
      <c r="J312" s="43" t="s">
        <v>944</v>
      </c>
      <c r="K312" s="39" t="str">
        <f>VLOOKUP(F312,glossary!J:N,5,FALSE)</f>
        <v>The time necessary for the camera to prepare to capture the next photo after the previous one has been recorded (Trolliet et al., 2014).</v>
      </c>
      <c r="L312" t="s">
        <v>1519</v>
      </c>
      <c r="M312" s="30" t="str">
        <f>"{{ "&amp;I312&amp;" }}"</f>
        <v>{{ recovery_time_tl }}</v>
      </c>
      <c r="N312" t="s">
        <v>896</v>
      </c>
      <c r="O312" s="13" t="s">
        <v>1816</v>
      </c>
      <c r="P312" t="s">
        <v>4582</v>
      </c>
      <c r="Q312" t="str">
        <f>IF(K312&lt;&gt;"-",("    "&amp;I312&amp;": "&amp;""""&amp;"&lt;a href=\"&amp;""""&amp;"09_glossary.html#"&amp;H312&amp;N312&amp;G312&amp;": "&amp;K312&amp;O312&amp;J312&amp;P312&amp;""""),"-")</f>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2" t="b" cm="1">
        <f t="array" ref="R312">SUMPRODUCT(--EXACT($J$2:$J$490,J312))&gt;1</f>
        <v>0</v>
      </c>
      <c r="S312" t="s">
        <v>4987</v>
      </c>
    </row>
    <row r="313" spans="1:19">
      <c r="A313" s="30">
        <v>3</v>
      </c>
      <c r="B313" s="30" t="s">
        <v>1393</v>
      </c>
      <c r="C313" s="30"/>
      <c r="D313" s="30" t="s">
        <v>1208</v>
      </c>
      <c r="E313" s="30" t="s">
        <v>984</v>
      </c>
      <c r="F313" s="30" t="s">
        <v>129</v>
      </c>
      <c r="G313" s="39" t="str">
        <f>VLOOKUP(F313,glossary!J:N,2,FALSE)</f>
        <v>Recovery time</v>
      </c>
      <c r="H313" s="34" t="s">
        <v>129</v>
      </c>
      <c r="I313" s="45" t="str">
        <f t="shared" si="12"/>
        <v>recovery_time_tu</v>
      </c>
      <c r="J313" s="42" t="s">
        <v>131</v>
      </c>
      <c r="K313" s="39" t="str">
        <f>VLOOKUP(F313,glossary!J:N,5,FALSE)</f>
        <v>The time necessary for the camera to prepare to capture the next photo after the previous one has been recorded (Trolliet et al., 2014).</v>
      </c>
      <c r="L313" t="s">
        <v>1518</v>
      </c>
      <c r="M313" s="30" t="str">
        <f>"{{ "&amp;I313&amp;" }}"</f>
        <v>{{ recovery_time_tu }}</v>
      </c>
      <c r="N313" t="s">
        <v>896</v>
      </c>
      <c r="O313" s="13" t="s">
        <v>1816</v>
      </c>
      <c r="P313" t="s">
        <v>4582</v>
      </c>
      <c r="Q313" t="str">
        <f>IF(K313&lt;&gt;"-",("    "&amp;I313&amp;": "&amp;""""&amp;"&lt;a href=\"&amp;""""&amp;"09_glossary.html#"&amp;H313&amp;N313&amp;G313&amp;": "&amp;K313&amp;O313&amp;J313&amp;P313&amp;""""),"-")</f>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3" t="b" cm="1">
        <f t="array" ref="R313">SUMPRODUCT(--EXACT($J$2:$J$490,J313))&gt;1</f>
        <v>0</v>
      </c>
      <c r="S313" t="s">
        <v>4988</v>
      </c>
    </row>
    <row r="314" spans="1:19">
      <c r="A314" s="30">
        <v>3</v>
      </c>
      <c r="B314" s="30" t="s">
        <v>1393</v>
      </c>
      <c r="C314" s="30"/>
      <c r="D314" s="30" t="s">
        <v>1208</v>
      </c>
      <c r="E314" s="30" t="s">
        <v>1751</v>
      </c>
      <c r="F314" s="30" t="s">
        <v>324</v>
      </c>
      <c r="G314" s="39" t="str">
        <f>VLOOKUP(F314,glossary!J:N,2,FALSE)</f>
        <v>Remaining Battery (%)</v>
      </c>
      <c r="H314" s="34" t="s">
        <v>324</v>
      </c>
      <c r="I314" s="45" t="str">
        <f t="shared" si="12"/>
        <v>remaining_battery_percent_tu_u</v>
      </c>
      <c r="J314" s="42" t="s">
        <v>752</v>
      </c>
      <c r="K314" s="39" t="str">
        <f>VLOOKUP(F314,glossary!J:N,5,FALSE)</f>
        <v>The remaining battery power (%) of batteries within a camera.</v>
      </c>
      <c r="L314" t="s">
        <v>1517</v>
      </c>
      <c r="M314" s="30" t="str">
        <f>"{{ "&amp;I314&amp;" }}"</f>
        <v>{{ remaining_battery_percent_tu_u }}</v>
      </c>
      <c r="N314" t="s">
        <v>896</v>
      </c>
      <c r="O314" s="13" t="s">
        <v>1816</v>
      </c>
      <c r="P314" t="s">
        <v>4582</v>
      </c>
      <c r="Q314" t="str">
        <f>IF(K314&lt;&gt;"-",("    "&amp;I314&amp;": "&amp;""""&amp;"&lt;a href=\"&amp;""""&amp;"09_glossary.html#"&amp;H314&amp;N314&amp;G314&amp;": "&amp;K314&amp;O314&amp;J314&amp;P314&amp;""""),"-")</f>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SUMPRODUCT(--EXACT($J$2:$J$490,J314))&gt;1</f>
        <v>0</v>
      </c>
      <c r="S314" t="s">
        <v>4989</v>
      </c>
    </row>
    <row r="315" spans="1:19">
      <c r="A315" s="30">
        <v>0</v>
      </c>
      <c r="B315" s="30" t="s">
        <v>768</v>
      </c>
      <c r="C315" s="30"/>
      <c r="D315" s="30" t="s">
        <v>984</v>
      </c>
      <c r="E315" s="30" t="s">
        <v>984</v>
      </c>
      <c r="F315" s="30" t="s">
        <v>1741</v>
      </c>
      <c r="G315" s="39" t="e">
        <f>VLOOKUP(F315,glossary!J:N,2,FALSE)</f>
        <v>#N/A</v>
      </c>
      <c r="H315" s="30" t="s">
        <v>1741</v>
      </c>
      <c r="I315" s="45" t="str">
        <f t="shared" si="12"/>
        <v>-</v>
      </c>
      <c r="J315" s="30" t="s">
        <v>1741</v>
      </c>
      <c r="K315" s="39" t="s">
        <v>984</v>
      </c>
      <c r="L315" s="30" t="s">
        <v>984</v>
      </c>
      <c r="M315" s="30" t="s">
        <v>1741</v>
      </c>
      <c r="N315" t="s">
        <v>896</v>
      </c>
      <c r="O315" s="13" t="s">
        <v>1816</v>
      </c>
      <c r="P315" t="s">
        <v>4582</v>
      </c>
      <c r="Q315" t="str">
        <f>IF(K315&lt;&gt;"-",("    "&amp;I315&amp;": "&amp;""""&amp;"&lt;a href=\"&amp;""""&amp;"09_glossary.html#"&amp;H315&amp;N315&amp;K315&amp;O315&amp;J315&amp;P315&amp;""""),"-")</f>
        <v>-</v>
      </c>
      <c r="R315" t="b">
        <v>0</v>
      </c>
      <c r="S315" t="s">
        <v>4990</v>
      </c>
    </row>
    <row r="316" spans="1:19">
      <c r="A316" s="30">
        <v>3</v>
      </c>
      <c r="B316" s="30" t="s">
        <v>1393</v>
      </c>
      <c r="C316" s="30"/>
      <c r="D316" s="30" t="s">
        <v>1207</v>
      </c>
      <c r="E316" s="30" t="s">
        <v>984</v>
      </c>
      <c r="F316" s="30" t="s">
        <v>122</v>
      </c>
      <c r="G316" s="39" t="str">
        <f>VLOOKUP(F316,glossary!J:N,2,FALSE)</f>
        <v>Sample station</v>
      </c>
      <c r="H316" s="34" t="s">
        <v>122</v>
      </c>
      <c r="I316" s="45" t="str">
        <f t="shared" si="12"/>
        <v>sample_station_tl</v>
      </c>
      <c r="J316" s="43" t="s">
        <v>948</v>
      </c>
      <c r="K316" s="39" t="str">
        <f>VLOOKUP(F316,glossary!J:N,5,FALSE)</f>
        <v>A grouping of two or more non-independent camera locations, such as when cameras are clustered or paired (recorded as 'Sample Station Name').</v>
      </c>
      <c r="L316" t="s">
        <v>1516</v>
      </c>
      <c r="M316" s="30" t="str">
        <f t="shared" ref="M316:M347" si="15">"{{ "&amp;I316&amp;" }}"</f>
        <v>{{ sample_station_tl }}</v>
      </c>
      <c r="N316" t="s">
        <v>896</v>
      </c>
      <c r="O316" s="13" t="s">
        <v>1816</v>
      </c>
      <c r="P316" t="s">
        <v>4582</v>
      </c>
      <c r="Q316" t="str">
        <f t="shared" ref="Q316:Q347" si="16">IF(K316&lt;&gt;"-",("    "&amp;I316&amp;": "&amp;""""&amp;"&lt;a href=\"&amp;""""&amp;"09_glossary.html#"&amp;H316&amp;N316&amp;G316&amp;": "&amp;K316&amp;O316&amp;J316&amp;P316&amp;""""),"-")</f>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SUMPRODUCT(--EXACT($J$2:$J$490,J316))&gt;1</f>
        <v>0</v>
      </c>
      <c r="S316" t="s">
        <v>4991</v>
      </c>
    </row>
    <row r="317" spans="1:19">
      <c r="A317" s="30">
        <v>1</v>
      </c>
      <c r="B317" s="30" t="s">
        <v>1064</v>
      </c>
      <c r="C317" s="30" t="s">
        <v>429</v>
      </c>
      <c r="D317" s="30" t="s">
        <v>1207</v>
      </c>
      <c r="E317" s="30" t="s">
        <v>1758</v>
      </c>
      <c r="F317" s="30" t="s">
        <v>122</v>
      </c>
      <c r="G317" s="39" t="str">
        <f>VLOOKUP(F317,glossary!J:N,2,FALSE)</f>
        <v>Sample station</v>
      </c>
      <c r="H317" s="30" t="s">
        <v>122</v>
      </c>
      <c r="I317" s="45" t="str">
        <f t="shared" si="12"/>
        <v>sample_station_tl_pl</v>
      </c>
      <c r="J317" s="39" t="s">
        <v>1184</v>
      </c>
      <c r="K317" s="39" t="str">
        <f>VLOOKUP(F317,glossary!J:N,5,FALSE)</f>
        <v>A grouping of two or more non-independent camera locations, such as when cameras are clustered or paired (recorded as 'Sample Station Name').</v>
      </c>
      <c r="L317" s="30" t="s">
        <v>1129</v>
      </c>
      <c r="M317" s="30" t="str">
        <f t="shared" si="15"/>
        <v>{{ sample_station_tl_pl }}</v>
      </c>
      <c r="N317" t="s">
        <v>896</v>
      </c>
      <c r="O317" s="13" t="s">
        <v>1816</v>
      </c>
      <c r="P317" t="s">
        <v>4582</v>
      </c>
      <c r="Q317" t="str">
        <f t="shared" si="16"/>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SUMPRODUCT(--EXACT($J$2:$J$490,J317))&gt;1</f>
        <v>0</v>
      </c>
      <c r="S317" t="s">
        <v>4992</v>
      </c>
    </row>
    <row r="318" spans="1:19">
      <c r="A318" s="30">
        <v>3</v>
      </c>
      <c r="B318" s="30" t="s">
        <v>1393</v>
      </c>
      <c r="C318" s="30"/>
      <c r="D318" s="30" t="s">
        <v>1208</v>
      </c>
      <c r="E318" s="30" t="s">
        <v>984</v>
      </c>
      <c r="F318" s="30" t="s">
        <v>122</v>
      </c>
      <c r="G318" s="39" t="str">
        <f>VLOOKUP(F318,glossary!J:N,2,FALSE)</f>
        <v>Sample station</v>
      </c>
      <c r="H318" s="34" t="s">
        <v>122</v>
      </c>
      <c r="I318" s="45" t="str">
        <f t="shared" si="12"/>
        <v>sample_station_tu</v>
      </c>
      <c r="J318" s="42" t="s">
        <v>123</v>
      </c>
      <c r="K318" s="39" t="str">
        <f>VLOOKUP(F318,glossary!J:N,5,FALSE)</f>
        <v>A grouping of two or more non-independent camera locations, such as when cameras are clustered or paired (recorded as 'Sample Station Name').</v>
      </c>
      <c r="L318" t="s">
        <v>1515</v>
      </c>
      <c r="M318" s="30" t="str">
        <f t="shared" si="15"/>
        <v>{{ sample_station_tu }}</v>
      </c>
      <c r="N318" t="s">
        <v>896</v>
      </c>
      <c r="O318" s="13" t="s">
        <v>1816</v>
      </c>
      <c r="P318" t="s">
        <v>4582</v>
      </c>
      <c r="Q318" t="str">
        <f t="shared" si="16"/>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SUMPRODUCT(--EXACT($J$2:$J$490,J318))&gt;1</f>
        <v>0</v>
      </c>
      <c r="S318" t="s">
        <v>4993</v>
      </c>
    </row>
    <row r="319" spans="1:19">
      <c r="A319" s="30">
        <v>1</v>
      </c>
      <c r="B319" s="30" t="s">
        <v>1064</v>
      </c>
      <c r="C319" s="30" t="s">
        <v>429</v>
      </c>
      <c r="D319" s="30" t="s">
        <v>1208</v>
      </c>
      <c r="E319" s="30" t="s">
        <v>1758</v>
      </c>
      <c r="F319" s="30" t="s">
        <v>122</v>
      </c>
      <c r="G319" s="39" t="str">
        <f>VLOOKUP(F319,glossary!J:N,2,FALSE)</f>
        <v>Sample station</v>
      </c>
      <c r="H319" s="30" t="s">
        <v>122</v>
      </c>
      <c r="I319" s="45" t="str">
        <f t="shared" si="12"/>
        <v>sample_station_tu_pl</v>
      </c>
      <c r="J319" s="39" t="s">
        <v>1170</v>
      </c>
      <c r="K319" s="39" t="str">
        <f>VLOOKUP(F319,glossary!J:N,5,FALSE)</f>
        <v>A grouping of two or more non-independent camera locations, such as when cameras are clustered or paired (recorded as 'Sample Station Name').</v>
      </c>
      <c r="L319" s="30" t="s">
        <v>1121</v>
      </c>
      <c r="M319" s="30" t="str">
        <f t="shared" si="15"/>
        <v>{{ sample_station_tu_pl }}</v>
      </c>
      <c r="N319" t="s">
        <v>896</v>
      </c>
      <c r="O319" s="13" t="s">
        <v>1816</v>
      </c>
      <c r="P319" t="s">
        <v>4582</v>
      </c>
      <c r="Q319" t="str">
        <f t="shared" si="16"/>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SUMPRODUCT(--EXACT($J$2:$J$490,J319))&gt;1</f>
        <v>0</v>
      </c>
      <c r="S319" t="s">
        <v>4994</v>
      </c>
    </row>
    <row r="320" spans="1:19">
      <c r="A320" s="30">
        <v>3</v>
      </c>
      <c r="B320" s="30" t="s">
        <v>1393</v>
      </c>
      <c r="C320" s="30"/>
      <c r="D320" s="30" t="s">
        <v>1208</v>
      </c>
      <c r="E320" s="30" t="s">
        <v>984</v>
      </c>
      <c r="F320" s="30" t="s">
        <v>260</v>
      </c>
      <c r="G320" s="39" t="str">
        <f>VLOOKUP(F320,glossary!J:N,2,FALSE)</f>
        <v>Sample Station Name</v>
      </c>
      <c r="H320" s="34" t="s">
        <v>260</v>
      </c>
      <c r="I320" s="45" t="str">
        <f t="shared" si="12"/>
        <v>sample_station_name_tu</v>
      </c>
      <c r="J320" s="42" t="s">
        <v>711</v>
      </c>
      <c r="K320" s="39" t="str">
        <f>VLOOKUP(F320,glossary!J:N,5,FALSE)</f>
        <v>A sequential alphanumeric identifier for each grouping of two more non-independent camera locations (when cameras are deployed in clusters, pairs, or arrays; e.g., 'ss1' in 'ss1_bh1,' 'ss1_bh2,' 'ss1_bh3' etc.). Leave blank if not applicable.</v>
      </c>
      <c r="L320" t="s">
        <v>1514</v>
      </c>
      <c r="M320" s="30" t="str">
        <f t="shared" si="15"/>
        <v>{{ sample_station_name_tu }}</v>
      </c>
      <c r="N320" t="s">
        <v>896</v>
      </c>
      <c r="O320" s="13" t="s">
        <v>1816</v>
      </c>
      <c r="P320" t="s">
        <v>4582</v>
      </c>
      <c r="Q320" t="str">
        <f t="shared" si="16"/>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SUMPRODUCT(--EXACT($J$2:$J$490,J320))&gt;1</f>
        <v>0</v>
      </c>
      <c r="S320" t="s">
        <v>4995</v>
      </c>
    </row>
    <row r="321" spans="1:19">
      <c r="A321" s="30">
        <v>3</v>
      </c>
      <c r="B321" s="30" t="s">
        <v>1393</v>
      </c>
      <c r="C321" s="30"/>
      <c r="D321" s="30" t="s">
        <v>1207</v>
      </c>
      <c r="E321" s="30" t="s">
        <v>984</v>
      </c>
      <c r="F321" s="30" t="s">
        <v>224</v>
      </c>
      <c r="G321" s="39" t="str">
        <f>VLOOKUP(F321,glossary!J:N,2,FALSE)</f>
        <v>Clustered design</v>
      </c>
      <c r="H321" s="34" t="s">
        <v>224</v>
      </c>
      <c r="I321" s="45" t="str">
        <f t="shared" si="12"/>
        <v>sampledesign_clustered_tl</v>
      </c>
      <c r="J321" s="43" t="s">
        <v>908</v>
      </c>
      <c r="K321" s="39" t="str">
        <f>VLOOKUP(F321,glossary!J:N,5,FALSE)</f>
        <v>Multiple cameras are deployed at a sample station (Figure 3d). A clustered design can be used within a systematic or stratified approach (i.e., systematic clustered design or as a clustered random design [Wearn &amp; Glover-Kapfer, 2017]).</v>
      </c>
      <c r="L321" t="s">
        <v>1513</v>
      </c>
      <c r="M321" s="30" t="str">
        <f t="shared" si="15"/>
        <v>{{ sampledesign_clustered_tl }}</v>
      </c>
      <c r="N321" t="s">
        <v>896</v>
      </c>
      <c r="O321" s="13" t="s">
        <v>1816</v>
      </c>
      <c r="P321" t="s">
        <v>4582</v>
      </c>
      <c r="Q321" t="str">
        <f t="shared" si="16"/>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1" t="b" cm="1">
        <f t="array" ref="R321">SUMPRODUCT(--EXACT($J$2:$J$490,J321))&gt;1</f>
        <v>0</v>
      </c>
      <c r="S321" t="s">
        <v>4996</v>
      </c>
    </row>
    <row r="322" spans="1:19">
      <c r="A322" s="30">
        <v>3</v>
      </c>
      <c r="B322" s="30" t="s">
        <v>1393</v>
      </c>
      <c r="C322" s="30"/>
      <c r="D322" s="30" t="s">
        <v>1207</v>
      </c>
      <c r="E322" s="30" t="s">
        <v>1752</v>
      </c>
      <c r="F322" s="30" t="s">
        <v>224</v>
      </c>
      <c r="G322" s="39" t="str">
        <f>VLOOKUP(F322,glossary!J:N,2,FALSE)</f>
        <v>Clustered design</v>
      </c>
      <c r="H322" s="34" t="s">
        <v>224</v>
      </c>
      <c r="I322" s="45" t="str">
        <f t="shared" ref="I322:I385" si="17">IF(D322="-","-",IF(E322&lt;&gt;"-",(H322&amp;"_"&amp;D322&amp;"_"&amp;E322),H322&amp;"_"&amp;D322))</f>
        <v>sampledesign_clustered_tl_abrv</v>
      </c>
      <c r="J322" s="43" t="s">
        <v>5166</v>
      </c>
      <c r="K322" s="39" t="str">
        <f>VLOOKUP(F322,glossary!J:N,5,FALSE)</f>
        <v>Multiple cameras are deployed at a sample station (Figure 3d). A clustered design can be used within a systematic or stratified approach (i.e., systematic clustered design or as a clustered random design [Wearn &amp; Glover-Kapfer, 2017]).</v>
      </c>
      <c r="L322" t="s">
        <v>1513</v>
      </c>
      <c r="M322" s="30" t="str">
        <f t="shared" si="15"/>
        <v>{{ sampledesign_clustered_tl_abrv }}</v>
      </c>
      <c r="N322" t="s">
        <v>896</v>
      </c>
      <c r="O322" s="13" t="s">
        <v>1816</v>
      </c>
      <c r="P322" t="s">
        <v>4582</v>
      </c>
      <c r="Q322" t="str">
        <f t="shared" si="16"/>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2" t="b" cm="1">
        <f t="array" ref="R322">SUMPRODUCT(--EXACT($J$2:$J$490,J322))&gt;1</f>
        <v>0</v>
      </c>
      <c r="S322" t="s">
        <v>4997</v>
      </c>
    </row>
    <row r="323" spans="1:19">
      <c r="A323" s="30">
        <v>3</v>
      </c>
      <c r="B323" s="30" t="s">
        <v>1393</v>
      </c>
      <c r="C323" s="30"/>
      <c r="D323" s="30" t="s">
        <v>1208</v>
      </c>
      <c r="E323" s="30" t="s">
        <v>984</v>
      </c>
      <c r="F323" s="30" t="s">
        <v>224</v>
      </c>
      <c r="G323" s="39" t="str">
        <f>VLOOKUP(F323,glossary!J:N,2,FALSE)</f>
        <v>Clustered design</v>
      </c>
      <c r="H323" s="34" t="s">
        <v>224</v>
      </c>
      <c r="I323" s="45" t="str">
        <f t="shared" si="17"/>
        <v>sampledesign_clustered_tu</v>
      </c>
      <c r="J323" s="42" t="s">
        <v>225</v>
      </c>
      <c r="K323" s="39" t="str">
        <f>VLOOKUP(F323,glossary!J:N,5,FALSE)</f>
        <v>Multiple cameras are deployed at a sample station (Figure 3d). A clustered design can be used within a systematic or stratified approach (i.e., systematic clustered design or as a clustered random design [Wearn &amp; Glover-Kapfer, 2017]).</v>
      </c>
      <c r="L323" t="s">
        <v>1512</v>
      </c>
      <c r="M323" s="30" t="str">
        <f t="shared" si="15"/>
        <v>{{ sampledesign_clustered_tu }}</v>
      </c>
      <c r="N323" t="s">
        <v>896</v>
      </c>
      <c r="O323" s="13" t="s">
        <v>1816</v>
      </c>
      <c r="P323" t="s">
        <v>4582</v>
      </c>
      <c r="Q323" t="str">
        <f t="shared" si="16"/>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3" t="b" cm="1">
        <f t="array" ref="R323">SUMPRODUCT(--EXACT($J$2:$J$490,J323))&gt;1</f>
        <v>0</v>
      </c>
      <c r="S323" t="s">
        <v>4996</v>
      </c>
    </row>
    <row r="324" spans="1:19">
      <c r="A324" s="30">
        <v>3</v>
      </c>
      <c r="B324" s="30" t="s">
        <v>1393</v>
      </c>
      <c r="C324" s="30"/>
      <c r="D324" s="30" t="s">
        <v>1208</v>
      </c>
      <c r="E324" s="30" t="s">
        <v>1752</v>
      </c>
      <c r="F324" s="30" t="s">
        <v>224</v>
      </c>
      <c r="G324" s="39" t="str">
        <f>VLOOKUP(F324,glossary!J:N,2,FALSE)</f>
        <v>Clustered design</v>
      </c>
      <c r="H324" s="34" t="s">
        <v>224</v>
      </c>
      <c r="I324" s="45" t="str">
        <f t="shared" si="17"/>
        <v>sampledesign_clustered_tu_abrv</v>
      </c>
      <c r="J324" s="42" t="s">
        <v>5170</v>
      </c>
      <c r="K324" s="39" t="str">
        <f>VLOOKUP(F324,glossary!J:N,5,FALSE)</f>
        <v>Multiple cameras are deployed at a sample station (Figure 3d). A clustered design can be used within a systematic or stratified approach (i.e., systematic clustered design or as a clustered random design [Wearn &amp; Glover-Kapfer, 2017]).</v>
      </c>
      <c r="L324" t="s">
        <v>1512</v>
      </c>
      <c r="M324" s="30" t="str">
        <f t="shared" si="15"/>
        <v>{{ sampledesign_clustered_tu_abrv }}</v>
      </c>
      <c r="N324" t="s">
        <v>896</v>
      </c>
      <c r="O324" s="13" t="s">
        <v>1816</v>
      </c>
      <c r="P324" t="s">
        <v>4582</v>
      </c>
      <c r="Q324" t="str">
        <f t="shared" si="16"/>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4" t="b" cm="1">
        <f t="array" ref="R324">SUMPRODUCT(--EXACT($J$2:$J$490,J324))&gt;1</f>
        <v>0</v>
      </c>
      <c r="S324" t="s">
        <v>4997</v>
      </c>
    </row>
    <row r="325" spans="1:19">
      <c r="A325" s="30">
        <v>3</v>
      </c>
      <c r="B325" s="30" t="s">
        <v>1393</v>
      </c>
      <c r="C325" s="30"/>
      <c r="D325" s="30" t="s">
        <v>1207</v>
      </c>
      <c r="E325" s="30" t="s">
        <v>984</v>
      </c>
      <c r="F325" s="30" t="s">
        <v>222</v>
      </c>
      <c r="G325" s="39" t="str">
        <f>VLOOKUP(F325,glossary!J:N,2,FALSE)</f>
        <v>Convenience design</v>
      </c>
      <c r="H325" s="34" t="s">
        <v>222</v>
      </c>
      <c r="I325" s="45" t="str">
        <f t="shared" si="17"/>
        <v>sampledesign_convenience_tl</v>
      </c>
      <c r="J325" s="43" t="s">
        <v>909</v>
      </c>
      <c r="K325" s="39" t="str">
        <f>VLOOKUP(F325,glossary!J:N,5,FALSE)</f>
        <v>Camera locations or sample stations are chosen based on logistic considerations (e.g., remoteness, access constraints, and*/or costs).</v>
      </c>
      <c r="L325" t="s">
        <v>1511</v>
      </c>
      <c r="M325" s="30" t="str">
        <f t="shared" si="15"/>
        <v>{{ sampledesign_convenience_tl }}</v>
      </c>
      <c r="N325" t="s">
        <v>896</v>
      </c>
      <c r="O325" s="13" t="s">
        <v>1816</v>
      </c>
      <c r="P325" t="s">
        <v>4582</v>
      </c>
      <c r="Q325" t="str">
        <f t="shared" si="16"/>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5" t="b" cm="1">
        <f t="array" ref="R325">SUMPRODUCT(--EXACT($J$2:$J$490,J325))&gt;1</f>
        <v>0</v>
      </c>
      <c r="S325" t="s">
        <v>4998</v>
      </c>
    </row>
    <row r="326" spans="1:19">
      <c r="A326" s="30">
        <v>3</v>
      </c>
      <c r="B326" s="30" t="s">
        <v>1393</v>
      </c>
      <c r="C326" s="30"/>
      <c r="D326" s="30" t="s">
        <v>1207</v>
      </c>
      <c r="E326" s="30" t="s">
        <v>1755</v>
      </c>
      <c r="F326" s="30" t="s">
        <v>222</v>
      </c>
      <c r="G326" s="39" t="str">
        <f>VLOOKUP(F326,glossary!J:N,2,FALSE)</f>
        <v>Convenience design</v>
      </c>
      <c r="H326" s="34" t="s">
        <v>222</v>
      </c>
      <c r="I326" s="45" t="str">
        <f t="shared" si="17"/>
        <v>sampledesign_convenience_tl_mod</v>
      </c>
      <c r="J326" s="43" t="s">
        <v>5175</v>
      </c>
      <c r="K326" s="39" t="str">
        <f>VLOOKUP(F326,glossary!J:N,5,FALSE)</f>
        <v>Camera locations or sample stations are chosen based on logistic considerations (e.g., remoteness, access constraints, and*/or costs).</v>
      </c>
      <c r="L326" t="s">
        <v>1511</v>
      </c>
      <c r="M326" s="30" t="str">
        <f t="shared" si="15"/>
        <v>{{ sampledesign_convenience_tl_mod }}</v>
      </c>
      <c r="N326" t="s">
        <v>896</v>
      </c>
      <c r="O326" s="13" t="s">
        <v>1816</v>
      </c>
      <c r="P326" t="s">
        <v>4582</v>
      </c>
      <c r="Q326" t="str">
        <f t="shared" si="16"/>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6" t="b" cm="1">
        <f t="array" ref="R326">SUMPRODUCT(--EXACT($J$2:$J$490,J326))&gt;1</f>
        <v>0</v>
      </c>
      <c r="S326" t="s">
        <v>4999</v>
      </c>
    </row>
    <row r="327" spans="1:19">
      <c r="A327" s="30">
        <v>3</v>
      </c>
      <c r="B327" s="30" t="s">
        <v>1393</v>
      </c>
      <c r="C327" s="30"/>
      <c r="D327" s="30" t="s">
        <v>1208</v>
      </c>
      <c r="E327" s="30" t="s">
        <v>984</v>
      </c>
      <c r="F327" s="30" t="s">
        <v>222</v>
      </c>
      <c r="G327" s="39" t="str">
        <f>VLOOKUP(F327,glossary!J:N,2,FALSE)</f>
        <v>Convenience design</v>
      </c>
      <c r="H327" s="34" t="s">
        <v>222</v>
      </c>
      <c r="I327" s="45" t="str">
        <f t="shared" si="17"/>
        <v>sampledesign_convenience_tu</v>
      </c>
      <c r="J327" s="42" t="s">
        <v>223</v>
      </c>
      <c r="K327" s="39" t="str">
        <f>VLOOKUP(F327,glossary!J:N,5,FALSE)</f>
        <v>Camera locations or sample stations are chosen based on logistic considerations (e.g., remoteness, access constraints, and*/or costs).</v>
      </c>
      <c r="L327" t="s">
        <v>1510</v>
      </c>
      <c r="M327" s="30" t="str">
        <f t="shared" si="15"/>
        <v>{{ sampledesign_convenience_tu }}</v>
      </c>
      <c r="N327" t="s">
        <v>896</v>
      </c>
      <c r="O327" s="13" t="s">
        <v>1816</v>
      </c>
      <c r="P327" t="s">
        <v>4582</v>
      </c>
      <c r="Q327" t="str">
        <f t="shared" si="16"/>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7" t="b" cm="1">
        <f t="array" ref="R327">SUMPRODUCT(--EXACT($J$2:$J$490,J327))&gt;1</f>
        <v>0</v>
      </c>
      <c r="S327" t="s">
        <v>4998</v>
      </c>
    </row>
    <row r="328" spans="1:19">
      <c r="A328" s="30">
        <v>3</v>
      </c>
      <c r="B328" s="30" t="s">
        <v>1393</v>
      </c>
      <c r="C328" s="30"/>
      <c r="D328" s="30" t="s">
        <v>1208</v>
      </c>
      <c r="E328" s="30" t="s">
        <v>1755</v>
      </c>
      <c r="F328" s="30" t="s">
        <v>222</v>
      </c>
      <c r="G328" s="39" t="str">
        <f>VLOOKUP(F328,glossary!J:N,2,FALSE)</f>
        <v>Convenience design</v>
      </c>
      <c r="H328" s="34" t="s">
        <v>222</v>
      </c>
      <c r="I328" s="45" t="str">
        <f t="shared" si="17"/>
        <v>sampledesign_convenience_tu_mod</v>
      </c>
      <c r="J328" s="42" t="s">
        <v>5176</v>
      </c>
      <c r="K328" s="39" t="str">
        <f>VLOOKUP(F328,glossary!J:N,5,FALSE)</f>
        <v>Camera locations or sample stations are chosen based on logistic considerations (e.g., remoteness, access constraints, and*/or costs).</v>
      </c>
      <c r="L328" t="s">
        <v>1510</v>
      </c>
      <c r="M328" s="30" t="str">
        <f t="shared" si="15"/>
        <v>{{ sampledesign_convenience_tu_mod }}</v>
      </c>
      <c r="N328" t="s">
        <v>896</v>
      </c>
      <c r="O328" s="13" t="s">
        <v>1816</v>
      </c>
      <c r="P328" t="s">
        <v>4582</v>
      </c>
      <c r="Q328" t="str">
        <f t="shared" si="16"/>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8" t="b" cm="1">
        <f t="array" ref="R328">SUMPRODUCT(--EXACT($J$2:$J$490,J328))&gt;1</f>
        <v>0</v>
      </c>
      <c r="S328" t="s">
        <v>4999</v>
      </c>
    </row>
    <row r="329" spans="1:19">
      <c r="A329" s="30">
        <v>3</v>
      </c>
      <c r="B329" s="30" t="s">
        <v>1393</v>
      </c>
      <c r="C329" s="30"/>
      <c r="D329" s="30" t="s">
        <v>1207</v>
      </c>
      <c r="E329" s="30" t="s">
        <v>984</v>
      </c>
      <c r="F329" s="30" t="s">
        <v>144</v>
      </c>
      <c r="G329" s="39" t="str">
        <f>VLOOKUP(F329,glossary!J:N,2,FALSE)</f>
        <v>Paired design</v>
      </c>
      <c r="H329" s="34" t="s">
        <v>144</v>
      </c>
      <c r="I329" s="45" t="str">
        <f t="shared" si="17"/>
        <v>sampledesign_paired_tl</v>
      </c>
      <c r="J329" s="43" t="s">
        <v>940</v>
      </c>
      <c r="K329" s="39" t="str">
        <f>VLOOKUP(F329,glossary!J:N,5,FALSE)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29" t="s">
        <v>1509</v>
      </c>
      <c r="M329" s="30" t="str">
        <f t="shared" si="15"/>
        <v>{{ sampledesign_paired_tl }}</v>
      </c>
      <c r="N329" t="s">
        <v>896</v>
      </c>
      <c r="O329" s="13" t="s">
        <v>1816</v>
      </c>
      <c r="P329" t="s">
        <v>4582</v>
      </c>
      <c r="Q329" t="str">
        <f t="shared" si="16"/>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29" t="b" cm="1">
        <f t="array" ref="R329">SUMPRODUCT(--EXACT($J$2:$J$490,J329))&gt;1</f>
        <v>0</v>
      </c>
      <c r="S329" t="s">
        <v>5000</v>
      </c>
    </row>
    <row r="330" spans="1:19">
      <c r="A330" s="30">
        <v>3</v>
      </c>
      <c r="B330" s="30" t="s">
        <v>1393</v>
      </c>
      <c r="C330" s="30"/>
      <c r="D330" s="30" t="s">
        <v>1207</v>
      </c>
      <c r="E330" s="30" t="s">
        <v>1752</v>
      </c>
      <c r="F330" s="30" t="s">
        <v>144</v>
      </c>
      <c r="G330" s="39" t="str">
        <f>VLOOKUP(F330,glossary!J:N,2,FALSE)</f>
        <v>Paired design</v>
      </c>
      <c r="H330" s="34" t="s">
        <v>144</v>
      </c>
      <c r="I330" s="45" t="str">
        <f t="shared" si="17"/>
        <v>sampledesign_paired_tl_abrv</v>
      </c>
      <c r="J330" s="43" t="s">
        <v>4491</v>
      </c>
      <c r="K330" s="39" t="str">
        <f>VLOOKUP(F330,glossary!J:N,5,FALSE)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0" t="s">
        <v>1509</v>
      </c>
      <c r="M330" s="30" t="str">
        <f t="shared" si="15"/>
        <v>{{ sampledesign_paired_tl_abrv }}</v>
      </c>
      <c r="N330" t="s">
        <v>896</v>
      </c>
      <c r="O330" s="13" t="s">
        <v>1816</v>
      </c>
      <c r="P330" t="s">
        <v>4582</v>
      </c>
      <c r="Q330" t="str">
        <f t="shared" si="16"/>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0" t="b" cm="1">
        <f t="array" ref="R330">SUMPRODUCT(--EXACT($J$2:$J$490,J330))&gt;1</f>
        <v>0</v>
      </c>
      <c r="S330" t="s">
        <v>5001</v>
      </c>
    </row>
    <row r="331" spans="1:19">
      <c r="A331" s="30">
        <v>3</v>
      </c>
      <c r="B331" s="30" t="s">
        <v>1393</v>
      </c>
      <c r="C331" s="30"/>
      <c r="D331" s="30" t="s">
        <v>1208</v>
      </c>
      <c r="E331" s="30" t="s">
        <v>984</v>
      </c>
      <c r="F331" s="30" t="s">
        <v>144</v>
      </c>
      <c r="G331" s="39" t="str">
        <f>VLOOKUP(F331,glossary!J:N,2,FALSE)</f>
        <v>Paired design</v>
      </c>
      <c r="H331" s="34" t="s">
        <v>144</v>
      </c>
      <c r="I331" s="45" t="str">
        <f t="shared" si="17"/>
        <v>sampledesign_paired_tu</v>
      </c>
      <c r="J331" s="42" t="s">
        <v>145</v>
      </c>
      <c r="K331" s="39" t="str">
        <f>VLOOKUP(F331,glossary!J:N,5,FALSE)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1" t="s">
        <v>1508</v>
      </c>
      <c r="M331" s="30" t="str">
        <f t="shared" si="15"/>
        <v>{{ sampledesign_paired_tu }}</v>
      </c>
      <c r="N331" t="s">
        <v>896</v>
      </c>
      <c r="O331" s="13" t="s">
        <v>1816</v>
      </c>
      <c r="P331" t="s">
        <v>4582</v>
      </c>
      <c r="Q331" t="str">
        <f t="shared" si="16"/>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1" t="b" cm="1">
        <f t="array" ref="R331">SUMPRODUCT(--EXACT($J$2:$J$490,J331))&gt;1</f>
        <v>0</v>
      </c>
      <c r="S331" t="s">
        <v>5002</v>
      </c>
    </row>
    <row r="332" spans="1:19">
      <c r="A332" s="30">
        <v>3</v>
      </c>
      <c r="B332" s="30" t="s">
        <v>1393</v>
      </c>
      <c r="C332" s="30"/>
      <c r="D332" s="30" t="s">
        <v>1208</v>
      </c>
      <c r="E332" s="30" t="s">
        <v>1752</v>
      </c>
      <c r="F332" s="30" t="s">
        <v>144</v>
      </c>
      <c r="G332" s="39" t="str">
        <f>VLOOKUP(F332,glossary!J:N,2,FALSE)</f>
        <v>Paired design</v>
      </c>
      <c r="H332" s="34" t="s">
        <v>144</v>
      </c>
      <c r="I332" s="45" t="str">
        <f t="shared" si="17"/>
        <v>sampledesign_paired_tu_abrv</v>
      </c>
      <c r="J332" s="42" t="s">
        <v>4492</v>
      </c>
      <c r="K332" s="39" t="str">
        <f>VLOOKUP(F332,glossary!J:N,5,FALSE)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2" t="s">
        <v>1508</v>
      </c>
      <c r="M332" s="30" t="str">
        <f t="shared" si="15"/>
        <v>{{ sampledesign_paired_tu_abrv }}</v>
      </c>
      <c r="N332" t="s">
        <v>896</v>
      </c>
      <c r="O332" s="13" t="s">
        <v>1816</v>
      </c>
      <c r="P332" t="s">
        <v>4582</v>
      </c>
      <c r="Q332" t="str">
        <f t="shared" si="16"/>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2" t="b" cm="1">
        <f t="array" ref="R332">SUMPRODUCT(--EXACT($J$2:$J$490,J332))&gt;1</f>
        <v>0</v>
      </c>
      <c r="S332" t="s">
        <v>5003</v>
      </c>
    </row>
    <row r="333" spans="1:19">
      <c r="A333" s="30">
        <v>1</v>
      </c>
      <c r="B333" s="30" t="s">
        <v>1064</v>
      </c>
      <c r="C333" s="30"/>
      <c r="D333" s="30" t="s">
        <v>1207</v>
      </c>
      <c r="E333" s="30" t="s">
        <v>1752</v>
      </c>
      <c r="F333" s="30" t="s">
        <v>134</v>
      </c>
      <c r="G333" s="39" t="str">
        <f>VLOOKUP(F333,glossary!J:N,2,FALSE)</f>
        <v>Random (or 'simple random') design</v>
      </c>
      <c r="H333" s="30" t="s">
        <v>134</v>
      </c>
      <c r="I333" s="45" t="str">
        <f t="shared" si="17"/>
        <v>sampledesign_random_tl_abrv</v>
      </c>
      <c r="J333" s="39" t="s">
        <v>1379</v>
      </c>
      <c r="K333" s="39" t="str">
        <f>VLOOKUP(F333,glossary!J:N,5,FALSE)</f>
        <v>Cameras occur at randomized camera locations (or sample stations) across the area of interest, sometimes with a predetermined minimum distance between camera locations (or sample stations).</v>
      </c>
      <c r="L333" s="31" t="s">
        <v>1380</v>
      </c>
      <c r="M333" s="30" t="str">
        <f t="shared" si="15"/>
        <v>{{ sampledesign_random_tl_abrv }}</v>
      </c>
      <c r="N333" t="s">
        <v>896</v>
      </c>
      <c r="O333" s="13" t="s">
        <v>1816</v>
      </c>
      <c r="P333" t="s">
        <v>4582</v>
      </c>
      <c r="Q333" t="str">
        <f t="shared" si="16"/>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3" t="b" cm="1">
        <f t="array" ref="R333">SUMPRODUCT(--EXACT($J$2:$J$490,J333))&gt;1</f>
        <v>1</v>
      </c>
      <c r="S333" t="s">
        <v>5004</v>
      </c>
    </row>
    <row r="334" spans="1:19">
      <c r="A334" s="30">
        <v>1</v>
      </c>
      <c r="B334" s="30" t="s">
        <v>1064</v>
      </c>
      <c r="C334" s="30" t="s">
        <v>429</v>
      </c>
      <c r="D334" s="30" t="s">
        <v>1207</v>
      </c>
      <c r="E334" s="30" t="s">
        <v>1753</v>
      </c>
      <c r="F334" s="30" t="s">
        <v>134</v>
      </c>
      <c r="G334" s="39" t="str">
        <f>VLOOKUP(F334,glossary!J:N,2,FALSE)</f>
        <v>Random (or 'simple random') design</v>
      </c>
      <c r="H334" s="30" t="s">
        <v>134</v>
      </c>
      <c r="I334" s="45" t="str">
        <f t="shared" si="17"/>
        <v>sampledesign_random_tl_abrv2</v>
      </c>
      <c r="J334" s="39" t="s">
        <v>1198</v>
      </c>
      <c r="K334" s="39" t="str">
        <f>VLOOKUP(F334,glossary!J:N,5,FALSE)</f>
        <v>Cameras occur at randomized camera locations (or sample stations) across the area of interest, sometimes with a predetermined minimum distance between camera locations (or sample stations).</v>
      </c>
      <c r="L334" s="30" t="s">
        <v>1127</v>
      </c>
      <c r="M334" s="30" t="str">
        <f t="shared" si="15"/>
        <v>{{ sampledesign_random_tl_abrv2 }}</v>
      </c>
      <c r="N334" t="s">
        <v>896</v>
      </c>
      <c r="O334" s="13" t="s">
        <v>1816</v>
      </c>
      <c r="P334" t="s">
        <v>4582</v>
      </c>
      <c r="Q334" t="str">
        <f t="shared" si="16"/>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4" t="b" cm="1">
        <f t="array" ref="R334">SUMPRODUCT(--EXACT($J$2:$J$490,J334))&gt;1</f>
        <v>0</v>
      </c>
      <c r="S334" t="s">
        <v>5005</v>
      </c>
    </row>
    <row r="335" spans="1:19">
      <c r="A335" s="30">
        <v>1</v>
      </c>
      <c r="B335" s="30" t="s">
        <v>1064</v>
      </c>
      <c r="C335" s="30" t="s">
        <v>429</v>
      </c>
      <c r="D335" s="30" t="s">
        <v>1207</v>
      </c>
      <c r="E335" s="30" t="s">
        <v>5169</v>
      </c>
      <c r="F335" s="30" t="s">
        <v>134</v>
      </c>
      <c r="G335" s="39" t="str">
        <f>VLOOKUP(F335,glossary!J:N,2,FALSE)</f>
        <v>Random (or 'simple random') design</v>
      </c>
      <c r="H335" s="30" t="s">
        <v>134</v>
      </c>
      <c r="I335" s="45" t="str">
        <f t="shared" si="17"/>
        <v>sampledesign_random_tl_abrv3</v>
      </c>
      <c r="J335" s="39" t="s">
        <v>5168</v>
      </c>
      <c r="K335" s="39" t="str">
        <f>VLOOKUP(F335,glossary!J:N,5,FALSE)</f>
        <v>Cameras occur at randomized camera locations (or sample stations) across the area of interest, sometimes with a predetermined minimum distance between camera locations (or sample stations).</v>
      </c>
      <c r="L335" s="30" t="s">
        <v>1127</v>
      </c>
      <c r="M335" s="30" t="str">
        <f t="shared" si="15"/>
        <v>{{ sampledesign_random_tl_abrv3 }}</v>
      </c>
      <c r="N335" t="s">
        <v>896</v>
      </c>
      <c r="O335" s="13" t="s">
        <v>1816</v>
      </c>
      <c r="P335" t="s">
        <v>4582</v>
      </c>
      <c r="Q335" t="str">
        <f t="shared" si="16"/>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335" t="b" cm="1">
        <f t="array" ref="R335">SUMPRODUCT(--EXACT($J$2:$J$490,J335))&gt;1</f>
        <v>0</v>
      </c>
      <c r="S335" t="s">
        <v>5005</v>
      </c>
    </row>
    <row r="336" spans="1:19">
      <c r="A336" s="30">
        <v>1</v>
      </c>
      <c r="B336" s="30" t="s">
        <v>1064</v>
      </c>
      <c r="C336" s="30"/>
      <c r="D336" s="30" t="s">
        <v>1207</v>
      </c>
      <c r="E336" s="30" t="s">
        <v>1755</v>
      </c>
      <c r="F336" s="30" t="s">
        <v>134</v>
      </c>
      <c r="G336" s="39" t="str">
        <f>VLOOKUP(F336,glossary!J:N,2,FALSE)</f>
        <v>Random (or 'simple random') design</v>
      </c>
      <c r="H336" s="30" t="s">
        <v>134</v>
      </c>
      <c r="I336" s="45" t="str">
        <f t="shared" si="17"/>
        <v>sampledesign_random_tl_mod</v>
      </c>
      <c r="J336" s="39" t="s">
        <v>1716</v>
      </c>
      <c r="K336" s="39" t="str">
        <f>VLOOKUP(F336,glossary!J:N,5,FALSE)</f>
        <v>Cameras occur at randomized camera locations (or sample stations) across the area of interest, sometimes with a predetermined minimum distance between camera locations (or sample stations).</v>
      </c>
      <c r="L336" s="41" t="s">
        <v>1717</v>
      </c>
      <c r="M336" s="30" t="str">
        <f t="shared" si="15"/>
        <v>{{ sampledesign_random_tl_mod }}</v>
      </c>
      <c r="N336" t="s">
        <v>896</v>
      </c>
      <c r="O336" s="13" t="s">
        <v>1816</v>
      </c>
      <c r="P336" t="s">
        <v>4582</v>
      </c>
      <c r="Q336" t="str">
        <f t="shared" si="16"/>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336" t="b" cm="1">
        <f t="array" ref="R336">SUMPRODUCT(--EXACT($J$2:$J$490,J336))&gt;1</f>
        <v>0</v>
      </c>
      <c r="S336" t="s">
        <v>5006</v>
      </c>
    </row>
    <row r="337" spans="1:19">
      <c r="A337" s="30">
        <v>1</v>
      </c>
      <c r="B337" s="30" t="s">
        <v>1064</v>
      </c>
      <c r="C337" s="30"/>
      <c r="D337" s="30" t="s">
        <v>1207</v>
      </c>
      <c r="E337" s="30" t="s">
        <v>1757</v>
      </c>
      <c r="F337" s="30" t="s">
        <v>134</v>
      </c>
      <c r="G337" s="39" t="str">
        <f>VLOOKUP(F337,glossary!J:N,2,FALSE)</f>
        <v>Random (or 'simple random') design</v>
      </c>
      <c r="H337" s="30" t="s">
        <v>134</v>
      </c>
      <c r="I337" s="45" t="str">
        <f t="shared" si="17"/>
        <v>sampledesign_random_tl_nu</v>
      </c>
      <c r="J337" s="39" t="s">
        <v>1379</v>
      </c>
      <c r="K337" s="39" t="str">
        <f>VLOOKUP(F337,glossary!J:N,5,FALSE)</f>
        <v>Cameras occur at randomized camera locations (or sample stations) across the area of interest, sometimes with a predetermined minimum distance between camera locations (or sample stations).</v>
      </c>
      <c r="L337" s="30" t="s">
        <v>1380</v>
      </c>
      <c r="M337" s="30" t="str">
        <f t="shared" si="15"/>
        <v>{{ sampledesign_random_tl_nu }}</v>
      </c>
      <c r="N337" t="s">
        <v>896</v>
      </c>
      <c r="O337" s="13" t="s">
        <v>1816</v>
      </c>
      <c r="P337" t="s">
        <v>4582</v>
      </c>
      <c r="Q337" t="str">
        <f t="shared" si="16"/>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7" t="b" cm="1">
        <f t="array" ref="R337">SUMPRODUCT(--EXACT($J$2:$J$490,J337))&gt;1</f>
        <v>1</v>
      </c>
      <c r="S337" t="s">
        <v>5007</v>
      </c>
    </row>
    <row r="338" spans="1:19">
      <c r="A338" s="30">
        <v>3</v>
      </c>
      <c r="B338" s="30" t="s">
        <v>1393</v>
      </c>
      <c r="C338" s="30"/>
      <c r="D338" s="30" t="s">
        <v>1207</v>
      </c>
      <c r="E338" s="30" t="s">
        <v>1763</v>
      </c>
      <c r="F338" s="30" t="s">
        <v>134</v>
      </c>
      <c r="G338" s="39" t="str">
        <f>VLOOKUP(F338,glossary!J:N,2,FALSE)</f>
        <v>Random (or 'simple random') design</v>
      </c>
      <c r="H338" s="34" t="s">
        <v>134</v>
      </c>
      <c r="I338" s="45" t="str">
        <f t="shared" si="17"/>
        <v>sampledesign_random_tl_or</v>
      </c>
      <c r="J338" s="43" t="s">
        <v>943</v>
      </c>
      <c r="K338" s="39" t="str">
        <f>VLOOKUP(F338,glossary!J:N,5,FALSE)</f>
        <v>Cameras occur at randomized camera locations (or sample stations) across the area of interest, sometimes with a predetermined minimum distance between camera locations (or sample stations).</v>
      </c>
      <c r="L338" t="s">
        <v>1507</v>
      </c>
      <c r="M338" s="30" t="str">
        <f t="shared" si="15"/>
        <v>{{ sampledesign_random_tl_or }}</v>
      </c>
      <c r="N338" t="s">
        <v>896</v>
      </c>
      <c r="O338" s="13" t="s">
        <v>1816</v>
      </c>
      <c r="P338" t="s">
        <v>4582</v>
      </c>
      <c r="Q338" t="str">
        <f t="shared" si="16"/>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38" t="b" cm="1">
        <f t="array" ref="R338">SUMPRODUCT(--EXACT($J$2:$J$490,J338))&gt;1</f>
        <v>0</v>
      </c>
      <c r="S338" t="s">
        <v>5008</v>
      </c>
    </row>
    <row r="339" spans="1:19">
      <c r="A339" s="30">
        <v>1</v>
      </c>
      <c r="B339" s="30" t="s">
        <v>1064</v>
      </c>
      <c r="C339" s="30" t="s">
        <v>0</v>
      </c>
      <c r="D339" s="30" t="s">
        <v>1208</v>
      </c>
      <c r="E339" s="30" t="s">
        <v>1752</v>
      </c>
      <c r="F339" s="30" t="s">
        <v>134</v>
      </c>
      <c r="G339" s="39" t="str">
        <f>VLOOKUP(F339,glossary!J:N,2,FALSE)</f>
        <v>Random (or 'simple random') design</v>
      </c>
      <c r="H339" s="30" t="s">
        <v>134</v>
      </c>
      <c r="I339" s="45" t="str">
        <f t="shared" si="17"/>
        <v>sampledesign_random_tu_abrv</v>
      </c>
      <c r="J339" s="39" t="s">
        <v>1199</v>
      </c>
      <c r="K339" s="39" t="str">
        <f>VLOOKUP(F339,glossary!J:N,5,FALSE)</f>
        <v>Cameras occur at randomized camera locations (or sample stations) across the area of interest, sometimes with a predetermined minimum distance between camera locations (or sample stations).</v>
      </c>
      <c r="L339" s="30" t="s">
        <v>1126</v>
      </c>
      <c r="M339" s="30" t="str">
        <f t="shared" si="15"/>
        <v>{{ sampledesign_random_tu_abrv }}</v>
      </c>
      <c r="N339" t="s">
        <v>896</v>
      </c>
      <c r="O339" s="13" t="s">
        <v>1816</v>
      </c>
      <c r="P339" t="s">
        <v>4582</v>
      </c>
      <c r="Q339" t="str">
        <f t="shared" si="16"/>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9" t="b" cm="1">
        <f t="array" ref="R339">SUMPRODUCT(--EXACT($J$2:$J$490,J339))&gt;1</f>
        <v>0</v>
      </c>
      <c r="S339" t="s">
        <v>5009</v>
      </c>
    </row>
    <row r="340" spans="1:19">
      <c r="A340" s="30">
        <v>1</v>
      </c>
      <c r="B340" s="30" t="s">
        <v>1064</v>
      </c>
      <c r="C340" s="30" t="s">
        <v>0</v>
      </c>
      <c r="D340" s="35" t="s">
        <v>1208</v>
      </c>
      <c r="E340" s="30" t="s">
        <v>1757</v>
      </c>
      <c r="F340" s="30" t="s">
        <v>134</v>
      </c>
      <c r="G340" s="39" t="str">
        <f>VLOOKUP(F340,glossary!J:N,2,FALSE)</f>
        <v>Random (or 'simple random') design</v>
      </c>
      <c r="H340" s="35" t="s">
        <v>134</v>
      </c>
      <c r="I340" s="45" t="str">
        <f t="shared" si="17"/>
        <v>sampledesign_random_tu_nu</v>
      </c>
      <c r="J340" s="39" t="s">
        <v>1074</v>
      </c>
      <c r="K340" s="39" t="str">
        <f>VLOOKUP(F340,glossary!J:N,5,FALSE)</f>
        <v>Cameras occur at randomized camera locations (or sample stations) across the area of interest, sometimes with a predetermined minimum distance between camera locations (or sample stations).</v>
      </c>
      <c r="L340" s="35" t="s">
        <v>1099</v>
      </c>
      <c r="M340" s="30" t="str">
        <f t="shared" si="15"/>
        <v>{{ sampledesign_random_tu_nu }}</v>
      </c>
      <c r="N340" t="s">
        <v>896</v>
      </c>
      <c r="O340" s="13" t="s">
        <v>1816</v>
      </c>
      <c r="P340" t="s">
        <v>4582</v>
      </c>
      <c r="Q340" t="str">
        <f t="shared" si="16"/>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40" t="b" cm="1">
        <f t="array" ref="R340">SUMPRODUCT(--EXACT($J$2:$J$490,J340))&gt;1</f>
        <v>0</v>
      </c>
      <c r="S340" t="s">
        <v>5010</v>
      </c>
    </row>
    <row r="341" spans="1:19">
      <c r="A341" s="30">
        <v>3</v>
      </c>
      <c r="B341" s="30" t="s">
        <v>1393</v>
      </c>
      <c r="C341" s="30"/>
      <c r="D341" s="30" t="s">
        <v>1208</v>
      </c>
      <c r="E341" s="30" t="s">
        <v>1763</v>
      </c>
      <c r="F341" s="30" t="s">
        <v>134</v>
      </c>
      <c r="G341" s="39" t="str">
        <f>VLOOKUP(F341,glossary!J:N,2,FALSE)</f>
        <v>Random (or 'simple random') design</v>
      </c>
      <c r="H341" s="34" t="s">
        <v>134</v>
      </c>
      <c r="I341" s="45" t="str">
        <f t="shared" si="17"/>
        <v>sampledesign_random_tu_or</v>
      </c>
      <c r="J341" s="42" t="s">
        <v>456</v>
      </c>
      <c r="K341" s="39" t="str">
        <f>VLOOKUP(F341,glossary!J:N,5,FALSE)</f>
        <v>Cameras occur at randomized camera locations (or sample stations) across the area of interest, sometimes with a predetermined minimum distance between camera locations (or sample stations).</v>
      </c>
      <c r="L341" t="s">
        <v>1506</v>
      </c>
      <c r="M341" s="30" t="str">
        <f t="shared" si="15"/>
        <v>{{ sampledesign_random_tu_or }}</v>
      </c>
      <c r="N341" t="s">
        <v>896</v>
      </c>
      <c r="O341" s="13" t="s">
        <v>1816</v>
      </c>
      <c r="P341" t="s">
        <v>4582</v>
      </c>
      <c r="Q341" t="str">
        <f t="shared" si="16"/>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41" t="b" cm="1">
        <f t="array" ref="R341">SUMPRODUCT(--EXACT($J$2:$J$490,J341))&gt;1</f>
        <v>0</v>
      </c>
      <c r="S341" t="s">
        <v>5011</v>
      </c>
    </row>
    <row r="342" spans="1:19" ht="16.5" customHeight="1">
      <c r="A342" s="30">
        <v>3</v>
      </c>
      <c r="B342" s="30" t="s">
        <v>1393</v>
      </c>
      <c r="C342" s="30"/>
      <c r="D342" s="30" t="s">
        <v>1207</v>
      </c>
      <c r="E342" s="30" t="s">
        <v>984</v>
      </c>
      <c r="F342" s="30" t="s">
        <v>99</v>
      </c>
      <c r="G342" s="39" t="str">
        <f>VLOOKUP(F342,glossary!J:N,2,FALSE)</f>
        <v>Stratified design</v>
      </c>
      <c r="H342" s="34" t="s">
        <v>99</v>
      </c>
      <c r="I342" s="45" t="str">
        <f t="shared" si="17"/>
        <v>sampledesign_stratified_tl</v>
      </c>
      <c r="J342" s="43" t="s">
        <v>955</v>
      </c>
      <c r="K342" s="39" t="str">
        <f>VLOOKUP(F342,glossary!J:N,5,FALSE)</f>
        <v>The area of interest is divided into smaller strata (e.g., habitat type, disturbance levels), and cameras are placed within each stratum (e.g., 15%, 35% and 50% of sites within high, medium, and low disturbance strata).</v>
      </c>
      <c r="L342" t="s">
        <v>1505</v>
      </c>
      <c r="M342" s="30" t="str">
        <f t="shared" si="15"/>
        <v>{{ sampledesign_stratified_tl }}</v>
      </c>
      <c r="N342" t="s">
        <v>896</v>
      </c>
      <c r="O342" s="13" t="s">
        <v>1816</v>
      </c>
      <c r="P342" t="s">
        <v>4582</v>
      </c>
      <c r="Q342" t="str">
        <f t="shared" si="16"/>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2" t="b" cm="1">
        <f t="array" ref="R342">SUMPRODUCT(--EXACT($J$2:$J$490,J342))&gt;1</f>
        <v>0</v>
      </c>
      <c r="S342" t="s">
        <v>5012</v>
      </c>
    </row>
    <row r="343" spans="1:19">
      <c r="A343" s="30">
        <v>3</v>
      </c>
      <c r="B343" s="30" t="s">
        <v>1393</v>
      </c>
      <c r="C343" s="30"/>
      <c r="D343" s="30" t="s">
        <v>1207</v>
      </c>
      <c r="E343" s="30" t="s">
        <v>1752</v>
      </c>
      <c r="F343" s="30" t="s">
        <v>99</v>
      </c>
      <c r="G343" s="39" t="str">
        <f>VLOOKUP(F343,glossary!J:N,2,FALSE)</f>
        <v>Stratified design</v>
      </c>
      <c r="H343" s="34" t="s">
        <v>99</v>
      </c>
      <c r="I343" s="30" t="str">
        <f t="shared" si="17"/>
        <v>sampledesign_stratified_tl_abrv</v>
      </c>
      <c r="J343" s="43" t="s">
        <v>4495</v>
      </c>
      <c r="K343" s="39" t="str">
        <f>VLOOKUP(F343,glossary!J:N,5,FALSE)</f>
        <v>The area of interest is divided into smaller strata (e.g., habitat type, disturbance levels), and cameras are placed within each stratum (e.g., 15%, 35% and 50% of sites within high, medium, and low disturbance strata).</v>
      </c>
      <c r="L343" t="s">
        <v>1505</v>
      </c>
      <c r="M343" s="30" t="str">
        <f t="shared" si="15"/>
        <v>{{ sampledesign_stratified_tl_abrv }}</v>
      </c>
      <c r="N343" t="s">
        <v>896</v>
      </c>
      <c r="O343" s="13" t="s">
        <v>1816</v>
      </c>
      <c r="P343" t="s">
        <v>4582</v>
      </c>
      <c r="Q343" t="str">
        <f t="shared" si="16"/>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3" t="b" cm="1">
        <f t="array" ref="R343">SUMPRODUCT(--EXACT($J$2:$J$490,J343))&gt;1</f>
        <v>0</v>
      </c>
      <c r="S343" t="s">
        <v>5013</v>
      </c>
    </row>
    <row r="344" spans="1:19">
      <c r="A344" s="30">
        <v>3</v>
      </c>
      <c r="B344" s="30" t="s">
        <v>1393</v>
      </c>
      <c r="C344" s="30"/>
      <c r="D344" s="30" t="s">
        <v>1208</v>
      </c>
      <c r="E344" s="30" t="s">
        <v>984</v>
      </c>
      <c r="F344" s="30" t="s">
        <v>99</v>
      </c>
      <c r="G344" s="39" t="str">
        <f>VLOOKUP(F344,glossary!J:N,2,FALSE)</f>
        <v>Stratified design</v>
      </c>
      <c r="H344" s="34" t="s">
        <v>99</v>
      </c>
      <c r="I344" s="45" t="str">
        <f t="shared" si="17"/>
        <v>sampledesign_stratified_tu</v>
      </c>
      <c r="J344" s="42" t="s">
        <v>101</v>
      </c>
      <c r="K344" s="39" t="str">
        <f>VLOOKUP(F344,glossary!J:N,5,FALSE)</f>
        <v>The area of interest is divided into smaller strata (e.g., habitat type, disturbance levels), and cameras are placed within each stratum (e.g., 15%, 35% and 50% of sites within high, medium, and low disturbance strata).</v>
      </c>
      <c r="L344" t="s">
        <v>1504</v>
      </c>
      <c r="M344" s="30" t="str">
        <f t="shared" si="15"/>
        <v>{{ sampledesign_stratified_tu }}</v>
      </c>
      <c r="N344" t="s">
        <v>896</v>
      </c>
      <c r="O344" s="13" t="s">
        <v>1816</v>
      </c>
      <c r="P344" t="s">
        <v>4582</v>
      </c>
      <c r="Q344" t="str">
        <f t="shared" si="16"/>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4" t="b" cm="1">
        <f t="array" ref="R344">SUMPRODUCT(--EXACT($J$2:$J$490,J344))&gt;1</f>
        <v>0</v>
      </c>
      <c r="S344" t="s">
        <v>5014</v>
      </c>
    </row>
    <row r="345" spans="1:19">
      <c r="A345" s="30">
        <v>3</v>
      </c>
      <c r="B345" s="30" t="s">
        <v>1393</v>
      </c>
      <c r="C345" s="30"/>
      <c r="D345" s="30" t="s">
        <v>1208</v>
      </c>
      <c r="E345" s="30" t="s">
        <v>1752</v>
      </c>
      <c r="F345" s="30" t="s">
        <v>99</v>
      </c>
      <c r="G345" s="39" t="str">
        <f>VLOOKUP(F345,glossary!J:N,2,FALSE)</f>
        <v>Stratified design</v>
      </c>
      <c r="H345" s="34" t="s">
        <v>99</v>
      </c>
      <c r="I345" s="30" t="str">
        <f t="shared" si="17"/>
        <v>sampledesign_stratified_tu_abrv</v>
      </c>
      <c r="J345" s="42" t="s">
        <v>4496</v>
      </c>
      <c r="K345" s="39" t="str">
        <f>VLOOKUP(F345,glossary!J:N,5,FALSE)</f>
        <v>The area of interest is divided into smaller strata (e.g., habitat type, disturbance levels), and cameras are placed within each stratum (e.g., 15%, 35% and 50% of sites within high, medium, and low disturbance strata).</v>
      </c>
      <c r="L345" t="s">
        <v>1504</v>
      </c>
      <c r="M345" s="30" t="str">
        <f t="shared" si="15"/>
        <v>{{ sampledesign_stratified_tu_abrv }}</v>
      </c>
      <c r="N345" t="s">
        <v>896</v>
      </c>
      <c r="O345" s="13" t="s">
        <v>1816</v>
      </c>
      <c r="P345" t="s">
        <v>4582</v>
      </c>
      <c r="Q345" t="str">
        <f t="shared" si="16"/>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5" t="b" cm="1">
        <f t="array" ref="R345">SUMPRODUCT(--EXACT($J$2:$J$490,J345))&gt;1</f>
        <v>0</v>
      </c>
      <c r="S345" t="s">
        <v>5015</v>
      </c>
    </row>
    <row r="346" spans="1:19">
      <c r="A346" s="30">
        <v>3</v>
      </c>
      <c r="B346" s="30" t="s">
        <v>1393</v>
      </c>
      <c r="C346" s="30"/>
      <c r="D346" s="30" t="s">
        <v>1207</v>
      </c>
      <c r="E346" s="30" t="s">
        <v>984</v>
      </c>
      <c r="F346" s="30" t="s">
        <v>96</v>
      </c>
      <c r="G346" s="39" t="str">
        <f>VLOOKUP(F346,glossary!J:N,2,FALSE)</f>
        <v xml:space="preserve">Stratified random design </v>
      </c>
      <c r="H346" s="34" t="s">
        <v>96</v>
      </c>
      <c r="I346" s="45" t="str">
        <f t="shared" si="17"/>
        <v>sampledesign_stratified_random_tl</v>
      </c>
      <c r="J346" s="43" t="s">
        <v>956</v>
      </c>
      <c r="K346" s="39" t="str">
        <f>VLOOKUP(F346,glossary!J:N,5,FALSE)</f>
        <v>The area of interest is divided into smaller strata (e.g., habitat type, disturbance levels), and then a proportional random sample of sites is selected within each stratum (e.g., 15%, 35% and 50% of sites within high, medium and low disturbance strata).</v>
      </c>
      <c r="L346" t="s">
        <v>1767</v>
      </c>
      <c r="M346" s="30" t="str">
        <f t="shared" si="15"/>
        <v>{{ sampledesign_stratified_random_tl }}</v>
      </c>
      <c r="N346" t="s">
        <v>896</v>
      </c>
      <c r="O346" s="13" t="s">
        <v>1816</v>
      </c>
      <c r="P346" t="s">
        <v>4582</v>
      </c>
      <c r="Q346" t="str">
        <f t="shared" si="16"/>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6" t="b" cm="1">
        <f t="array" ref="R346">SUMPRODUCT(--EXACT($J$2:$J$490,J346))&gt;1</f>
        <v>0</v>
      </c>
      <c r="S346" t="s">
        <v>5016</v>
      </c>
    </row>
    <row r="347" spans="1:19">
      <c r="A347" s="30">
        <v>3</v>
      </c>
      <c r="B347" s="30" t="s">
        <v>1393</v>
      </c>
      <c r="C347" s="30"/>
      <c r="D347" s="30" t="s">
        <v>1207</v>
      </c>
      <c r="E347" s="30" t="s">
        <v>1752</v>
      </c>
      <c r="F347" s="30" t="s">
        <v>96</v>
      </c>
      <c r="G347" s="39" t="str">
        <f>VLOOKUP(F347,glossary!J:N,2,FALSE)</f>
        <v xml:space="preserve">Stratified random design </v>
      </c>
      <c r="H347" s="34" t="s">
        <v>96</v>
      </c>
      <c r="I347" s="30" t="str">
        <f t="shared" si="17"/>
        <v>sampledesign_stratified_random_tl_abrv</v>
      </c>
      <c r="J347" s="43" t="s">
        <v>4493</v>
      </c>
      <c r="K347" s="39" t="str">
        <f>VLOOKUP(F347,glossary!J:N,5,FALSE)</f>
        <v>The area of interest is divided into smaller strata (e.g., habitat type, disturbance levels), and then a proportional random sample of sites is selected within each stratum (e.g., 15%, 35% and 50% of sites within high, medium and low disturbance strata).</v>
      </c>
      <c r="L347" t="s">
        <v>1767</v>
      </c>
      <c r="M347" s="30" t="str">
        <f t="shared" si="15"/>
        <v>{{ sampledesign_stratified_random_tl_abrv }}</v>
      </c>
      <c r="N347" t="s">
        <v>896</v>
      </c>
      <c r="O347" s="13" t="s">
        <v>1816</v>
      </c>
      <c r="P347" t="s">
        <v>4582</v>
      </c>
      <c r="Q347" t="str">
        <f t="shared" si="16"/>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7" t="b" cm="1">
        <f t="array" ref="R347">SUMPRODUCT(--EXACT($J$2:$J$490,J347))&gt;1</f>
        <v>0</v>
      </c>
      <c r="S347" t="s">
        <v>5017</v>
      </c>
    </row>
    <row r="348" spans="1:19">
      <c r="A348" s="30">
        <v>3</v>
      </c>
      <c r="B348" s="30" t="s">
        <v>1393</v>
      </c>
      <c r="C348" s="30"/>
      <c r="D348" s="30" t="s">
        <v>1208</v>
      </c>
      <c r="E348" s="30" t="s">
        <v>984</v>
      </c>
      <c r="F348" s="30" t="s">
        <v>96</v>
      </c>
      <c r="G348" s="39" t="str">
        <f>VLOOKUP(F348,glossary!J:N,2,FALSE)</f>
        <v xml:space="preserve">Stratified random design </v>
      </c>
      <c r="H348" s="34" t="s">
        <v>96</v>
      </c>
      <c r="I348" s="45" t="str">
        <f t="shared" si="17"/>
        <v>sampledesign_stratified_random_tu</v>
      </c>
      <c r="J348" s="42" t="s">
        <v>98</v>
      </c>
      <c r="K348" s="39" t="str">
        <f>VLOOKUP(F348,glossary!J:N,5,FALSE)</f>
        <v>The area of interest is divided into smaller strata (e.g., habitat type, disturbance levels), and then a proportional random sample of sites is selected within each stratum (e.g., 15%, 35% and 50% of sites within high, medium and low disturbance strata).</v>
      </c>
      <c r="L348" t="s">
        <v>1768</v>
      </c>
      <c r="M348" s="30" t="str">
        <f t="shared" ref="M348:M379" si="18">"{{ "&amp;I348&amp;" }}"</f>
        <v>{{ sampledesign_stratified_random_tu }}</v>
      </c>
      <c r="N348" t="s">
        <v>896</v>
      </c>
      <c r="O348" s="13" t="s">
        <v>1816</v>
      </c>
      <c r="P348" t="s">
        <v>4582</v>
      </c>
      <c r="Q348" t="str">
        <f t="shared" ref="Q348:Q379" si="19">IF(K348&lt;&gt;"-",("    "&amp;I348&amp;": "&amp;""""&amp;"&lt;a href=\"&amp;""""&amp;"09_glossary.html#"&amp;H348&amp;N348&amp;G348&amp;": "&amp;K348&amp;O348&amp;J348&amp;P348&amp;""""),"-")</f>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8" t="b" cm="1">
        <f t="array" ref="R348">SUMPRODUCT(--EXACT($J$2:$J$490,J348))&gt;1</f>
        <v>0</v>
      </c>
      <c r="S348" t="s">
        <v>5018</v>
      </c>
    </row>
    <row r="349" spans="1:19">
      <c r="A349" s="30">
        <v>3</v>
      </c>
      <c r="B349" s="30" t="s">
        <v>1393</v>
      </c>
      <c r="C349" s="30"/>
      <c r="D349" s="30" t="s">
        <v>1208</v>
      </c>
      <c r="E349" s="30" t="s">
        <v>1752</v>
      </c>
      <c r="F349" s="30" t="s">
        <v>96</v>
      </c>
      <c r="G349" s="39" t="str">
        <f>VLOOKUP(F349,glossary!J:N,2,FALSE)</f>
        <v xml:space="preserve">Stratified random design </v>
      </c>
      <c r="H349" s="34" t="s">
        <v>96</v>
      </c>
      <c r="I349" s="30" t="str">
        <f t="shared" si="17"/>
        <v>sampledesign_stratified_random_tu_abrv</v>
      </c>
      <c r="J349" s="42" t="s">
        <v>4494</v>
      </c>
      <c r="K349" s="39" t="str">
        <f>VLOOKUP(F349,glossary!J:N,5,FALSE)</f>
        <v>The area of interest is divided into smaller strata (e.g., habitat type, disturbance levels), and then a proportional random sample of sites is selected within each stratum (e.g., 15%, 35% and 50% of sites within high, medium and low disturbance strata).</v>
      </c>
      <c r="L349" t="s">
        <v>1768</v>
      </c>
      <c r="M349" s="30" t="str">
        <f t="shared" si="18"/>
        <v>{{ sampledesign_stratified_random_tu_abrv }}</v>
      </c>
      <c r="N349" t="s">
        <v>896</v>
      </c>
      <c r="O349" s="13" t="s">
        <v>1816</v>
      </c>
      <c r="P349" t="s">
        <v>4582</v>
      </c>
      <c r="Q349" t="str">
        <f t="shared" si="19"/>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9" t="b" cm="1">
        <f t="array" ref="R349">SUMPRODUCT(--EXACT($J$2:$J$490,J349))&gt;1</f>
        <v>0</v>
      </c>
      <c r="S349" t="s">
        <v>5019</v>
      </c>
    </row>
    <row r="350" spans="1:19">
      <c r="A350" s="30">
        <v>3</v>
      </c>
      <c r="B350" s="30" t="s">
        <v>1393</v>
      </c>
      <c r="C350" s="30"/>
      <c r="D350" s="30" t="s">
        <v>1207</v>
      </c>
      <c r="E350" s="30" t="s">
        <v>984</v>
      </c>
      <c r="F350" s="30" t="s">
        <v>91</v>
      </c>
      <c r="G350" s="39" t="str">
        <f>VLOOKUP(F350,glossary!J:N,2,FALSE)</f>
        <v>Systematic design</v>
      </c>
      <c r="H350" s="34" t="s">
        <v>91</v>
      </c>
      <c r="I350" s="45" t="str">
        <f t="shared" si="17"/>
        <v>sampledesign_systematic_tl</v>
      </c>
      <c r="J350" s="43" t="s">
        <v>958</v>
      </c>
      <c r="K350" s="39" t="str">
        <f>VLOOKUP(F350,glossary!J:N,5,FALSE)</f>
        <v>Camera locations occur in a regular pattern (e.g., a grid pattern) across the study area.</v>
      </c>
      <c r="L350" t="s">
        <v>1503</v>
      </c>
      <c r="M350" s="30" t="str">
        <f t="shared" si="18"/>
        <v>{{ sampledesign_systematic_tl }}</v>
      </c>
      <c r="N350" t="s">
        <v>896</v>
      </c>
      <c r="O350" s="13" t="s">
        <v>1816</v>
      </c>
      <c r="P350" t="s">
        <v>4582</v>
      </c>
      <c r="Q350" t="str">
        <f t="shared" si="19"/>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0" t="b" cm="1">
        <f t="array" ref="R350">SUMPRODUCT(--EXACT($J$2:$J$490,J350))&gt;1</f>
        <v>0</v>
      </c>
      <c r="S350" t="s">
        <v>5020</v>
      </c>
    </row>
    <row r="351" spans="1:19">
      <c r="A351" s="30">
        <v>3</v>
      </c>
      <c r="B351" s="30" t="s">
        <v>1393</v>
      </c>
      <c r="C351" s="30"/>
      <c r="D351" s="30" t="s">
        <v>1207</v>
      </c>
      <c r="E351" s="30" t="s">
        <v>1752</v>
      </c>
      <c r="F351" s="30" t="s">
        <v>91</v>
      </c>
      <c r="G351" s="39" t="str">
        <f>VLOOKUP(F351,glossary!J:N,2,FALSE)</f>
        <v>Systematic design</v>
      </c>
      <c r="H351" s="34" t="s">
        <v>91</v>
      </c>
      <c r="I351" s="30" t="str">
        <f t="shared" si="17"/>
        <v>sampledesign_systematic_tl_abrv</v>
      </c>
      <c r="J351" s="43" t="s">
        <v>4477</v>
      </c>
      <c r="K351" s="39" t="str">
        <f>VLOOKUP(F351,glossary!J:N,5,FALSE)</f>
        <v>Camera locations occur in a regular pattern (e.g., a grid pattern) across the study area.</v>
      </c>
      <c r="L351" t="s">
        <v>1503</v>
      </c>
      <c r="M351" s="30" t="str">
        <f t="shared" si="18"/>
        <v>{{ sampledesign_systematic_tl_abrv }}</v>
      </c>
      <c r="N351" t="s">
        <v>896</v>
      </c>
      <c r="O351" s="13" t="s">
        <v>1816</v>
      </c>
      <c r="P351" t="s">
        <v>4582</v>
      </c>
      <c r="Q351" t="str">
        <f t="shared" si="19"/>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1" t="b" cm="1">
        <f t="array" ref="R351">SUMPRODUCT(--EXACT($J$2:$J$490,J351))&gt;1</f>
        <v>0</v>
      </c>
      <c r="S351" t="s">
        <v>5021</v>
      </c>
    </row>
    <row r="352" spans="1:19" ht="16.5" customHeight="1">
      <c r="A352" s="30">
        <v>3</v>
      </c>
      <c r="B352" s="30" t="s">
        <v>1393</v>
      </c>
      <c r="C352" s="30"/>
      <c r="D352" s="30" t="s">
        <v>1208</v>
      </c>
      <c r="E352" s="30" t="s">
        <v>984</v>
      </c>
      <c r="F352" s="30" t="s">
        <v>91</v>
      </c>
      <c r="G352" s="39" t="str">
        <f>VLOOKUP(F352,glossary!J:N,2,FALSE)</f>
        <v>Systematic design</v>
      </c>
      <c r="H352" s="34" t="s">
        <v>91</v>
      </c>
      <c r="I352" s="45" t="str">
        <f t="shared" si="17"/>
        <v>sampledesign_systematic_tu</v>
      </c>
      <c r="J352" s="42" t="s">
        <v>93</v>
      </c>
      <c r="K352" s="39" t="str">
        <f>VLOOKUP(F352,glossary!J:N,5,FALSE)</f>
        <v>Camera locations occur in a regular pattern (e.g., a grid pattern) across the study area.</v>
      </c>
      <c r="L352" t="s">
        <v>1502</v>
      </c>
      <c r="M352" s="30" t="str">
        <f t="shared" si="18"/>
        <v>{{ sampledesign_systematic_tu }}</v>
      </c>
      <c r="N352" t="s">
        <v>896</v>
      </c>
      <c r="O352" s="13" t="s">
        <v>1816</v>
      </c>
      <c r="P352" t="s">
        <v>4582</v>
      </c>
      <c r="Q352" t="str">
        <f t="shared" si="19"/>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2" t="b" cm="1">
        <f t="array" ref="R352">SUMPRODUCT(--EXACT($J$2:$J$490,J352))&gt;1</f>
        <v>0</v>
      </c>
      <c r="S352" t="s">
        <v>5022</v>
      </c>
    </row>
    <row r="353" spans="1:19">
      <c r="A353" s="30">
        <v>3</v>
      </c>
      <c r="B353" s="30" t="s">
        <v>1393</v>
      </c>
      <c r="C353" s="30"/>
      <c r="D353" s="30" t="s">
        <v>1208</v>
      </c>
      <c r="E353" s="30" t="s">
        <v>1752</v>
      </c>
      <c r="F353" s="30" t="s">
        <v>91</v>
      </c>
      <c r="G353" s="39" t="str">
        <f>VLOOKUP(F353,glossary!J:N,2,FALSE)</f>
        <v>Systematic design</v>
      </c>
      <c r="H353" s="34" t="s">
        <v>91</v>
      </c>
      <c r="I353" s="30" t="str">
        <f t="shared" si="17"/>
        <v>sampledesign_systematic_tu_abrv</v>
      </c>
      <c r="J353" s="42" t="s">
        <v>4498</v>
      </c>
      <c r="K353" s="39" t="str">
        <f>VLOOKUP(F353,glossary!J:N,5,FALSE)</f>
        <v>Camera locations occur in a regular pattern (e.g., a grid pattern) across the study area.</v>
      </c>
      <c r="L353" t="s">
        <v>1502</v>
      </c>
      <c r="M353" s="30" t="str">
        <f t="shared" si="18"/>
        <v>{{ sampledesign_systematic_tu_abrv }}</v>
      </c>
      <c r="N353" t="s">
        <v>896</v>
      </c>
      <c r="O353" s="13" t="s">
        <v>1816</v>
      </c>
      <c r="P353" t="s">
        <v>4582</v>
      </c>
      <c r="Q353" t="str">
        <f t="shared" si="19"/>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3" t="b" cm="1">
        <f t="array" ref="R353">SUMPRODUCT(--EXACT($J$2:$J$490,J353))&gt;1</f>
        <v>0</v>
      </c>
      <c r="S353" t="s">
        <v>5023</v>
      </c>
    </row>
    <row r="354" spans="1:19">
      <c r="A354" s="30">
        <v>3</v>
      </c>
      <c r="B354" s="30" t="s">
        <v>1393</v>
      </c>
      <c r="C354" s="30"/>
      <c r="D354" s="30" t="s">
        <v>1207</v>
      </c>
      <c r="E354" s="30" t="s">
        <v>984</v>
      </c>
      <c r="F354" s="30" t="s">
        <v>88</v>
      </c>
      <c r="G354" s="39" t="str">
        <f>VLOOKUP(F354,glossary!J:N,2,FALSE)</f>
        <v>Systematic random design</v>
      </c>
      <c r="H354" s="34" t="s">
        <v>88</v>
      </c>
      <c r="I354" s="45" t="str">
        <f t="shared" si="17"/>
        <v>sampledesign_systematic_random_tl</v>
      </c>
      <c r="J354" s="43" t="s">
        <v>959</v>
      </c>
      <c r="K354" s="39" t="str">
        <f>VLOOKUP(F354,glossary!J:N,5,FALSE)</f>
        <v>Camera locations are selected using a two-stage approach. Firstly, girds are selected systematically (to occur within a regular pattern) across the study area. The location of the camera within each grid is then selected randomly.</v>
      </c>
      <c r="L354" t="s">
        <v>1501</v>
      </c>
      <c r="M354" s="30" t="str">
        <f t="shared" si="18"/>
        <v>{{ sampledesign_systematic_random_tl }}</v>
      </c>
      <c r="N354" t="s">
        <v>896</v>
      </c>
      <c r="O354" s="13" t="s">
        <v>1816</v>
      </c>
      <c r="P354" t="s">
        <v>4582</v>
      </c>
      <c r="Q354" t="str">
        <f t="shared" si="19"/>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4" t="b" cm="1">
        <f t="array" ref="R354">SUMPRODUCT(--EXACT($J$2:$J$490,J354))&gt;1</f>
        <v>0</v>
      </c>
      <c r="S354" t="s">
        <v>5024</v>
      </c>
    </row>
    <row r="355" spans="1:19">
      <c r="A355" s="30">
        <v>3</v>
      </c>
      <c r="B355" s="30" t="s">
        <v>1393</v>
      </c>
      <c r="C355" s="30"/>
      <c r="D355" s="30" t="s">
        <v>1207</v>
      </c>
      <c r="E355" s="30" t="s">
        <v>1752</v>
      </c>
      <c r="F355" s="30" t="s">
        <v>88</v>
      </c>
      <c r="G355" s="39" t="str">
        <f>VLOOKUP(F355,glossary!J:N,2,FALSE)</f>
        <v>Systematic random design</v>
      </c>
      <c r="H355" s="34" t="s">
        <v>88</v>
      </c>
      <c r="I355" s="30" t="str">
        <f t="shared" si="17"/>
        <v>sampledesign_systematic_random_tl_abrv</v>
      </c>
      <c r="J355" s="43" t="s">
        <v>4476</v>
      </c>
      <c r="K355" s="39" t="str">
        <f>VLOOKUP(F355,glossary!J:N,5,FALSE)</f>
        <v>Camera locations are selected using a two-stage approach. Firstly, girds are selected systematically (to occur within a regular pattern) across the study area. The location of the camera within each grid is then selected randomly.</v>
      </c>
      <c r="L355" t="s">
        <v>1501</v>
      </c>
      <c r="M355" s="30" t="str">
        <f t="shared" si="18"/>
        <v>{{ sampledesign_systematic_random_tl_abrv }}</v>
      </c>
      <c r="N355" t="s">
        <v>896</v>
      </c>
      <c r="O355" s="13" t="s">
        <v>1816</v>
      </c>
      <c r="P355" t="s">
        <v>4582</v>
      </c>
      <c r="Q355" t="str">
        <f t="shared" si="19"/>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5" t="b" cm="1">
        <f t="array" ref="R355">SUMPRODUCT(--EXACT($J$2:$J$490,J355))&gt;1</f>
        <v>0</v>
      </c>
      <c r="S355" t="s">
        <v>5025</v>
      </c>
    </row>
    <row r="356" spans="1:19">
      <c r="A356" s="30">
        <v>3</v>
      </c>
      <c r="B356" s="30" t="s">
        <v>1393</v>
      </c>
      <c r="C356" s="30"/>
      <c r="D356" s="30" t="s">
        <v>1208</v>
      </c>
      <c r="E356" s="30" t="s">
        <v>984</v>
      </c>
      <c r="F356" s="30" t="s">
        <v>88</v>
      </c>
      <c r="G356" s="39" t="str">
        <f>VLOOKUP(F356,glossary!J:N,2,FALSE)</f>
        <v>Systematic random design</v>
      </c>
      <c r="H356" s="34" t="s">
        <v>88</v>
      </c>
      <c r="I356" s="45" t="str">
        <f t="shared" si="17"/>
        <v>sampledesign_systematic_random_tu</v>
      </c>
      <c r="J356" s="42" t="s">
        <v>90</v>
      </c>
      <c r="K356" s="39" t="str">
        <f>VLOOKUP(F356,glossary!J:N,5,FALSE)</f>
        <v>Camera locations are selected using a two-stage approach. Firstly, girds are selected systematically (to occur within a regular pattern) across the study area. The location of the camera within each grid is then selected randomly.</v>
      </c>
      <c r="L356" t="s">
        <v>1500</v>
      </c>
      <c r="M356" s="30" t="str">
        <f t="shared" si="18"/>
        <v>{{ sampledesign_systematic_random_tu }}</v>
      </c>
      <c r="N356" t="s">
        <v>896</v>
      </c>
      <c r="O356" s="13" t="s">
        <v>1816</v>
      </c>
      <c r="P356" t="s">
        <v>4582</v>
      </c>
      <c r="Q356" t="str">
        <f t="shared" si="19"/>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6" t="b" cm="1">
        <f t="array" ref="R356">SUMPRODUCT(--EXACT($J$2:$J$490,J356))&gt;1</f>
        <v>0</v>
      </c>
      <c r="S356" t="s">
        <v>5026</v>
      </c>
    </row>
    <row r="357" spans="1:19">
      <c r="A357" s="30">
        <v>3</v>
      </c>
      <c r="B357" s="30" t="s">
        <v>1393</v>
      </c>
      <c r="C357" s="30"/>
      <c r="D357" s="30" t="s">
        <v>1208</v>
      </c>
      <c r="E357" s="30" t="s">
        <v>1752</v>
      </c>
      <c r="F357" s="30" t="s">
        <v>88</v>
      </c>
      <c r="G357" s="39" t="str">
        <f>VLOOKUP(F357,glossary!J:N,2,FALSE)</f>
        <v>Systematic random design</v>
      </c>
      <c r="H357" s="34" t="s">
        <v>88</v>
      </c>
      <c r="I357" s="30" t="str">
        <f t="shared" si="17"/>
        <v>sampledesign_systematic_random_tu_abrv</v>
      </c>
      <c r="J357" s="42" t="s">
        <v>4497</v>
      </c>
      <c r="K357" s="39" t="str">
        <f>VLOOKUP(F357,glossary!J:N,5,FALSE)</f>
        <v>Camera locations are selected using a two-stage approach. Firstly, girds are selected systematically (to occur within a regular pattern) across the study area. The location of the camera within each grid is then selected randomly.</v>
      </c>
      <c r="L357" t="s">
        <v>1500</v>
      </c>
      <c r="M357" s="30" t="str">
        <f t="shared" si="18"/>
        <v>{{ sampledesign_systematic_random_tu_abrv }}</v>
      </c>
      <c r="N357" t="s">
        <v>896</v>
      </c>
      <c r="O357" s="13" t="s">
        <v>1816</v>
      </c>
      <c r="P357" t="s">
        <v>4582</v>
      </c>
      <c r="Q357" t="str">
        <f t="shared" si="19"/>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7" t="b" cm="1">
        <f t="array" ref="R357">SUMPRODUCT(--EXACT($J$2:$J$490,J357))&gt;1</f>
        <v>0</v>
      </c>
      <c r="S357" t="s">
        <v>5027</v>
      </c>
    </row>
    <row r="358" spans="1:19">
      <c r="A358" s="30">
        <v>3</v>
      </c>
      <c r="B358" s="30" t="s">
        <v>1393</v>
      </c>
      <c r="C358" s="30"/>
      <c r="D358" s="30" t="s">
        <v>1207</v>
      </c>
      <c r="E358" s="30" t="s">
        <v>984</v>
      </c>
      <c r="F358" s="30" t="s">
        <v>85</v>
      </c>
      <c r="G358" s="39" t="str">
        <f>VLOOKUP(F358,glossary!J:N,2,FALSE)</f>
        <v>Targeted design</v>
      </c>
      <c r="H358" s="34" t="s">
        <v>85</v>
      </c>
      <c r="I358" s="45" t="str">
        <f t="shared" si="17"/>
        <v>sampledesign_targeted_tl</v>
      </c>
      <c r="J358" s="43" t="s">
        <v>960</v>
      </c>
      <c r="K358" s="39" t="str">
        <f>VLOOKUP(F358,glossary!J:N,5,FALSE)</f>
        <v>Camera locations or sample stations are placed in areas that are known or suspected to have higher activity levels (e.g., game trails, mineral licks).</v>
      </c>
      <c r="L358" t="s">
        <v>1499</v>
      </c>
      <c r="M358" s="30" t="str">
        <f t="shared" si="18"/>
        <v>{{ sampledesign_targeted_tl }}</v>
      </c>
      <c r="N358" t="s">
        <v>896</v>
      </c>
      <c r="O358" s="13" t="s">
        <v>1816</v>
      </c>
      <c r="P358" t="s">
        <v>4582</v>
      </c>
      <c r="Q358" t="str">
        <f t="shared" si="19"/>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58" t="b" cm="1">
        <f t="array" ref="R358">SUMPRODUCT(--EXACT($J$2:$J$490,J358))&gt;1</f>
        <v>0</v>
      </c>
      <c r="S358" t="s">
        <v>5028</v>
      </c>
    </row>
    <row r="359" spans="1:19">
      <c r="A359" s="30">
        <v>3</v>
      </c>
      <c r="B359" s="30" t="s">
        <v>1393</v>
      </c>
      <c r="C359" s="30"/>
      <c r="D359" s="30" t="s">
        <v>1207</v>
      </c>
      <c r="E359" s="30" t="s">
        <v>1752</v>
      </c>
      <c r="F359" s="30" t="s">
        <v>85</v>
      </c>
      <c r="G359" s="39" t="str">
        <f>VLOOKUP(F359,glossary!J:N,2,FALSE)</f>
        <v>Targeted design</v>
      </c>
      <c r="H359" s="34" t="s">
        <v>85</v>
      </c>
      <c r="I359" s="30" t="str">
        <f t="shared" si="17"/>
        <v>sampledesign_targeted_tl_abrv</v>
      </c>
      <c r="J359" s="43" t="s">
        <v>4499</v>
      </c>
      <c r="K359" s="39" t="str">
        <f>VLOOKUP(F359,glossary!J:N,5,FALSE)</f>
        <v>Camera locations or sample stations are placed in areas that are known or suspected to have higher activity levels (e.g., game trails, mineral licks).</v>
      </c>
      <c r="L359" t="s">
        <v>1499</v>
      </c>
      <c r="M359" s="30" t="str">
        <f t="shared" si="18"/>
        <v>{{ sampledesign_targeted_tl_abrv }}</v>
      </c>
      <c r="N359" t="s">
        <v>896</v>
      </c>
      <c r="O359" s="13" t="s">
        <v>1816</v>
      </c>
      <c r="P359" t="s">
        <v>4582</v>
      </c>
      <c r="Q359" t="str">
        <f t="shared" si="19"/>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59" t="b" cm="1">
        <f t="array" ref="R359">SUMPRODUCT(--EXACT($J$2:$J$490,J359))&gt;1</f>
        <v>0</v>
      </c>
      <c r="S359" t="s">
        <v>5029</v>
      </c>
    </row>
    <row r="360" spans="1:19">
      <c r="A360" s="30">
        <v>3</v>
      </c>
      <c r="B360" s="30" t="s">
        <v>1393</v>
      </c>
      <c r="C360" s="30"/>
      <c r="D360" s="30" t="s">
        <v>1208</v>
      </c>
      <c r="E360" s="30" t="s">
        <v>984</v>
      </c>
      <c r="F360" s="30" t="s">
        <v>85</v>
      </c>
      <c r="G360" s="39" t="str">
        <f>VLOOKUP(F360,glossary!J:N,2,FALSE)</f>
        <v>Targeted design</v>
      </c>
      <c r="H360" s="34" t="s">
        <v>85</v>
      </c>
      <c r="I360" s="45" t="str">
        <f t="shared" si="17"/>
        <v>sampledesign_targeted_tu</v>
      </c>
      <c r="J360" s="42" t="s">
        <v>87</v>
      </c>
      <c r="K360" s="39" t="str">
        <f>VLOOKUP(F360,glossary!J:N,5,FALSE)</f>
        <v>Camera locations or sample stations are placed in areas that are known or suspected to have higher activity levels (e.g., game trails, mineral licks).</v>
      </c>
      <c r="L360" t="s">
        <v>1498</v>
      </c>
      <c r="M360" s="30" t="str">
        <f t="shared" si="18"/>
        <v>{{ sampledesign_targeted_tu }}</v>
      </c>
      <c r="N360" t="s">
        <v>896</v>
      </c>
      <c r="O360" s="13" t="s">
        <v>1816</v>
      </c>
      <c r="P360" t="s">
        <v>4582</v>
      </c>
      <c r="Q360" t="str">
        <f t="shared" si="19"/>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60" t="b" cm="1">
        <f t="array" ref="R360">SUMPRODUCT(--EXACT($J$2:$J$490,J360))&gt;1</f>
        <v>0</v>
      </c>
      <c r="S360" t="s">
        <v>5030</v>
      </c>
    </row>
    <row r="361" spans="1:19">
      <c r="A361" s="30">
        <v>3</v>
      </c>
      <c r="B361" s="30" t="s">
        <v>1393</v>
      </c>
      <c r="C361" s="30"/>
      <c r="D361" s="30" t="s">
        <v>1208</v>
      </c>
      <c r="E361" s="30" t="s">
        <v>1752</v>
      </c>
      <c r="F361" s="30" t="s">
        <v>85</v>
      </c>
      <c r="G361" s="39" t="str">
        <f>VLOOKUP(F361,glossary!J:N,2,FALSE)</f>
        <v>Targeted design</v>
      </c>
      <c r="H361" s="34" t="s">
        <v>85</v>
      </c>
      <c r="I361" s="30" t="str">
        <f t="shared" si="17"/>
        <v>sampledesign_targeted_tu_abrv</v>
      </c>
      <c r="J361" s="42" t="s">
        <v>4500</v>
      </c>
      <c r="K361" s="39" t="str">
        <f>VLOOKUP(F361,glossary!J:N,5,FALSE)</f>
        <v>Camera locations or sample stations are placed in areas that are known or suspected to have higher activity levels (e.g., game trails, mineral licks).</v>
      </c>
      <c r="L361" t="s">
        <v>1498</v>
      </c>
      <c r="M361" s="30" t="str">
        <f t="shared" si="18"/>
        <v>{{ sampledesign_targeted_tu_abrv }}</v>
      </c>
      <c r="N361" t="s">
        <v>896</v>
      </c>
      <c r="O361" s="13" t="s">
        <v>1816</v>
      </c>
      <c r="P361" t="s">
        <v>4582</v>
      </c>
      <c r="Q361" t="str">
        <f t="shared" si="19"/>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1" t="b" cm="1">
        <f t="array" ref="R361">SUMPRODUCT(--EXACT($J$2:$J$490,J361))&gt;1</f>
        <v>0</v>
      </c>
      <c r="S361" t="s">
        <v>5031</v>
      </c>
    </row>
    <row r="362" spans="1:19">
      <c r="A362" s="30">
        <v>3</v>
      </c>
      <c r="B362" s="30" t="s">
        <v>1393</v>
      </c>
      <c r="C362" s="30"/>
      <c r="D362" s="30" t="s">
        <v>1208</v>
      </c>
      <c r="E362" s="30" t="s">
        <v>984</v>
      </c>
      <c r="F362" s="30" t="s">
        <v>323</v>
      </c>
      <c r="G362" s="39" t="str">
        <f>VLOOKUP(F362,glossary!J:N,2,FALSE)</f>
        <v>SD Card ID</v>
      </c>
      <c r="H362" s="34" t="s">
        <v>323</v>
      </c>
      <c r="I362" s="45" t="str">
        <f t="shared" si="17"/>
        <v>sd_card_id_tu</v>
      </c>
      <c r="J362" s="42" t="s">
        <v>753</v>
      </c>
      <c r="K362" s="39" t="str">
        <f>VLOOKUP(F362,glossary!J:N,5,FALSE)</f>
        <v>The ID label on an SD card (e.g., 'cmu_100').</v>
      </c>
      <c r="L362" t="s">
        <v>1497</v>
      </c>
      <c r="M362" s="30" t="str">
        <f t="shared" si="18"/>
        <v>{{ sd_card_id_tu }}</v>
      </c>
      <c r="N362" t="s">
        <v>896</v>
      </c>
      <c r="O362" s="13" t="s">
        <v>1816</v>
      </c>
      <c r="P362" t="s">
        <v>4582</v>
      </c>
      <c r="Q362" t="str">
        <f t="shared" si="19"/>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62" t="b" cm="1">
        <f t="array" ref="R362">SUMPRODUCT(--EXACT($J$2:$J$490,J362))&gt;1</f>
        <v>0</v>
      </c>
      <c r="S362" t="s">
        <v>5032</v>
      </c>
    </row>
    <row r="363" spans="1:19">
      <c r="A363" s="30">
        <v>3</v>
      </c>
      <c r="B363" s="30" t="s">
        <v>1393</v>
      </c>
      <c r="C363" s="30"/>
      <c r="D363" s="30" t="s">
        <v>1208</v>
      </c>
      <c r="E363" s="30" t="s">
        <v>984</v>
      </c>
      <c r="F363" s="30" t="s">
        <v>321</v>
      </c>
      <c r="G363" s="39" t="str">
        <f>VLOOKUP(F363,glossary!J:N,2,FALSE)</f>
        <v>SD Card Replaced</v>
      </c>
      <c r="H363" s="34" t="s">
        <v>321</v>
      </c>
      <c r="I363" s="45" t="str">
        <f t="shared" si="17"/>
        <v>sd_card_replaced_tu</v>
      </c>
      <c r="J363" s="42" t="s">
        <v>754</v>
      </c>
      <c r="K363" s="39" t="str">
        <f>VLOOKUP(F363,glossary!J:N,5,FALSE)</f>
        <v>Whether the SD card was replaced.</v>
      </c>
      <c r="L363" t="s">
        <v>1496</v>
      </c>
      <c r="M363" s="30" t="str">
        <f t="shared" si="18"/>
        <v>{{ sd_card_replaced_tu }}</v>
      </c>
      <c r="N363" t="s">
        <v>896</v>
      </c>
      <c r="O363" s="13" t="s">
        <v>1816</v>
      </c>
      <c r="P363" t="s">
        <v>4582</v>
      </c>
      <c r="Q363" t="str">
        <f t="shared" si="19"/>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63" t="b" cm="1">
        <f t="array" ref="R363">SUMPRODUCT(--EXACT($J$2:$J$490,J363))&gt;1</f>
        <v>0</v>
      </c>
      <c r="S363" t="s">
        <v>5033</v>
      </c>
    </row>
    <row r="364" spans="1:19">
      <c r="A364" s="30">
        <v>1</v>
      </c>
      <c r="B364" s="30" t="s">
        <v>1064</v>
      </c>
      <c r="C364" s="30" t="s">
        <v>0</v>
      </c>
      <c r="D364" s="30" t="s">
        <v>1208</v>
      </c>
      <c r="E364" s="30" t="s">
        <v>1757</v>
      </c>
      <c r="F364" s="30" t="s">
        <v>319</v>
      </c>
      <c r="G364" s="39" t="str">
        <f>VLOOKUP(F364,glossary!J:N,2,FALSE)</f>
        <v>SD Card Status (% Full)</v>
      </c>
      <c r="H364" s="30" t="s">
        <v>319</v>
      </c>
      <c r="I364" s="45" t="str">
        <f t="shared" si="17"/>
        <v>sd_card_status_tu_nu</v>
      </c>
      <c r="J364" s="39" t="s">
        <v>1085</v>
      </c>
      <c r="K364" s="39" t="str">
        <f>VLOOKUP(F364,glossary!J:N,5,FALSE)</f>
        <v>The remaining storage capacity on an SD card; collected during a camera service or retrieval.</v>
      </c>
      <c r="L364" s="30" t="s">
        <v>1093</v>
      </c>
      <c r="M364" s="30" t="str">
        <f t="shared" si="18"/>
        <v>{{ sd_card_status_tu_nu }}</v>
      </c>
      <c r="N364" t="s">
        <v>896</v>
      </c>
      <c r="O364" s="13" t="s">
        <v>1816</v>
      </c>
      <c r="P364" t="s">
        <v>4582</v>
      </c>
      <c r="Q364" t="str">
        <f t="shared" si="19"/>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64" t="b" cm="1">
        <f t="array" ref="R364">SUMPRODUCT(--EXACT($J$2:$J$490,J364))&gt;1</f>
        <v>0</v>
      </c>
      <c r="S364" t="s">
        <v>5034</v>
      </c>
    </row>
    <row r="365" spans="1:19">
      <c r="A365" s="30">
        <v>3</v>
      </c>
      <c r="B365" s="30" t="s">
        <v>1393</v>
      </c>
      <c r="C365" s="30"/>
      <c r="D365" s="30" t="s">
        <v>1208</v>
      </c>
      <c r="E365" s="30" t="s">
        <v>1751</v>
      </c>
      <c r="F365" s="30" t="s">
        <v>319</v>
      </c>
      <c r="G365" s="39" t="str">
        <f>VLOOKUP(F365,glossary!J:N,2,FALSE)</f>
        <v>SD Card Status (% Full)</v>
      </c>
      <c r="H365" s="34" t="s">
        <v>319</v>
      </c>
      <c r="I365" s="45" t="str">
        <f t="shared" si="17"/>
        <v>sd_card_status_tu_u</v>
      </c>
      <c r="J365" s="42" t="s">
        <v>755</v>
      </c>
      <c r="K365" s="39" t="str">
        <f>VLOOKUP(F365,glossary!J:N,5,FALSE)</f>
        <v>The remaining storage capacity on an SD card; collected during a camera service or retrieval.</v>
      </c>
      <c r="L365" t="s">
        <v>1495</v>
      </c>
      <c r="M365" s="30" t="str">
        <f t="shared" si="18"/>
        <v>{{ sd_card_status_tu_u }}</v>
      </c>
      <c r="N365" t="s">
        <v>896</v>
      </c>
      <c r="O365" s="13" t="s">
        <v>1816</v>
      </c>
      <c r="P365" t="s">
        <v>4582</v>
      </c>
      <c r="Q365" t="str">
        <f t="shared" si="19"/>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65" t="b" cm="1">
        <f t="array" ref="R365">SUMPRODUCT(--EXACT($J$2:$J$490,J365))&gt;1</f>
        <v>0</v>
      </c>
      <c r="S365" t="s">
        <v>5035</v>
      </c>
    </row>
    <row r="366" spans="1:19">
      <c r="A366" s="30">
        <v>3</v>
      </c>
      <c r="B366" s="30" t="s">
        <v>1393</v>
      </c>
      <c r="C366" s="30"/>
      <c r="D366" s="30" t="s">
        <v>1208</v>
      </c>
      <c r="E366" s="30" t="s">
        <v>984</v>
      </c>
      <c r="F366" s="30" t="s">
        <v>352</v>
      </c>
      <c r="G366" s="39" t="str">
        <f>VLOOKUP(F366,glossary!J:N,2,FALSE)</f>
        <v>New SD Card ID</v>
      </c>
      <c r="H366" s="34" t="s">
        <v>352</v>
      </c>
      <c r="I366" s="45" t="str">
        <f t="shared" si="17"/>
        <v>sd_id_new_tu</v>
      </c>
      <c r="J366" s="42" t="s">
        <v>712</v>
      </c>
      <c r="K366" s="39" t="str">
        <f>VLOOKUP(F366,glossary!J:N,5,FALSE)</f>
        <v>-</v>
      </c>
      <c r="L366" t="s">
        <v>1494</v>
      </c>
      <c r="M366" s="30" t="str">
        <f t="shared" si="18"/>
        <v>{{ sd_id_new_tu }}</v>
      </c>
      <c r="N366" t="s">
        <v>896</v>
      </c>
      <c r="O366" s="13" t="s">
        <v>1816</v>
      </c>
      <c r="P366" t="s">
        <v>4582</v>
      </c>
      <c r="Q366" t="str">
        <f t="shared" si="19"/>
        <v>-</v>
      </c>
      <c r="R366" t="b" cm="1">
        <f t="array" ref="R366">SUMPRODUCT(--EXACT($J$2:$J$490,J366))&gt;1</f>
        <v>0</v>
      </c>
      <c r="S366" t="s">
        <v>5036</v>
      </c>
    </row>
    <row r="367" spans="1:19">
      <c r="A367" s="30">
        <v>2</v>
      </c>
      <c r="B367" s="30" t="s">
        <v>1400</v>
      </c>
      <c r="C367" s="30"/>
      <c r="D367" s="30" t="s">
        <v>1208</v>
      </c>
      <c r="E367" s="30" t="s">
        <v>984</v>
      </c>
      <c r="F367" s="30" t="s">
        <v>318</v>
      </c>
      <c r="G367" s="39" t="str">
        <f>VLOOKUP(F367,glossary!J:N,2,FALSE)</f>
        <v>Security</v>
      </c>
      <c r="H367" s="30" t="s">
        <v>318</v>
      </c>
      <c r="I367" s="45" t="str">
        <f t="shared" si="17"/>
        <v>security_tu</v>
      </c>
      <c r="J367" s="39" t="s">
        <v>756</v>
      </c>
      <c r="K367" s="39" t="str">
        <f>VLOOKUP(F367,glossary!J:N,5,FALSE)</f>
        <v>The equipment used to secure the camera (e.g., 'Security box,' 'Bracket,' 'Bracket + Screws,' or 'None').</v>
      </c>
      <c r="L367" s="30" t="s">
        <v>1493</v>
      </c>
      <c r="M367" s="30" t="str">
        <f t="shared" si="18"/>
        <v>{{ security_tu }}</v>
      </c>
      <c r="N367" t="s">
        <v>896</v>
      </c>
      <c r="O367" s="13" t="s">
        <v>1816</v>
      </c>
      <c r="P367" t="s">
        <v>4582</v>
      </c>
      <c r="Q367" t="str">
        <f t="shared" si="19"/>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67" t="b" cm="1">
        <f t="array" ref="R367">SUMPRODUCT(--EXACT($J$2:$J$490,J367))&gt;1</f>
        <v>0</v>
      </c>
      <c r="S367" t="s">
        <v>5037</v>
      </c>
    </row>
    <row r="368" spans="1:19">
      <c r="A368" s="30">
        <v>2</v>
      </c>
      <c r="B368" s="30" t="s">
        <v>1400</v>
      </c>
      <c r="C368" s="30"/>
      <c r="D368" s="30" t="s">
        <v>1207</v>
      </c>
      <c r="E368" s="30" t="s">
        <v>984</v>
      </c>
      <c r="F368" s="30" t="s">
        <v>118</v>
      </c>
      <c r="G368" s="39" t="str">
        <f>VLOOKUP(F368,glossary!J:N,2,FALSE)</f>
        <v>Sequence</v>
      </c>
      <c r="H368" s="30" t="s">
        <v>118</v>
      </c>
      <c r="I368" s="45" t="str">
        <f t="shared" si="17"/>
        <v>sequence_tl</v>
      </c>
      <c r="J368" s="39" t="s">
        <v>118</v>
      </c>
      <c r="K368" s="39" t="str">
        <f>VLOOKUP(F368,glossary!J:N,5,FALSE)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8" s="30" t="s">
        <v>1492</v>
      </c>
      <c r="M368" s="30" t="str">
        <f t="shared" si="18"/>
        <v>{{ sequence_tl }}</v>
      </c>
      <c r="N368" t="s">
        <v>896</v>
      </c>
      <c r="O368" s="13" t="s">
        <v>1816</v>
      </c>
      <c r="P368" t="s">
        <v>4582</v>
      </c>
      <c r="Q368" t="str">
        <f t="shared" si="19"/>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68" t="b" cm="1">
        <f t="array" ref="R368">SUMPRODUCT(--EXACT($J$2:$J$490,J368))&gt;1</f>
        <v>0</v>
      </c>
      <c r="S368" t="s">
        <v>5038</v>
      </c>
    </row>
    <row r="369" spans="1:19">
      <c r="A369" s="30">
        <v>1</v>
      </c>
      <c r="B369" s="30" t="s">
        <v>1064</v>
      </c>
      <c r="C369" s="30" t="s">
        <v>429</v>
      </c>
      <c r="D369" s="30" t="s">
        <v>1207</v>
      </c>
      <c r="E369" s="30" t="s">
        <v>1758</v>
      </c>
      <c r="F369" s="30" t="s">
        <v>118</v>
      </c>
      <c r="G369" s="39" t="str">
        <f>VLOOKUP(F369,glossary!J:N,2,FALSE)</f>
        <v>Sequence</v>
      </c>
      <c r="H369" s="30" t="s">
        <v>118</v>
      </c>
      <c r="I369" s="45" t="str">
        <f t="shared" si="17"/>
        <v>sequence_tl_pl</v>
      </c>
      <c r="J369" s="39" t="s">
        <v>1715</v>
      </c>
      <c r="K369" s="39" t="str">
        <f>VLOOKUP(F369,glossary!J:N,5,FALSE)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9" s="30" t="s">
        <v>1130</v>
      </c>
      <c r="M369" s="30" t="str">
        <f t="shared" si="18"/>
        <v>{{ sequence_tl_pl }}</v>
      </c>
      <c r="N369" t="s">
        <v>896</v>
      </c>
      <c r="O369" s="13" t="s">
        <v>1816</v>
      </c>
      <c r="P369" t="s">
        <v>4582</v>
      </c>
      <c r="Q369" t="str">
        <f t="shared" si="19"/>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69" t="b" cm="1">
        <f t="array" ref="R369">SUMPRODUCT(--EXACT($J$2:$J$490,J369))&gt;1</f>
        <v>0</v>
      </c>
      <c r="S369" t="s">
        <v>5039</v>
      </c>
    </row>
    <row r="370" spans="1:19">
      <c r="A370" s="30">
        <v>2</v>
      </c>
      <c r="B370" s="30" t="s">
        <v>1400</v>
      </c>
      <c r="C370" s="30"/>
      <c r="D370" s="30" t="s">
        <v>1208</v>
      </c>
      <c r="E370" s="30" t="s">
        <v>984</v>
      </c>
      <c r="F370" s="30" t="s">
        <v>118</v>
      </c>
      <c r="G370" s="39" t="str">
        <f>VLOOKUP(F370,glossary!J:N,2,FALSE)</f>
        <v>Sequence</v>
      </c>
      <c r="H370" s="30" t="s">
        <v>118</v>
      </c>
      <c r="I370" s="45" t="str">
        <f t="shared" si="17"/>
        <v>sequence_tu</v>
      </c>
      <c r="J370" s="39" t="s">
        <v>119</v>
      </c>
      <c r="K370" s="39" t="str">
        <f>VLOOKUP(F370,glossary!J:N,5,FALSE)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0" s="30" t="s">
        <v>1491</v>
      </c>
      <c r="M370" s="30" t="str">
        <f t="shared" si="18"/>
        <v>{{ sequence_tu }}</v>
      </c>
      <c r="N370" t="s">
        <v>896</v>
      </c>
      <c r="O370" s="13" t="s">
        <v>1816</v>
      </c>
      <c r="P370" t="s">
        <v>4582</v>
      </c>
      <c r="Q370" t="str">
        <f t="shared" si="19"/>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70" t="b" cm="1">
        <f t="array" ref="R370">SUMPRODUCT(--EXACT($J$2:$J$490,J370))&gt;1</f>
        <v>0</v>
      </c>
      <c r="S370" t="s">
        <v>5040</v>
      </c>
    </row>
    <row r="371" spans="1:19">
      <c r="A371" s="30">
        <v>1</v>
      </c>
      <c r="B371" s="30" t="s">
        <v>1064</v>
      </c>
      <c r="C371" s="30" t="s">
        <v>0</v>
      </c>
      <c r="D371" s="30" t="s">
        <v>1208</v>
      </c>
      <c r="E371" s="30" t="s">
        <v>1758</v>
      </c>
      <c r="F371" s="30" t="s">
        <v>118</v>
      </c>
      <c r="G371" s="39" t="str">
        <f>VLOOKUP(F371,glossary!J:N,2,FALSE)</f>
        <v>Sequence</v>
      </c>
      <c r="H371" s="30" t="s">
        <v>118</v>
      </c>
      <c r="I371" s="45" t="str">
        <f t="shared" si="17"/>
        <v>sequence_tu_pl</v>
      </c>
      <c r="J371" s="39" t="s">
        <v>1171</v>
      </c>
      <c r="K371" s="39" t="str">
        <f>VLOOKUP(F371,glossary!J:N,5,FALSE)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1" s="30" t="s">
        <v>1122</v>
      </c>
      <c r="M371" s="30" t="str">
        <f t="shared" si="18"/>
        <v>{{ sequence_tu_pl }}</v>
      </c>
      <c r="N371" t="s">
        <v>896</v>
      </c>
      <c r="O371" s="13" t="s">
        <v>1816</v>
      </c>
      <c r="P371" t="s">
        <v>4582</v>
      </c>
      <c r="Q371" t="str">
        <f t="shared" si="19"/>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1" t="b" cm="1">
        <f t="array" ref="R371">SUMPRODUCT(--EXACT($J$2:$J$490,J371))&gt;1</f>
        <v>0</v>
      </c>
      <c r="S371" t="s">
        <v>5041</v>
      </c>
    </row>
    <row r="372" spans="1:19">
      <c r="A372" s="30">
        <v>3</v>
      </c>
      <c r="B372" s="30" t="s">
        <v>1393</v>
      </c>
      <c r="C372" s="30"/>
      <c r="D372" s="30" t="s">
        <v>1208</v>
      </c>
      <c r="E372" s="30" t="s">
        <v>984</v>
      </c>
      <c r="F372" s="30" t="s">
        <v>259</v>
      </c>
      <c r="G372" s="39" t="str">
        <f>VLOOKUP(F372,glossary!J:N,2,FALSE)</f>
        <v>Sequence Name</v>
      </c>
      <c r="H372" s="34" t="s">
        <v>259</v>
      </c>
      <c r="I372" s="45" t="str">
        <f t="shared" si="17"/>
        <v>sequence_name_tu</v>
      </c>
      <c r="J372" s="42" t="s">
        <v>713</v>
      </c>
      <c r="K372" s="39" t="str">
        <f>VLOOKUP(F372,glossary!J:N,5,FALSE)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72" t="s">
        <v>1490</v>
      </c>
      <c r="M372" s="30" t="str">
        <f t="shared" si="18"/>
        <v>{{ sequence_name_tu }}</v>
      </c>
      <c r="N372" t="s">
        <v>896</v>
      </c>
      <c r="O372" s="13" t="s">
        <v>1816</v>
      </c>
      <c r="P372" t="s">
        <v>4582</v>
      </c>
      <c r="Q372" t="str">
        <f t="shared" si="19"/>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72" t="b" cm="1">
        <f t="array" ref="R372">SUMPRODUCT(--EXACT($J$2:$J$490,J372))&gt;1</f>
        <v>0</v>
      </c>
      <c r="S372" t="s">
        <v>5042</v>
      </c>
    </row>
    <row r="373" spans="1:19">
      <c r="A373" s="30">
        <v>3</v>
      </c>
      <c r="B373" s="30" t="s">
        <v>1393</v>
      </c>
      <c r="C373" s="30"/>
      <c r="D373" s="30" t="s">
        <v>1207</v>
      </c>
      <c r="E373" s="30" t="s">
        <v>984</v>
      </c>
      <c r="F373" s="30" t="s">
        <v>116</v>
      </c>
      <c r="G373" s="39" t="str">
        <f>VLOOKUP(F373,glossary!J:N,2,FALSE)</f>
        <v>Service/Retrieval</v>
      </c>
      <c r="H373" s="34" t="s">
        <v>116</v>
      </c>
      <c r="I373" s="45" t="str">
        <f t="shared" si="17"/>
        <v>service_retrieval_tl</v>
      </c>
      <c r="J373" s="43" t="s">
        <v>972</v>
      </c>
      <c r="K373" s="39" t="str">
        <f>VLOOKUP(F373,glossary!J:N,5,FALSE)</f>
        <v>When a crew has gone to a location to service or retrieve a remote camera.</v>
      </c>
      <c r="L373" t="s">
        <v>1489</v>
      </c>
      <c r="M373" s="30" t="str">
        <f t="shared" si="18"/>
        <v>{{ service_retrieval_tl }}</v>
      </c>
      <c r="N373" t="s">
        <v>896</v>
      </c>
      <c r="O373" s="13" t="s">
        <v>1816</v>
      </c>
      <c r="P373" t="s">
        <v>4582</v>
      </c>
      <c r="Q373" t="str">
        <f t="shared" si="19"/>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3" t="b" cm="1">
        <f t="array" ref="R373">SUMPRODUCT(--EXACT($J$2:$J$490,J373))&gt;1</f>
        <v>0</v>
      </c>
      <c r="S373" t="s">
        <v>5043</v>
      </c>
    </row>
    <row r="374" spans="1:19">
      <c r="A374" s="30">
        <v>3</v>
      </c>
      <c r="B374" s="30" t="s">
        <v>1393</v>
      </c>
      <c r="C374" s="30"/>
      <c r="D374" s="30" t="s">
        <v>1208</v>
      </c>
      <c r="E374" s="30" t="s">
        <v>984</v>
      </c>
      <c r="F374" s="30" t="s">
        <v>116</v>
      </c>
      <c r="G374" s="39" t="str">
        <f>VLOOKUP(F374,glossary!J:N,2,FALSE)</f>
        <v>Service/Retrieval</v>
      </c>
      <c r="H374" s="34" t="s">
        <v>116</v>
      </c>
      <c r="I374" s="45" t="str">
        <f t="shared" si="17"/>
        <v>service_retrieval_tu</v>
      </c>
      <c r="J374" s="42" t="s">
        <v>714</v>
      </c>
      <c r="K374" s="39" t="str">
        <f>VLOOKUP(F374,glossary!J:N,5,FALSE)</f>
        <v>When a crew has gone to a location to service or retrieve a remote camera.</v>
      </c>
      <c r="L374" t="s">
        <v>1488</v>
      </c>
      <c r="M374" s="30" t="str">
        <f t="shared" si="18"/>
        <v>{{ service_retrieval_tu }}</v>
      </c>
      <c r="N374" t="s">
        <v>896</v>
      </c>
      <c r="O374" s="13" t="s">
        <v>1816</v>
      </c>
      <c r="P374" t="s">
        <v>4582</v>
      </c>
      <c r="Q374" t="str">
        <f t="shared" si="19"/>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4" t="b" cm="1">
        <f t="array" ref="R374">SUMPRODUCT(--EXACT($J$2:$J$490,J374))&gt;1</f>
        <v>0</v>
      </c>
      <c r="S374" t="s">
        <v>5044</v>
      </c>
    </row>
    <row r="375" spans="1:19">
      <c r="A375" s="30">
        <v>3</v>
      </c>
      <c r="B375" s="30" t="s">
        <v>1393</v>
      </c>
      <c r="C375" s="30"/>
      <c r="D375" s="30" t="s">
        <v>1208</v>
      </c>
      <c r="E375" s="30" t="s">
        <v>984</v>
      </c>
      <c r="F375" s="30" t="s">
        <v>316</v>
      </c>
      <c r="G375" s="39" t="str">
        <f>VLOOKUP(F375,glossary!J:N,2,FALSE)</f>
        <v>Service/Retrieval Comments</v>
      </c>
      <c r="H375" s="34" t="s">
        <v>316</v>
      </c>
      <c r="I375" s="45" t="str">
        <f t="shared" si="17"/>
        <v>service_retrieval_comments_tu</v>
      </c>
      <c r="J375" s="42" t="s">
        <v>757</v>
      </c>
      <c r="K375" s="39" t="str">
        <f>VLOOKUP(F375,glossary!J:N,5,FALSE)</f>
        <v>Comments describing additional details about the Service*/Retrieval.</v>
      </c>
      <c r="L375" t="s">
        <v>1487</v>
      </c>
      <c r="M375" s="30" t="str">
        <f t="shared" si="18"/>
        <v>{{ service_retrieval_comments_tu }}</v>
      </c>
      <c r="N375" t="s">
        <v>896</v>
      </c>
      <c r="O375" s="13" t="s">
        <v>1816</v>
      </c>
      <c r="P375" t="s">
        <v>4582</v>
      </c>
      <c r="Q375" t="str">
        <f t="shared" si="19"/>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75" t="b" cm="1">
        <f t="array" ref="R375">SUMPRODUCT(--EXACT($J$2:$J$490,J375))&gt;1</f>
        <v>0</v>
      </c>
      <c r="S375" t="s">
        <v>5045</v>
      </c>
    </row>
    <row r="376" spans="1:19">
      <c r="A376" s="30">
        <v>3</v>
      </c>
      <c r="B376" s="30" t="s">
        <v>1393</v>
      </c>
      <c r="C376" s="30"/>
      <c r="D376" s="30" t="s">
        <v>1208</v>
      </c>
      <c r="E376" s="30" t="s">
        <v>984</v>
      </c>
      <c r="F376" s="30" t="s">
        <v>256</v>
      </c>
      <c r="G376" s="39" t="str">
        <f>VLOOKUP(F376,glossary!J:N,2,FALSE)</f>
        <v>Service/Retrieval Crew</v>
      </c>
      <c r="H376" s="34" t="s">
        <v>256</v>
      </c>
      <c r="I376" s="45" t="str">
        <f t="shared" si="17"/>
        <v>service_retrieval_crew_tu</v>
      </c>
      <c r="J376" s="42" t="s">
        <v>715</v>
      </c>
      <c r="K376" s="39" t="str">
        <f>VLOOKUP(F376,glossary!J:N,5,FALSE)</f>
        <v>The first and last names of the individuals who collected data during the Service*/Retrieval visit.</v>
      </c>
      <c r="L376" t="s">
        <v>1486</v>
      </c>
      <c r="M376" s="30" t="str">
        <f t="shared" si="18"/>
        <v>{{ service_retrieval_crew_tu }}</v>
      </c>
      <c r="N376" t="s">
        <v>896</v>
      </c>
      <c r="O376" s="13" t="s">
        <v>1816</v>
      </c>
      <c r="P376" t="s">
        <v>4582</v>
      </c>
      <c r="Q376" t="str">
        <f t="shared" si="19"/>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76" t="b" cm="1">
        <f t="array" ref="R376">SUMPRODUCT(--EXACT($J$2:$J$490,J376))&gt;1</f>
        <v>0</v>
      </c>
      <c r="S376" t="s">
        <v>5046</v>
      </c>
    </row>
    <row r="377" spans="1:19">
      <c r="A377" s="30">
        <v>3</v>
      </c>
      <c r="B377" s="30" t="s">
        <v>1393</v>
      </c>
      <c r="C377" s="30"/>
      <c r="D377" s="30" t="s">
        <v>1207</v>
      </c>
      <c r="E377" s="30" t="s">
        <v>984</v>
      </c>
      <c r="F377" s="30" t="s">
        <v>113</v>
      </c>
      <c r="G377" s="39" t="str">
        <f>VLOOKUP(F377,glossary!J:N,2,FALSE)</f>
        <v>Service/Retrieval metadata</v>
      </c>
      <c r="H377" s="34" t="s">
        <v>113</v>
      </c>
      <c r="I377" s="45" t="str">
        <f t="shared" si="17"/>
        <v>service_retrieval_metadata_tl</v>
      </c>
      <c r="J377" s="43" t="s">
        <v>973</v>
      </c>
      <c r="K377" s="39" t="str">
        <f>VLOOKUP(F377,glossary!J:N,5,FALSE)</f>
        <v>Metadata that should be collected each time a camera location is visited to Service*/Retrieval Field Datasheet.</v>
      </c>
      <c r="L377" t="s">
        <v>1485</v>
      </c>
      <c r="M377" s="30" t="str">
        <f t="shared" si="18"/>
        <v>{{ service_retrieval_metadata_tl }}</v>
      </c>
      <c r="N377" t="s">
        <v>896</v>
      </c>
      <c r="O377" s="13" t="s">
        <v>1816</v>
      </c>
      <c r="P377" t="s">
        <v>4582</v>
      </c>
      <c r="Q377" t="str">
        <f t="shared" si="19"/>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7" t="b" cm="1">
        <f t="array" ref="R377">SUMPRODUCT(--EXACT($J$2:$J$490,J377))&gt;1</f>
        <v>0</v>
      </c>
      <c r="S377" t="s">
        <v>5047</v>
      </c>
    </row>
    <row r="378" spans="1:19">
      <c r="A378" s="30">
        <v>3</v>
      </c>
      <c r="B378" s="30" t="s">
        <v>1393</v>
      </c>
      <c r="C378" s="30"/>
      <c r="D378" s="30" t="s">
        <v>1208</v>
      </c>
      <c r="E378" s="30" t="s">
        <v>984</v>
      </c>
      <c r="F378" s="30" t="s">
        <v>113</v>
      </c>
      <c r="G378" s="39" t="str">
        <f>VLOOKUP(F378,glossary!J:N,2,FALSE)</f>
        <v>Service/Retrieval metadata</v>
      </c>
      <c r="H378" s="34" t="s">
        <v>113</v>
      </c>
      <c r="I378" s="45" t="str">
        <f t="shared" si="17"/>
        <v>service_retrieval_metadata_tu</v>
      </c>
      <c r="J378" s="42" t="s">
        <v>716</v>
      </c>
      <c r="K378" s="39" t="str">
        <f>VLOOKUP(F378,glossary!J:N,5,FALSE)</f>
        <v>Metadata that should be collected each time a camera location is visited to Service*/Retrieval Field Datasheet.</v>
      </c>
      <c r="L378" t="s">
        <v>1484</v>
      </c>
      <c r="M378" s="30" t="str">
        <f t="shared" si="18"/>
        <v>{{ service_retrieval_metadata_tu }}</v>
      </c>
      <c r="N378" t="s">
        <v>896</v>
      </c>
      <c r="O378" s="13" t="s">
        <v>1816</v>
      </c>
      <c r="P378" t="s">
        <v>4582</v>
      </c>
      <c r="Q378" t="str">
        <f t="shared" si="19"/>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8" t="b" cm="1">
        <f t="array" ref="R378">SUMPRODUCT(--EXACT($J$2:$J$490,J378))&gt;1</f>
        <v>0</v>
      </c>
      <c r="S378" t="s">
        <v>5048</v>
      </c>
    </row>
    <row r="379" spans="1:19">
      <c r="A379" s="30">
        <v>3</v>
      </c>
      <c r="B379" s="30" t="s">
        <v>1393</v>
      </c>
      <c r="C379" s="30"/>
      <c r="D379" s="30" t="s">
        <v>1207</v>
      </c>
      <c r="E379" s="30" t="s">
        <v>984</v>
      </c>
      <c r="F379" s="30" t="s">
        <v>110</v>
      </c>
      <c r="G379" s="39" t="str">
        <f>VLOOKUP(F379,glossary!J:N,2,FALSE)</f>
        <v>Service/Retrieval visit</v>
      </c>
      <c r="H379" s="34" t="s">
        <v>110</v>
      </c>
      <c r="I379" s="45" t="str">
        <f t="shared" si="17"/>
        <v>service_retrieval_visit_tl</v>
      </c>
      <c r="J379" s="43" t="s">
        <v>974</v>
      </c>
      <c r="K379" s="39" t="str">
        <f>VLOOKUP(F379,glossary!J:N,5,FALSE)</f>
        <v>When a crew has gone to a location to service or retrieve a remote camera.</v>
      </c>
      <c r="L379" t="s">
        <v>1483</v>
      </c>
      <c r="M379" s="30" t="str">
        <f t="shared" si="18"/>
        <v>{{ service_retrieval_visit_tl }}</v>
      </c>
      <c r="N379" t="s">
        <v>896</v>
      </c>
      <c r="O379" s="13" t="s">
        <v>1816</v>
      </c>
      <c r="P379" t="s">
        <v>4582</v>
      </c>
      <c r="Q379" t="str">
        <f t="shared" si="19"/>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79" t="b" cm="1">
        <f t="array" ref="R379">SUMPRODUCT(--EXACT($J$2:$J$490,J379))&gt;1</f>
        <v>0</v>
      </c>
      <c r="S379" t="s">
        <v>5049</v>
      </c>
    </row>
    <row r="380" spans="1:19">
      <c r="A380" s="30">
        <v>3</v>
      </c>
      <c r="B380" s="30" t="s">
        <v>1393</v>
      </c>
      <c r="C380" s="30"/>
      <c r="D380" s="30" t="s">
        <v>1208</v>
      </c>
      <c r="E380" s="30" t="s">
        <v>984</v>
      </c>
      <c r="F380" s="30" t="s">
        <v>110</v>
      </c>
      <c r="G380" s="39" t="str">
        <f>VLOOKUP(F380,glossary!J:N,2,FALSE)</f>
        <v>Service/Retrieval visit</v>
      </c>
      <c r="H380" s="34" t="s">
        <v>110</v>
      </c>
      <c r="I380" s="45" t="str">
        <f t="shared" si="17"/>
        <v>service_retrieval_visit_tu</v>
      </c>
      <c r="J380" s="42" t="s">
        <v>717</v>
      </c>
      <c r="K380" s="39" t="str">
        <f>VLOOKUP(F380,glossary!J:N,5,FALSE)</f>
        <v>When a crew has gone to a location to service or retrieve a remote camera.</v>
      </c>
      <c r="L380" t="s">
        <v>1482</v>
      </c>
      <c r="M380" s="30" t="str">
        <f t="shared" ref="M380:M411" si="20">"{{ "&amp;I380&amp;" }}"</f>
        <v>{{ service_retrieval_visit_tu }}</v>
      </c>
      <c r="N380" t="s">
        <v>896</v>
      </c>
      <c r="O380" s="13" t="s">
        <v>1816</v>
      </c>
      <c r="P380" t="s">
        <v>4582</v>
      </c>
      <c r="Q380" t="str">
        <f t="shared" ref="Q380:Q411" si="21">IF(K380&lt;&gt;"-",("    "&amp;I380&amp;": "&amp;""""&amp;"&lt;a href=\"&amp;""""&amp;"09_glossary.html#"&amp;H380&amp;N380&amp;G380&amp;": "&amp;K380&amp;O380&amp;J380&amp;P380&amp;""""),"-")</f>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80" t="b" cm="1">
        <f t="array" ref="R380">SUMPRODUCT(--EXACT($J$2:$J$490,J380))&gt;1</f>
        <v>0</v>
      </c>
      <c r="S380" t="s">
        <v>5050</v>
      </c>
    </row>
    <row r="381" spans="1:19">
      <c r="A381" s="30">
        <v>3</v>
      </c>
      <c r="B381" s="30" t="s">
        <v>1393</v>
      </c>
      <c r="C381" s="30"/>
      <c r="D381" s="30" t="s">
        <v>1207</v>
      </c>
      <c r="E381" s="30" t="s">
        <v>984</v>
      </c>
      <c r="F381" s="30" t="s">
        <v>185</v>
      </c>
      <c r="G381" s="39" t="str">
        <f>VLOOKUP(F381,glossary!J:N,2,FALSE)</f>
        <v>Flash output</v>
      </c>
      <c r="H381" s="34" t="s">
        <v>185</v>
      </c>
      <c r="I381" s="45" t="str">
        <f t="shared" si="17"/>
        <v>settings_flash_output_tl</v>
      </c>
      <c r="J381" s="43" t="s">
        <v>921</v>
      </c>
      <c r="K381" s="39" t="str">
        <f>VLOOKUP(F381,glossary!J:N,5,FALSE)</f>
        <v>The camera setting that provides the level of intensity of the flash (if enabled).</v>
      </c>
      <c r="L381" t="s">
        <v>1481</v>
      </c>
      <c r="M381" s="30" t="str">
        <f t="shared" si="20"/>
        <v>{{ settings_flash_output_tl }}</v>
      </c>
      <c r="N381" t="s">
        <v>896</v>
      </c>
      <c r="O381" s="13" t="s">
        <v>1816</v>
      </c>
      <c r="P381" t="s">
        <v>4582</v>
      </c>
      <c r="Q381" t="str">
        <f t="shared" si="21"/>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1" t="b" cm="1">
        <f t="array" ref="R381">SUMPRODUCT(--EXACT($J$2:$J$490,J381))&gt;1</f>
        <v>0</v>
      </c>
      <c r="S381" t="s">
        <v>5051</v>
      </c>
    </row>
    <row r="382" spans="1:19">
      <c r="A382" s="30">
        <v>3</v>
      </c>
      <c r="B382" s="30" t="s">
        <v>1393</v>
      </c>
      <c r="C382" s="30"/>
      <c r="D382" s="30" t="s">
        <v>1208</v>
      </c>
      <c r="E382" s="30" t="s">
        <v>984</v>
      </c>
      <c r="F382" s="30" t="s">
        <v>185</v>
      </c>
      <c r="G382" s="39" t="str">
        <f>VLOOKUP(F382,glossary!J:N,2,FALSE)</f>
        <v>Flash output</v>
      </c>
      <c r="H382" s="34" t="s">
        <v>185</v>
      </c>
      <c r="I382" s="45" t="str">
        <f t="shared" si="17"/>
        <v>settings_flash_output_tu</v>
      </c>
      <c r="J382" s="42" t="s">
        <v>187</v>
      </c>
      <c r="K382" s="39" t="str">
        <f>VLOOKUP(F382,glossary!J:N,5,FALSE)</f>
        <v>The camera setting that provides the level of intensity of the flash (if enabled).</v>
      </c>
      <c r="L382" t="s">
        <v>1480</v>
      </c>
      <c r="M382" s="30" t="str">
        <f t="shared" si="20"/>
        <v>{{ settings_flash_output_tu }}</v>
      </c>
      <c r="N382" t="s">
        <v>896</v>
      </c>
      <c r="O382" s="13" t="s">
        <v>1816</v>
      </c>
      <c r="P382" t="s">
        <v>4582</v>
      </c>
      <c r="Q382" t="str">
        <f t="shared" si="21"/>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2" t="b" cm="1">
        <f t="array" ref="R382">SUMPRODUCT(--EXACT($J$2:$J$490,J382))&gt;1</f>
        <v>0</v>
      </c>
      <c r="S382" t="s">
        <v>5052</v>
      </c>
    </row>
    <row r="383" spans="1:19">
      <c r="A383" s="30">
        <v>3</v>
      </c>
      <c r="B383" s="30" t="s">
        <v>1393</v>
      </c>
      <c r="C383" s="30"/>
      <c r="D383" s="30" t="s">
        <v>1207</v>
      </c>
      <c r="E383" s="30" t="s">
        <v>984</v>
      </c>
      <c r="F383" s="30" t="s">
        <v>168</v>
      </c>
      <c r="G383" s="39" t="str">
        <f>VLOOKUP(F383,glossary!J:N,2,FALSE)</f>
        <v>Infrared illuminator</v>
      </c>
      <c r="H383" s="34" t="s">
        <v>168</v>
      </c>
      <c r="I383" s="45" t="str">
        <f t="shared" si="17"/>
        <v>settings_infrared_illum_tl</v>
      </c>
      <c r="J383" s="43" t="s">
        <v>929</v>
      </c>
      <c r="K383" s="39" t="str">
        <f>VLOOKUP(F383,glossary!J:N,5,FALSE)</f>
        <v>The camera setting that can be enabled (if applicable to the camera make and camera model) to obtain greater visibility at night by producing infrared light. This field is categorical; leave blank if not applicable and record 'Unknown' if not known.</v>
      </c>
      <c r="L383" t="s">
        <v>1479</v>
      </c>
      <c r="M383" s="30" t="str">
        <f t="shared" si="20"/>
        <v>{{ settings_infrared_illum_tl }}</v>
      </c>
      <c r="N383" t="s">
        <v>896</v>
      </c>
      <c r="O383" s="13" t="s">
        <v>1816</v>
      </c>
      <c r="P383" t="s">
        <v>4582</v>
      </c>
      <c r="Q383" t="str">
        <f t="shared" si="21"/>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3" t="b" cm="1">
        <f t="array" ref="R383">SUMPRODUCT(--EXACT($J$2:$J$490,J383))&gt;1</f>
        <v>0</v>
      </c>
      <c r="S383" t="s">
        <v>5053</v>
      </c>
    </row>
    <row r="384" spans="1:19">
      <c r="A384" s="30">
        <v>3</v>
      </c>
      <c r="B384" s="30" t="s">
        <v>1393</v>
      </c>
      <c r="C384" s="30"/>
      <c r="D384" s="30" t="s">
        <v>1208</v>
      </c>
      <c r="E384" s="30" t="s">
        <v>984</v>
      </c>
      <c r="F384" s="30" t="s">
        <v>168</v>
      </c>
      <c r="G384" s="39" t="str">
        <f>VLOOKUP(F384,glossary!J:N,2,FALSE)</f>
        <v>Infrared illuminator</v>
      </c>
      <c r="H384" s="34" t="s">
        <v>168</v>
      </c>
      <c r="I384" s="45" t="str">
        <f t="shared" si="17"/>
        <v>settings_infrared_illum_tu</v>
      </c>
      <c r="J384" s="42" t="s">
        <v>169</v>
      </c>
      <c r="K384" s="39" t="str">
        <f>VLOOKUP(F384,glossary!J:N,5,FALSE)</f>
        <v>The camera setting that can be enabled (if applicable to the camera make and camera model) to obtain greater visibility at night by producing infrared light. This field is categorical; leave blank if not applicable and record 'Unknown' if not known.</v>
      </c>
      <c r="L384" t="s">
        <v>1478</v>
      </c>
      <c r="M384" s="30" t="str">
        <f t="shared" si="20"/>
        <v>{{ settings_infrared_illum_tu }}</v>
      </c>
      <c r="N384" t="s">
        <v>896</v>
      </c>
      <c r="O384" s="13" t="s">
        <v>1816</v>
      </c>
      <c r="P384" t="s">
        <v>4582</v>
      </c>
      <c r="Q384" t="str">
        <f t="shared" si="21"/>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4" t="b" cm="1">
        <f t="array" ref="R384">SUMPRODUCT(--EXACT($J$2:$J$490,J384))&gt;1</f>
        <v>0</v>
      </c>
      <c r="S384" t="s">
        <v>5054</v>
      </c>
    </row>
    <row r="385" spans="1:19">
      <c r="A385" s="30">
        <v>1</v>
      </c>
      <c r="B385" s="30" t="s">
        <v>1064</v>
      </c>
      <c r="C385" s="30" t="s">
        <v>0</v>
      </c>
      <c r="D385" s="30" t="s">
        <v>1208</v>
      </c>
      <c r="E385" s="30" t="s">
        <v>1757</v>
      </c>
      <c r="F385" s="30" t="s">
        <v>1265</v>
      </c>
      <c r="G385" s="39" t="str">
        <f>VLOOKUP(F385,glossary!J:N,2,FALSE)</f>
        <v>Motion Image Interval (seconds)</v>
      </c>
      <c r="H385" s="30" t="s">
        <v>1265</v>
      </c>
      <c r="I385" s="45" t="str">
        <f t="shared" si="17"/>
        <v>settings_motion_img_interval_tu_nu</v>
      </c>
      <c r="J385" s="39" t="s">
        <v>1075</v>
      </c>
      <c r="K385" s="39" t="str">
        <f>VLOOKUP(F385,glossary!J:N,5,FALSE)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5" s="30" t="s">
        <v>1270</v>
      </c>
      <c r="M385" s="30" t="str">
        <f t="shared" si="20"/>
        <v>{{ settings_motion_img_interval_tu_nu }}</v>
      </c>
      <c r="N385" t="s">
        <v>896</v>
      </c>
      <c r="O385" s="13" t="s">
        <v>1816</v>
      </c>
      <c r="P385" t="s">
        <v>4582</v>
      </c>
      <c r="Q385" t="str">
        <f t="shared" si="2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385" t="b" cm="1">
        <f t="array" ref="R385">SUMPRODUCT(--EXACT($J$2:$J$490,J385))&gt;1</f>
        <v>0</v>
      </c>
      <c r="S385" t="s">
        <v>5055</v>
      </c>
    </row>
    <row r="386" spans="1:19">
      <c r="A386" s="30">
        <v>3</v>
      </c>
      <c r="B386" s="30" t="s">
        <v>1393</v>
      </c>
      <c r="C386" s="30"/>
      <c r="D386" s="30" t="s">
        <v>1208</v>
      </c>
      <c r="E386" s="30" t="s">
        <v>1751</v>
      </c>
      <c r="F386" s="30" t="s">
        <v>1265</v>
      </c>
      <c r="G386" s="39" t="str">
        <f>VLOOKUP(F386,glossary!J:N,2,FALSE)</f>
        <v>Motion Image Interval (seconds)</v>
      </c>
      <c r="H386" s="34" t="s">
        <v>1265</v>
      </c>
      <c r="I386" s="45" t="str">
        <f t="shared" ref="I386:I449" si="22">IF(D386="-","-",IF(E386&lt;&gt;"-",(H386&amp;"_"&amp;D386&amp;"_"&amp;E386),H386&amp;"_"&amp;D386))</f>
        <v>settings_motion_img_interval_tu_u</v>
      </c>
      <c r="J386" s="42" t="s">
        <v>718</v>
      </c>
      <c r="K386" s="39" t="str">
        <f>VLOOKUP(F386,glossary!J:N,5,FALSE)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6" t="s">
        <v>1477</v>
      </c>
      <c r="M386" s="30" t="str">
        <f t="shared" si="20"/>
        <v>{{ settings_motion_img_interval_tu_u }}</v>
      </c>
      <c r="N386" t="s">
        <v>896</v>
      </c>
      <c r="O386" s="13" t="s">
        <v>1816</v>
      </c>
      <c r="P386" t="s">
        <v>4582</v>
      </c>
      <c r="Q386" t="str">
        <f t="shared" si="2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386" t="b" cm="1">
        <f t="array" ref="R386">SUMPRODUCT(--EXACT($J$2:$J$490,J386))&gt;1</f>
        <v>0</v>
      </c>
      <c r="S386" t="s">
        <v>5056</v>
      </c>
    </row>
    <row r="387" spans="1:19">
      <c r="A387" s="30">
        <v>3</v>
      </c>
      <c r="B387" s="30" t="s">
        <v>1393</v>
      </c>
      <c r="C387" s="30"/>
      <c r="D387" s="30" t="s">
        <v>1208</v>
      </c>
      <c r="E387" s="30" t="s">
        <v>984</v>
      </c>
      <c r="F387" s="30" t="s">
        <v>274</v>
      </c>
      <c r="G387" s="39" t="str">
        <f>VLOOKUP(F387,glossary!J:N,2,FALSE)</f>
        <v>Photos Per Trigger</v>
      </c>
      <c r="H387" s="34" t="s">
        <v>274</v>
      </c>
      <c r="I387" s="45" t="str">
        <f t="shared" si="22"/>
        <v>settings_photos_per_trigger_tu</v>
      </c>
      <c r="J387" s="42" t="s">
        <v>719</v>
      </c>
      <c r="K387" s="39" t="str">
        <f>VLOOKUP(F387,glossary!J:N,5,FALSE)</f>
        <v>The camera setting that describes the number of photos taken each time the camera is triggered.</v>
      </c>
      <c r="L387" t="s">
        <v>1476</v>
      </c>
      <c r="M387" s="30" t="str">
        <f t="shared" si="20"/>
        <v>{{ settings_photos_per_trigger_tu }}</v>
      </c>
      <c r="N387" t="s">
        <v>896</v>
      </c>
      <c r="O387" s="13" t="s">
        <v>1816</v>
      </c>
      <c r="P387" t="s">
        <v>4582</v>
      </c>
      <c r="Q387" t="str">
        <f t="shared" si="21"/>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387" t="b" cm="1">
        <f t="array" ref="R387">SUMPRODUCT(--EXACT($J$2:$J$490,J387))&gt;1</f>
        <v>0</v>
      </c>
      <c r="S387" t="s">
        <v>5057</v>
      </c>
    </row>
    <row r="388" spans="1:19">
      <c r="A388" s="30">
        <v>1</v>
      </c>
      <c r="B388" s="30" t="s">
        <v>1064</v>
      </c>
      <c r="C388" s="30" t="s">
        <v>0</v>
      </c>
      <c r="D388" s="30" t="s">
        <v>1208</v>
      </c>
      <c r="E388" s="30" t="s">
        <v>1757</v>
      </c>
      <c r="F388" s="30" t="s">
        <v>261</v>
      </c>
      <c r="G388" s="39" t="str">
        <f>VLOOKUP(F388,glossary!J:N,2,FALSE)</f>
        <v>Quiet Period (seconds)</v>
      </c>
      <c r="H388" s="30" t="s">
        <v>261</v>
      </c>
      <c r="I388" s="45" t="str">
        <f t="shared" si="22"/>
        <v>settings_quiet_period_tu_nu</v>
      </c>
      <c r="J388" s="39" t="s">
        <v>1086</v>
      </c>
      <c r="K388" s="39" t="str">
        <f>VLOOKUP(F388,glossary!J:N,5,FALSE)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8" s="30" t="s">
        <v>1094</v>
      </c>
      <c r="M388" s="30" t="str">
        <f t="shared" si="20"/>
        <v>{{ settings_quiet_period_tu_nu }}</v>
      </c>
      <c r="N388" t="s">
        <v>896</v>
      </c>
      <c r="O388" s="13" t="s">
        <v>1816</v>
      </c>
      <c r="P388" t="s">
        <v>4582</v>
      </c>
      <c r="Q388" t="str">
        <f t="shared" si="21"/>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388" t="b" cm="1">
        <f t="array" ref="R388">SUMPRODUCT(--EXACT($J$2:$J$490,J388))&gt;1</f>
        <v>0</v>
      </c>
      <c r="S388" t="s">
        <v>5058</v>
      </c>
    </row>
    <row r="389" spans="1:19">
      <c r="A389" s="30">
        <v>3</v>
      </c>
      <c r="B389" s="30" t="s">
        <v>1393</v>
      </c>
      <c r="C389" s="30"/>
      <c r="D389" s="30" t="s">
        <v>1208</v>
      </c>
      <c r="E389" s="30" t="s">
        <v>1751</v>
      </c>
      <c r="F389" s="30" t="s">
        <v>261</v>
      </c>
      <c r="G389" s="39" t="str">
        <f>VLOOKUP(F389,glossary!J:N,2,FALSE)</f>
        <v>Quiet Period (seconds)</v>
      </c>
      <c r="H389" s="34" t="s">
        <v>261</v>
      </c>
      <c r="I389" s="45" t="str">
        <f t="shared" si="22"/>
        <v>settings_quiet_period_tu_u</v>
      </c>
      <c r="J389" s="42" t="s">
        <v>720</v>
      </c>
      <c r="K389" s="39" t="str">
        <f>VLOOKUP(F389,glossary!J:N,5,FALSE)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9" t="s">
        <v>1475</v>
      </c>
      <c r="M389" s="30" t="str">
        <f t="shared" si="20"/>
        <v>{{ settings_quiet_period_tu_u }}</v>
      </c>
      <c r="N389" t="s">
        <v>896</v>
      </c>
      <c r="O389" s="13" t="s">
        <v>1816</v>
      </c>
      <c r="P389" t="s">
        <v>4582</v>
      </c>
      <c r="Q389" t="str">
        <f t="shared" si="21"/>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389" t="b" cm="1">
        <f t="array" ref="R389">SUMPRODUCT(--EXACT($J$2:$J$490,J389))&gt;1</f>
        <v>0</v>
      </c>
      <c r="S389" t="s">
        <v>5059</v>
      </c>
    </row>
    <row r="390" spans="1:19">
      <c r="A390" s="30">
        <v>3</v>
      </c>
      <c r="B390" s="30" t="s">
        <v>1393</v>
      </c>
      <c r="C390" s="30"/>
      <c r="D390" s="30" t="s">
        <v>1208</v>
      </c>
      <c r="E390" s="30" t="s">
        <v>1755</v>
      </c>
      <c r="F390" s="30" t="s">
        <v>239</v>
      </c>
      <c r="G390" s="39" t="str">
        <f>VLOOKUP(F390,glossary!J:N,2,FALSE)</f>
        <v>Trigger Mode(s) (camera settings)</v>
      </c>
      <c r="H390" s="34" t="s">
        <v>239</v>
      </c>
      <c r="I390" s="45" t="str">
        <f t="shared" si="22"/>
        <v>settings_trigger_modes_tu_mod</v>
      </c>
      <c r="J390" s="42" t="s">
        <v>1776</v>
      </c>
      <c r="K390" s="39" t="str">
        <f>VLOOKUP(F390,glossary!J:N,5,FALSE)</f>
        <v>The camera setting(s) that determine how the camera will trigger: by motion ('Motion Image'), at set intervals ('Time-lapse image'), and*/or by video ('Video'; possible with newer camera models, such as Reconyx HP2X).</v>
      </c>
      <c r="L390" t="s">
        <v>1829</v>
      </c>
      <c r="M390" s="30" t="str">
        <f t="shared" si="20"/>
        <v>{{ settings_trigger_modes_tu_mod }}</v>
      </c>
      <c r="N390" t="s">
        <v>896</v>
      </c>
      <c r="O390" s="13" t="s">
        <v>1816</v>
      </c>
      <c r="P390" t="s">
        <v>4582</v>
      </c>
      <c r="Q390" t="str">
        <f t="shared" si="21"/>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390" t="b" cm="1">
        <f t="array" ref="R390">SUMPRODUCT(--EXACT($J$2:$J$490,J390))&gt;1</f>
        <v>0</v>
      </c>
      <c r="S390" t="s">
        <v>5060</v>
      </c>
    </row>
    <row r="391" spans="1:19">
      <c r="A391" s="30">
        <v>3</v>
      </c>
      <c r="B391" s="30" t="s">
        <v>1393</v>
      </c>
      <c r="C391" s="30"/>
      <c r="D391" s="30" t="s">
        <v>1208</v>
      </c>
      <c r="E391" s="30" t="s">
        <v>984</v>
      </c>
      <c r="F391" s="30" t="s">
        <v>238</v>
      </c>
      <c r="G391" s="39" t="str">
        <f>VLOOKUP(F391,glossary!J:N,2,FALSE)</f>
        <v>Trigger Sensitivity</v>
      </c>
      <c r="H391" s="34" t="s">
        <v>238</v>
      </c>
      <c r="I391" s="45" t="str">
        <f t="shared" si="22"/>
        <v>settings_trigger_sensitivity_tu</v>
      </c>
      <c r="J391" s="42" t="s">
        <v>721</v>
      </c>
      <c r="K391" s="39" t="str">
        <f>VLOOKUP(F391,glossary!J:N,5,FALSE)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391" t="s">
        <v>1474</v>
      </c>
      <c r="M391" s="30" t="str">
        <f t="shared" si="20"/>
        <v>{{ settings_trigger_sensitivity_tu }}</v>
      </c>
      <c r="N391" t="s">
        <v>896</v>
      </c>
      <c r="O391" s="13" t="s">
        <v>1816</v>
      </c>
      <c r="P391" t="s">
        <v>4582</v>
      </c>
      <c r="Q391" t="str">
        <f t="shared" si="21"/>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391" t="b" cm="1">
        <f t="array" ref="R391">SUMPRODUCT(--EXACT($J$2:$J$490,J391))&gt;1</f>
        <v>0</v>
      </c>
      <c r="S391" t="s">
        <v>5061</v>
      </c>
    </row>
    <row r="392" spans="1:19">
      <c r="A392" s="30">
        <v>3</v>
      </c>
      <c r="B392" s="30" t="s">
        <v>1393</v>
      </c>
      <c r="C392" s="30"/>
      <c r="D392" s="30" t="s">
        <v>1207</v>
      </c>
      <c r="E392" s="30" t="s">
        <v>984</v>
      </c>
      <c r="F392" s="30" t="s">
        <v>69</v>
      </c>
      <c r="G392" s="39" t="str">
        <f>VLOOKUP(F392,glossary!J:N,2,FALSE)</f>
        <v>User label</v>
      </c>
      <c r="H392" s="34" t="s">
        <v>69</v>
      </c>
      <c r="I392" s="45" t="str">
        <f t="shared" si="22"/>
        <v>settings_userlabel_tl</v>
      </c>
      <c r="J392" s="43" t="s">
        <v>966</v>
      </c>
      <c r="K392" s="39" t="str">
        <f>VLOOKUP(F392,glossary!J:N,5,FALSE)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2" t="s">
        <v>1473</v>
      </c>
      <c r="M392" s="30" t="str">
        <f t="shared" si="20"/>
        <v>{{ settings_userlabel_tl }}</v>
      </c>
      <c r="N392" t="s">
        <v>896</v>
      </c>
      <c r="O392" s="13" t="s">
        <v>1816</v>
      </c>
      <c r="P392" t="s">
        <v>4582</v>
      </c>
      <c r="Q392" t="str">
        <f t="shared" si="21"/>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2" t="b" cm="1">
        <f t="array" ref="R392">SUMPRODUCT(--EXACT($J$2:$J$490,J392))&gt;1</f>
        <v>0</v>
      </c>
      <c r="S392" t="s">
        <v>5062</v>
      </c>
    </row>
    <row r="393" spans="1:19">
      <c r="A393" s="30">
        <v>3</v>
      </c>
      <c r="B393" s="30" t="s">
        <v>1393</v>
      </c>
      <c r="C393" s="30"/>
      <c r="D393" s="30" t="s">
        <v>1208</v>
      </c>
      <c r="E393" s="30" t="s">
        <v>984</v>
      </c>
      <c r="F393" s="30" t="s">
        <v>69</v>
      </c>
      <c r="G393" s="39" t="str">
        <f>VLOOKUP(F393,glossary!J:N,2,FALSE)</f>
        <v>User label</v>
      </c>
      <c r="H393" s="34" t="s">
        <v>69</v>
      </c>
      <c r="I393" s="45" t="str">
        <f t="shared" si="22"/>
        <v>settings_userlabel_tu</v>
      </c>
      <c r="J393" s="42" t="s">
        <v>70</v>
      </c>
      <c r="K393" s="39" t="str">
        <f>VLOOKUP(F393,glossary!J:N,5,FALSE)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3" t="s">
        <v>1472</v>
      </c>
      <c r="M393" s="30" t="str">
        <f t="shared" si="20"/>
        <v>{{ settings_userlabel_tu }}</v>
      </c>
      <c r="N393" t="s">
        <v>896</v>
      </c>
      <c r="O393" s="13" t="s">
        <v>1816</v>
      </c>
      <c r="P393" t="s">
        <v>4582</v>
      </c>
      <c r="Q393" t="str">
        <f t="shared" si="21"/>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3" t="b" cm="1">
        <f t="array" ref="R393">SUMPRODUCT(--EXACT($J$2:$J$490,J393))&gt;1</f>
        <v>0</v>
      </c>
      <c r="S393" t="s">
        <v>5063</v>
      </c>
    </row>
    <row r="394" spans="1:19">
      <c r="A394" s="30">
        <v>1</v>
      </c>
      <c r="B394" s="30" t="s">
        <v>1064</v>
      </c>
      <c r="C394" s="30" t="s">
        <v>429</v>
      </c>
      <c r="D394" s="30" t="s">
        <v>1208</v>
      </c>
      <c r="E394" s="30" t="s">
        <v>1757</v>
      </c>
      <c r="F394" s="30" t="s">
        <v>311</v>
      </c>
      <c r="G394" s="39" t="str">
        <f>VLOOKUP(F394,glossary!J:N,2,FALSE)</f>
        <v>Video Length (seconds)</v>
      </c>
      <c r="H394" s="30" t="s">
        <v>311</v>
      </c>
      <c r="I394" s="45" t="str">
        <f t="shared" si="22"/>
        <v>settings_video_length_tu_nu</v>
      </c>
      <c r="J394" s="39" t="s">
        <v>1081</v>
      </c>
      <c r="K394" s="39" t="str">
        <f>VLOOKUP(F394,glossary!J:N,5,FALSE)</f>
        <v>If applicable, describes the camera setting that specifies the minimum video duration (in seconds) that the camera will record when triggered. Leave blank if not applicable.</v>
      </c>
      <c r="L394" s="30" t="s">
        <v>1095</v>
      </c>
      <c r="M394" s="30" t="str">
        <f t="shared" si="20"/>
        <v>{{ settings_video_length_tu_nu }}</v>
      </c>
      <c r="N394" t="s">
        <v>896</v>
      </c>
      <c r="O394" s="13" t="s">
        <v>1816</v>
      </c>
      <c r="P394" t="s">
        <v>4582</v>
      </c>
      <c r="Q394" t="str">
        <f t="shared" si="21"/>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394" t="b" cm="1">
        <f t="array" ref="R394">SUMPRODUCT(--EXACT($J$2:$J$490,J394))&gt;1</f>
        <v>0</v>
      </c>
      <c r="S394" t="s">
        <v>5064</v>
      </c>
    </row>
    <row r="395" spans="1:19">
      <c r="A395" s="30">
        <v>3</v>
      </c>
      <c r="B395" s="30" t="s">
        <v>1393</v>
      </c>
      <c r="C395" s="30"/>
      <c r="D395" s="30" t="s">
        <v>1208</v>
      </c>
      <c r="E395" s="30" t="s">
        <v>1751</v>
      </c>
      <c r="F395" s="30" t="s">
        <v>311</v>
      </c>
      <c r="G395" s="39" t="str">
        <f>VLOOKUP(F395,glossary!J:N,2,FALSE)</f>
        <v>Video Length (seconds)</v>
      </c>
      <c r="H395" s="34" t="s">
        <v>311</v>
      </c>
      <c r="I395" s="45" t="str">
        <f t="shared" si="22"/>
        <v>settings_video_length_tu_u</v>
      </c>
      <c r="J395" s="42" t="s">
        <v>758</v>
      </c>
      <c r="K395" s="39" t="str">
        <f>VLOOKUP(F395,glossary!J:N,5,FALSE)</f>
        <v>If applicable, describes the camera setting that specifies the minimum video duration (in seconds) that the camera will record when triggered. Leave blank if not applicable.</v>
      </c>
      <c r="L395" t="s">
        <v>1471</v>
      </c>
      <c r="M395" s="30" t="str">
        <f t="shared" si="20"/>
        <v>{{ settings_video_length_tu_u }}</v>
      </c>
      <c r="N395" t="s">
        <v>896</v>
      </c>
      <c r="O395" s="13" t="s">
        <v>1816</v>
      </c>
      <c r="P395" t="s">
        <v>4582</v>
      </c>
      <c r="Q395" t="str">
        <f t="shared" si="21"/>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395" t="b" cm="1">
        <f t="array" ref="R395">SUMPRODUCT(--EXACT($J$2:$J$490,J395))&gt;1</f>
        <v>0</v>
      </c>
      <c r="S395" t="s">
        <v>5065</v>
      </c>
    </row>
    <row r="396" spans="1:19">
      <c r="A396" s="30">
        <v>3</v>
      </c>
      <c r="B396" s="30" t="s">
        <v>1393</v>
      </c>
      <c r="C396" s="30"/>
      <c r="D396" s="30" t="s">
        <v>1208</v>
      </c>
      <c r="E396" s="30" t="s">
        <v>984</v>
      </c>
      <c r="F396" s="30" t="s">
        <v>255</v>
      </c>
      <c r="G396" s="39" t="str">
        <f>VLOOKUP(F396,glossary!J:N,2,FALSE)</f>
        <v>Sex Class</v>
      </c>
      <c r="H396" s="34" t="s">
        <v>255</v>
      </c>
      <c r="I396" s="45" t="str">
        <f t="shared" si="22"/>
        <v>sex_class_tu</v>
      </c>
      <c r="J396" s="42" t="s">
        <v>722</v>
      </c>
      <c r="K396" s="39" t="str">
        <f>VLOOKUP(F396,glossary!J:N,5,FALSE)</f>
        <v>The sex classification of individual(s) being categorized (e.g., 'Male,' 'Female,' or 'Unknown').</v>
      </c>
      <c r="L396" t="s">
        <v>1470</v>
      </c>
      <c r="M396" s="30" t="str">
        <f t="shared" si="20"/>
        <v>{{ sex_class_tu }}</v>
      </c>
      <c r="N396" t="s">
        <v>896</v>
      </c>
      <c r="O396" s="13" t="s">
        <v>1816</v>
      </c>
      <c r="P396" t="s">
        <v>4582</v>
      </c>
      <c r="Q396" t="str">
        <f t="shared" si="21"/>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96" t="b" cm="1">
        <f t="array" ref="R396">SUMPRODUCT(--EXACT($J$2:$J$490,J396))&gt;1</f>
        <v>0</v>
      </c>
      <c r="S396" t="s">
        <v>5066</v>
      </c>
    </row>
    <row r="397" spans="1:19">
      <c r="A397" s="30">
        <v>1</v>
      </c>
      <c r="B397" s="30" t="s">
        <v>1064</v>
      </c>
      <c r="C397" s="30" t="s">
        <v>429</v>
      </c>
      <c r="D397" s="30" t="s">
        <v>1208</v>
      </c>
      <c r="E397" s="30" t="s">
        <v>1758</v>
      </c>
      <c r="F397" s="30" t="s">
        <v>255</v>
      </c>
      <c r="G397" s="39" t="str">
        <f>VLOOKUP(F397,glossary!J:N,2,FALSE)</f>
        <v>Sex Class</v>
      </c>
      <c r="H397" s="30" t="s">
        <v>255</v>
      </c>
      <c r="I397" s="45" t="str">
        <f t="shared" si="22"/>
        <v>sex_class_tu_pl</v>
      </c>
      <c r="J397" s="39" t="s">
        <v>1172</v>
      </c>
      <c r="K397" s="39" t="str">
        <f>VLOOKUP(F397,glossary!J:N,5,FALSE)</f>
        <v>The sex classification of individual(s) being categorized (e.g., 'Male,' 'Female,' or 'Unknown').</v>
      </c>
      <c r="L397" s="30" t="s">
        <v>1123</v>
      </c>
      <c r="M397" s="30" t="str">
        <f t="shared" si="20"/>
        <v>{{ sex_class_tu_pl }}</v>
      </c>
      <c r="N397" t="s">
        <v>896</v>
      </c>
      <c r="O397" s="13" t="s">
        <v>1816</v>
      </c>
      <c r="P397" t="s">
        <v>4582</v>
      </c>
      <c r="Q397" t="str">
        <f t="shared" si="21"/>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97" t="b" cm="1">
        <f t="array" ref="R397">SUMPRODUCT(--EXACT($J$2:$J$490,J397))&gt;1</f>
        <v>0</v>
      </c>
      <c r="S397" t="s">
        <v>5067</v>
      </c>
    </row>
    <row r="398" spans="1:19">
      <c r="B398" s="30" t="s">
        <v>768</v>
      </c>
      <c r="D398" s="30" t="s">
        <v>1207</v>
      </c>
      <c r="E398" s="30" t="s">
        <v>984</v>
      </c>
      <c r="F398" s="30" t="s">
        <v>1363</v>
      </c>
      <c r="G398" s="39" t="str">
        <f>VLOOKUP(F398,glossary!J:N,2,FALSE)</f>
        <v>Species-accumulation curve</v>
      </c>
      <c r="H398" s="30" t="s">
        <v>1363</v>
      </c>
      <c r="I398" s="45" t="str">
        <f t="shared" si="22"/>
        <v>sp_accum_curve_tl</v>
      </c>
      <c r="J398" s="30" t="s">
        <v>1805</v>
      </c>
      <c r="K398" s="39" t="str">
        <f>VLOOKUP(F398,glossary!J:N,5,FALSE)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8" s="30" t="s">
        <v>984</v>
      </c>
      <c r="M398" s="30" t="str">
        <f t="shared" si="20"/>
        <v>{{ sp_accum_curve_tl }}</v>
      </c>
      <c r="N398" t="s">
        <v>896</v>
      </c>
      <c r="O398" s="13" t="s">
        <v>1816</v>
      </c>
      <c r="P398" t="s">
        <v>4582</v>
      </c>
      <c r="Q398" t="str">
        <f t="shared" si="21"/>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8" t="b" cm="1">
        <f t="array" ref="R398">SUMPRODUCT(--EXACT($J$2:$J$490,J398))&gt;1</f>
        <v>0</v>
      </c>
      <c r="S398" t="s">
        <v>5068</v>
      </c>
    </row>
    <row r="399" spans="1:19">
      <c r="B399" s="30" t="s">
        <v>768</v>
      </c>
      <c r="D399" s="30" t="s">
        <v>1208</v>
      </c>
      <c r="E399" s="30" t="s">
        <v>984</v>
      </c>
      <c r="F399" s="30" t="s">
        <v>1363</v>
      </c>
      <c r="G399" s="39" t="str">
        <f>VLOOKUP(F399,glossary!J:N,2,FALSE)</f>
        <v>Species-accumulation curve</v>
      </c>
      <c r="H399" s="30" t="s">
        <v>1363</v>
      </c>
      <c r="I399" s="45" t="str">
        <f t="shared" si="22"/>
        <v>sp_accum_curve_tu</v>
      </c>
      <c r="J399" s="30" t="s">
        <v>1357</v>
      </c>
      <c r="K399" s="39" t="str">
        <f>VLOOKUP(F399,glossary!J:N,5,FALSE)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9" s="30" t="s">
        <v>984</v>
      </c>
      <c r="M399" s="30" t="str">
        <f t="shared" si="20"/>
        <v>{{ sp_accum_curve_tu }}</v>
      </c>
      <c r="N399" t="s">
        <v>896</v>
      </c>
      <c r="O399" s="13" t="s">
        <v>1816</v>
      </c>
      <c r="P399" t="s">
        <v>4582</v>
      </c>
      <c r="Q399" t="str">
        <f t="shared" si="21"/>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9" t="b" cm="1">
        <f t="array" ref="R399">SUMPRODUCT(--EXACT($J$2:$J$490,J399))&gt;1</f>
        <v>0</v>
      </c>
      <c r="S399" t="s">
        <v>5069</v>
      </c>
    </row>
    <row r="400" spans="1:19">
      <c r="B400" s="30" t="s">
        <v>768</v>
      </c>
      <c r="D400" s="30" t="s">
        <v>1207</v>
      </c>
      <c r="E400" s="30" t="s">
        <v>984</v>
      </c>
      <c r="F400" s="30" t="s">
        <v>458</v>
      </c>
      <c r="G400" s="39" t="str">
        <f>VLOOKUP(F400,glossary!J:N,2,FALSE)</f>
        <v>Species rarity</v>
      </c>
      <c r="H400" s="30" t="s">
        <v>458</v>
      </c>
      <c r="I400" s="45" t="str">
        <f t="shared" si="22"/>
        <v>sp_rarity_tl</v>
      </c>
      <c r="J400" s="30" t="s">
        <v>1809</v>
      </c>
      <c r="K400" s="39" t="str">
        <f>VLOOKUP(F400,glossary!J:N,5,FALSE)</f>
        <v>the number of individuals present of the species in question, relative to the total number of individuals of all species (or how 'represented' is the species when considering the total number of individuals of all species).</v>
      </c>
      <c r="L400" s="30" t="s">
        <v>984</v>
      </c>
      <c r="M400" s="30" t="str">
        <f t="shared" si="20"/>
        <v>{{ sp_rarity_tl }}</v>
      </c>
      <c r="N400" t="s">
        <v>896</v>
      </c>
      <c r="O400" s="13" t="s">
        <v>1816</v>
      </c>
      <c r="P400" t="s">
        <v>4582</v>
      </c>
      <c r="Q400" t="str">
        <f t="shared" si="21"/>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0" t="b" cm="1">
        <f t="array" ref="R400">SUMPRODUCT(--EXACT($J$2:$J$490,J400))&gt;1</f>
        <v>0</v>
      </c>
      <c r="S400" t="s">
        <v>5070</v>
      </c>
    </row>
    <row r="401" spans="1:19">
      <c r="B401" s="30" t="s">
        <v>768</v>
      </c>
      <c r="D401" s="30" t="s">
        <v>1208</v>
      </c>
      <c r="E401" s="30" t="s">
        <v>984</v>
      </c>
      <c r="F401" s="30" t="s">
        <v>458</v>
      </c>
      <c r="G401" s="39" t="str">
        <f>VLOOKUP(F401,glossary!J:N,2,FALSE)</f>
        <v>Species rarity</v>
      </c>
      <c r="H401" s="30" t="s">
        <v>458</v>
      </c>
      <c r="I401" s="45" t="str">
        <f t="shared" si="22"/>
        <v>sp_rarity_tu</v>
      </c>
      <c r="J401" s="30" t="s">
        <v>666</v>
      </c>
      <c r="K401" s="39" t="str">
        <f>VLOOKUP(F401,glossary!J:N,5,FALSE)</f>
        <v>the number of individuals present of the species in question, relative to the total number of individuals of all species (or how 'represented' is the species when considering the total number of individuals of all species).</v>
      </c>
      <c r="L401" s="30" t="s">
        <v>984</v>
      </c>
      <c r="M401" s="30" t="str">
        <f t="shared" si="20"/>
        <v>{{ sp_rarity_tu }}</v>
      </c>
      <c r="N401" t="s">
        <v>896</v>
      </c>
      <c r="O401" s="13" t="s">
        <v>1816</v>
      </c>
      <c r="P401" t="s">
        <v>4582</v>
      </c>
      <c r="Q401" t="str">
        <f t="shared" si="21"/>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1" t="b" cm="1">
        <f t="array" ref="R401">SUMPRODUCT(--EXACT($J$2:$J$490,J401))&gt;1</f>
        <v>0</v>
      </c>
      <c r="S401" t="s">
        <v>5071</v>
      </c>
    </row>
    <row r="402" spans="1:19">
      <c r="B402" s="30" t="s">
        <v>768</v>
      </c>
      <c r="D402" s="30" t="s">
        <v>1207</v>
      </c>
      <c r="E402" s="30" t="s">
        <v>984</v>
      </c>
      <c r="F402" s="30" t="s">
        <v>798</v>
      </c>
      <c r="G402" s="39" t="str">
        <f>VLOOKUP(F402,glossary!J:N,2,FALSE)</f>
        <v>Species-specific</v>
      </c>
      <c r="H402" s="30" t="s">
        <v>798</v>
      </c>
      <c r="I402" s="45" t="str">
        <f t="shared" si="22"/>
        <v>sp_specific_tl</v>
      </c>
      <c r="J402" s="30" t="s">
        <v>1806</v>
      </c>
      <c r="K402" s="39" t="str">
        <f>VLOOKUP(F402,glossary!J:N,5,FALSE)</f>
        <v>Relating to one specific species. For example, focusing specifically on moose.' (Kemp et al., 2022).</v>
      </c>
      <c r="L402" t="s">
        <v>984</v>
      </c>
      <c r="M402" s="30" t="str">
        <f t="shared" si="20"/>
        <v>{{ sp_specific_tl }}</v>
      </c>
      <c r="N402" t="s">
        <v>896</v>
      </c>
      <c r="O402" s="13" t="s">
        <v>1816</v>
      </c>
      <c r="P402" t="s">
        <v>4582</v>
      </c>
      <c r="Q402" t="str">
        <f t="shared" si="21"/>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2" t="b" cm="1">
        <f t="array" ref="R402">SUMPRODUCT(--EXACT($J$2:$J$490,J402))&gt;1</f>
        <v>0</v>
      </c>
      <c r="S402" t="s">
        <v>5072</v>
      </c>
    </row>
    <row r="403" spans="1:19">
      <c r="B403" s="30" t="s">
        <v>768</v>
      </c>
      <c r="D403" s="30" t="s">
        <v>1208</v>
      </c>
      <c r="E403" s="30" t="s">
        <v>984</v>
      </c>
      <c r="F403" s="30" t="s">
        <v>798</v>
      </c>
      <c r="G403" s="39" t="str">
        <f>VLOOKUP(F403,glossary!J:N,2,FALSE)</f>
        <v>Species-specific</v>
      </c>
      <c r="H403" s="30" t="s">
        <v>798</v>
      </c>
      <c r="I403" s="45" t="str">
        <f t="shared" si="22"/>
        <v>sp_specific_tu</v>
      </c>
      <c r="J403" s="30" t="s">
        <v>646</v>
      </c>
      <c r="K403" s="39" t="str">
        <f>VLOOKUP(F403,glossary!J:N,5,FALSE)</f>
        <v>Relating to one specific species. For example, focusing specifically on moose.' (Kemp et al., 2022).</v>
      </c>
      <c r="L403" t="s">
        <v>984</v>
      </c>
      <c r="M403" s="30" t="str">
        <f t="shared" si="20"/>
        <v>{{ sp_specific_tu }}</v>
      </c>
      <c r="N403" t="s">
        <v>896</v>
      </c>
      <c r="O403" s="13" t="s">
        <v>1816</v>
      </c>
      <c r="P403" t="s">
        <v>4582</v>
      </c>
      <c r="Q403" t="str">
        <f t="shared" si="21"/>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3" t="b" cm="1">
        <f t="array" ref="R403">SUMPRODUCT(--EXACT($J$2:$J$490,J403))&gt;1</f>
        <v>0</v>
      </c>
      <c r="S403" t="s">
        <v>5073</v>
      </c>
    </row>
    <row r="404" spans="1:19">
      <c r="A404" s="30">
        <v>3</v>
      </c>
      <c r="B404" s="30" t="s">
        <v>1393</v>
      </c>
      <c r="C404" s="30"/>
      <c r="D404" s="30" t="s">
        <v>1207</v>
      </c>
      <c r="E404" s="30" t="s">
        <v>984</v>
      </c>
      <c r="F404" s="30" t="s">
        <v>106</v>
      </c>
      <c r="G404" s="39" t="str">
        <f>VLOOKUP(F404,glossary!J:N,2,FALSE)</f>
        <v>Spatial autocorrelation</v>
      </c>
      <c r="H404" s="34" t="s">
        <v>106</v>
      </c>
      <c r="I404" s="45" t="str">
        <f t="shared" si="22"/>
        <v>spatial_autocorrelation_tl</v>
      </c>
      <c r="J404" s="43" t="s">
        <v>950</v>
      </c>
      <c r="K404" s="39" t="str">
        <f>VLOOKUP(F404,glossary!J:N,5,FALSE)</f>
        <v>The tendency for locations that are closer together to be more similar.</v>
      </c>
      <c r="L404" t="s">
        <v>1469</v>
      </c>
      <c r="M404" s="30" t="str">
        <f t="shared" si="20"/>
        <v>{{ spatial_autocorrelation_tl }}</v>
      </c>
      <c r="N404" t="s">
        <v>896</v>
      </c>
      <c r="O404" s="13" t="s">
        <v>1816</v>
      </c>
      <c r="P404" t="s">
        <v>4582</v>
      </c>
      <c r="Q404" t="str">
        <f t="shared" si="21"/>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4" t="b" cm="1">
        <f t="array" ref="R404">SUMPRODUCT(--EXACT($J$2:$J$490,J404))&gt;1</f>
        <v>0</v>
      </c>
      <c r="S404" t="s">
        <v>5074</v>
      </c>
    </row>
    <row r="405" spans="1:19">
      <c r="A405" s="30">
        <v>3</v>
      </c>
      <c r="B405" s="30" t="s">
        <v>1393</v>
      </c>
      <c r="C405" s="30"/>
      <c r="D405" s="30" t="s">
        <v>1208</v>
      </c>
      <c r="E405" s="30" t="s">
        <v>984</v>
      </c>
      <c r="F405" s="30" t="s">
        <v>106</v>
      </c>
      <c r="G405" s="39" t="str">
        <f>VLOOKUP(F405,glossary!J:N,2,FALSE)</f>
        <v>Spatial autocorrelation</v>
      </c>
      <c r="H405" s="34" t="s">
        <v>106</v>
      </c>
      <c r="I405" s="45" t="str">
        <f t="shared" si="22"/>
        <v>spatial_autocorrelation_tu</v>
      </c>
      <c r="J405" s="42" t="s">
        <v>108</v>
      </c>
      <c r="K405" s="39" t="str">
        <f>VLOOKUP(F405,glossary!J:N,5,FALSE)</f>
        <v>The tendency for locations that are closer together to be more similar.</v>
      </c>
      <c r="L405" t="s">
        <v>1468</v>
      </c>
      <c r="M405" s="30" t="str">
        <f t="shared" si="20"/>
        <v>{{ spatial_autocorrelation_tu }}</v>
      </c>
      <c r="N405" t="s">
        <v>896</v>
      </c>
      <c r="O405" s="13" t="s">
        <v>1816</v>
      </c>
      <c r="P405" t="s">
        <v>4582</v>
      </c>
      <c r="Q405" t="str">
        <f t="shared" si="21"/>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5" t="b" cm="1">
        <f t="array" ref="R405">SUMPRODUCT(--EXACT($J$2:$J$490,J405))&gt;1</f>
        <v>0</v>
      </c>
      <c r="S405" t="s">
        <v>5075</v>
      </c>
    </row>
    <row r="406" spans="1:19">
      <c r="A406" s="30">
        <v>2</v>
      </c>
      <c r="B406" s="30" t="s">
        <v>1400</v>
      </c>
      <c r="C406" s="30"/>
      <c r="D406" s="30" t="s">
        <v>1208</v>
      </c>
      <c r="E406" s="30" t="s">
        <v>984</v>
      </c>
      <c r="F406" s="30" t="s">
        <v>253</v>
      </c>
      <c r="G406" s="39" t="str">
        <f>VLOOKUP(F406,glossary!J:N,2,FALSE)</f>
        <v>Species</v>
      </c>
      <c r="H406" s="30" t="s">
        <v>253</v>
      </c>
      <c r="I406" s="45" t="str">
        <f t="shared" si="22"/>
        <v>species_tu</v>
      </c>
      <c r="J406" s="39" t="s">
        <v>644</v>
      </c>
      <c r="K406" s="39" t="str">
        <f>VLOOKUP(F406,glossary!J:N,5,FALSE)</f>
        <v>The capitalized common name of the species being categorized ('tagged').</v>
      </c>
      <c r="L406" s="30" t="s">
        <v>1467</v>
      </c>
      <c r="M406" s="30" t="str">
        <f t="shared" si="20"/>
        <v>{{ species_tu }}</v>
      </c>
      <c r="N406" t="s">
        <v>896</v>
      </c>
      <c r="O406" s="13" t="s">
        <v>1816</v>
      </c>
      <c r="P406" t="s">
        <v>4582</v>
      </c>
      <c r="Q406" t="str">
        <f t="shared" si="21"/>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406" t="b" cm="1">
        <f t="array" ref="R406">SUMPRODUCT(--EXACT($J$2:$J$490,J406))&gt;1</f>
        <v>0</v>
      </c>
      <c r="S406" t="s">
        <v>5076</v>
      </c>
    </row>
    <row r="407" spans="1:19">
      <c r="A407" s="30">
        <v>1</v>
      </c>
      <c r="B407" s="30" t="s">
        <v>1064</v>
      </c>
      <c r="C407" s="30" t="s">
        <v>429</v>
      </c>
      <c r="D407" s="30" t="s">
        <v>1208</v>
      </c>
      <c r="E407" s="30" t="s">
        <v>1757</v>
      </c>
      <c r="F407" s="30" t="s">
        <v>314</v>
      </c>
      <c r="G407" s="39" t="str">
        <f>VLOOKUP(F407,glossary!J:N,2,FALSE)</f>
        <v>Stake Distance (m)</v>
      </c>
      <c r="H407" s="30" t="s">
        <v>314</v>
      </c>
      <c r="I407" s="45" t="str">
        <f t="shared" si="22"/>
        <v>stake_distance_tu_nu</v>
      </c>
      <c r="J407" s="39" t="s">
        <v>1084</v>
      </c>
      <c r="K407" s="39" t="str">
        <f>VLOOKUP(F407,glossary!J:N,5,FALSE)</f>
        <v>The distance from the camera to a stake (in metres to the nearest 0.05 m). Leave blank if not applicable.</v>
      </c>
      <c r="L407" s="30" t="s">
        <v>1096</v>
      </c>
      <c r="M407" s="30" t="str">
        <f t="shared" si="20"/>
        <v>{{ stake_distance_tu_nu }}</v>
      </c>
      <c r="N407" t="s">
        <v>896</v>
      </c>
      <c r="O407" s="13" t="s">
        <v>1816</v>
      </c>
      <c r="P407" t="s">
        <v>4582</v>
      </c>
      <c r="Q407" t="str">
        <f t="shared" si="21"/>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407" t="b" cm="1">
        <f t="array" ref="R407">SUMPRODUCT(--EXACT($J$2:$J$490,J407))&gt;1</f>
        <v>0</v>
      </c>
      <c r="S407" t="s">
        <v>5077</v>
      </c>
    </row>
    <row r="408" spans="1:19">
      <c r="A408" s="30">
        <v>3</v>
      </c>
      <c r="B408" s="30" t="s">
        <v>1393</v>
      </c>
      <c r="C408" s="30"/>
      <c r="D408" s="30" t="s">
        <v>1208</v>
      </c>
      <c r="E408" s="30" t="s">
        <v>1751</v>
      </c>
      <c r="F408" s="30" t="s">
        <v>314</v>
      </c>
      <c r="G408" s="39" t="str">
        <f>VLOOKUP(F408,glossary!J:N,2,FALSE)</f>
        <v>Stake Distance (m)</v>
      </c>
      <c r="H408" s="34" t="s">
        <v>314</v>
      </c>
      <c r="I408" s="45" t="str">
        <f t="shared" si="22"/>
        <v>stake_distance_tu_u</v>
      </c>
      <c r="J408" s="42" t="s">
        <v>759</v>
      </c>
      <c r="K408" s="39" t="str">
        <f>VLOOKUP(F408,glossary!J:N,5,FALSE)</f>
        <v>The distance from the camera to a stake (in metres to the nearest 0.05 m). Leave blank if not applicable.</v>
      </c>
      <c r="L408" t="s">
        <v>1466</v>
      </c>
      <c r="M408" s="30" t="str">
        <f t="shared" si="20"/>
        <v>{{ stake_distance_tu_u }}</v>
      </c>
      <c r="N408" t="s">
        <v>896</v>
      </c>
      <c r="O408" s="13" t="s">
        <v>1816</v>
      </c>
      <c r="P408" t="s">
        <v>4582</v>
      </c>
      <c r="Q408" t="str">
        <f t="shared" si="21"/>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408" t="b" cm="1">
        <f t="array" ref="R408">SUMPRODUCT(--EXACT($J$2:$J$490,J408))&gt;1</f>
        <v>0</v>
      </c>
      <c r="S408" t="s">
        <v>5078</v>
      </c>
    </row>
    <row r="409" spans="1:19">
      <c r="A409" s="30">
        <v>3</v>
      </c>
      <c r="B409" s="30" t="s">
        <v>1393</v>
      </c>
      <c r="C409" s="30"/>
      <c r="D409" s="30" t="s">
        <v>1207</v>
      </c>
      <c r="E409" s="30" t="s">
        <v>984</v>
      </c>
      <c r="F409" s="30" t="s">
        <v>102</v>
      </c>
      <c r="G409" s="39" t="str">
        <f>VLOOKUP(F409,glossary!J:N,2,FALSE)</f>
        <v>State variable</v>
      </c>
      <c r="H409" s="34" t="s">
        <v>102</v>
      </c>
      <c r="I409" s="45" t="str">
        <f t="shared" si="22"/>
        <v>state_variable_tl</v>
      </c>
      <c r="J409" s="43" t="s">
        <v>954</v>
      </c>
      <c r="K409" s="39" t="str">
        <f>VLOOKUP(F409,glossary!J:N,5,FALSE)</f>
        <v>A formal measure that summarizes the state of a community or population at a particular time (Wearn &amp; Glover-Kapfer, 2017), (e.g., species richness or population abundance).</v>
      </c>
      <c r="L409" t="s">
        <v>1465</v>
      </c>
      <c r="M409" s="30" t="str">
        <f t="shared" si="20"/>
        <v>{{ state_variable_tl }}</v>
      </c>
      <c r="N409" t="s">
        <v>896</v>
      </c>
      <c r="O409" s="13" t="s">
        <v>1816</v>
      </c>
      <c r="P409" t="s">
        <v>4582</v>
      </c>
      <c r="Q409" t="str">
        <f t="shared" si="21"/>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09" t="b" cm="1">
        <f t="array" ref="R409">SUMPRODUCT(--EXACT($J$2:$J$490,J409))&gt;1</f>
        <v>0</v>
      </c>
      <c r="S409" t="s">
        <v>5079</v>
      </c>
    </row>
    <row r="410" spans="1:19">
      <c r="A410" s="30">
        <v>1</v>
      </c>
      <c r="B410" s="30" t="s">
        <v>1064</v>
      </c>
      <c r="C410" s="30" t="s">
        <v>429</v>
      </c>
      <c r="D410" s="30" t="s">
        <v>1207</v>
      </c>
      <c r="E410" s="30" t="s">
        <v>1758</v>
      </c>
      <c r="F410" s="30" t="s">
        <v>102</v>
      </c>
      <c r="G410" s="39" t="str">
        <f>VLOOKUP(F410,glossary!J:N,2,FALSE)</f>
        <v>State variable</v>
      </c>
      <c r="H410" s="30" t="s">
        <v>102</v>
      </c>
      <c r="I410" s="45" t="str">
        <f t="shared" si="22"/>
        <v>state_variable_tl_pl</v>
      </c>
      <c r="J410" s="39" t="s">
        <v>1185</v>
      </c>
      <c r="K410" s="39" t="str">
        <f>VLOOKUP(F410,glossary!J:N,5,FALSE)</f>
        <v>A formal measure that summarizes the state of a community or population at a particular time (Wearn &amp; Glover-Kapfer, 2017), (e.g., species richness or population abundance).</v>
      </c>
      <c r="L410" s="30" t="s">
        <v>1131</v>
      </c>
      <c r="M410" s="30" t="str">
        <f t="shared" si="20"/>
        <v>{{ state_variable_tl_pl }}</v>
      </c>
      <c r="N410" t="s">
        <v>896</v>
      </c>
      <c r="O410" s="13" t="s">
        <v>1816</v>
      </c>
      <c r="P410" t="s">
        <v>4582</v>
      </c>
      <c r="Q410" t="str">
        <f t="shared" si="21"/>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0" t="b" cm="1">
        <f t="array" ref="R410">SUMPRODUCT(--EXACT($J$2:$J$490,J410))&gt;1</f>
        <v>0</v>
      </c>
      <c r="S410" t="s">
        <v>5080</v>
      </c>
    </row>
    <row r="411" spans="1:19">
      <c r="A411" s="30">
        <v>3</v>
      </c>
      <c r="B411" s="30" t="s">
        <v>1393</v>
      </c>
      <c r="C411" s="30"/>
      <c r="D411" s="30" t="s">
        <v>1208</v>
      </c>
      <c r="E411" s="30" t="s">
        <v>984</v>
      </c>
      <c r="F411" s="30" t="s">
        <v>102</v>
      </c>
      <c r="G411" s="39" t="str">
        <f>VLOOKUP(F411,glossary!J:N,2,FALSE)</f>
        <v>State variable</v>
      </c>
      <c r="H411" s="34" t="s">
        <v>102</v>
      </c>
      <c r="I411" s="45" t="str">
        <f t="shared" si="22"/>
        <v>state_variable_tu</v>
      </c>
      <c r="J411" s="42" t="s">
        <v>103</v>
      </c>
      <c r="K411" s="39" t="str">
        <f>VLOOKUP(F411,glossary!J:N,5,FALSE)</f>
        <v>A formal measure that summarizes the state of a community or population at a particular time (Wearn &amp; Glover-Kapfer, 2017), (e.g., species richness or population abundance).</v>
      </c>
      <c r="L411" t="s">
        <v>1464</v>
      </c>
      <c r="M411" s="30" t="str">
        <f t="shared" si="20"/>
        <v>{{ state_variable_tu }}</v>
      </c>
      <c r="N411" t="s">
        <v>896</v>
      </c>
      <c r="O411" s="13" t="s">
        <v>1816</v>
      </c>
      <c r="P411" t="s">
        <v>4582</v>
      </c>
      <c r="Q411" t="str">
        <f t="shared" si="21"/>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11" t="b" cm="1">
        <f t="array" ref="R411">SUMPRODUCT(--EXACT($J$2:$J$490,J411))&gt;1</f>
        <v>0</v>
      </c>
      <c r="S411" t="s">
        <v>5081</v>
      </c>
    </row>
    <row r="412" spans="1:19">
      <c r="A412" s="30">
        <v>1</v>
      </c>
      <c r="B412" s="30" t="s">
        <v>1064</v>
      </c>
      <c r="C412" s="30" t="s">
        <v>429</v>
      </c>
      <c r="D412" s="30" t="s">
        <v>1208</v>
      </c>
      <c r="E412" s="30" t="s">
        <v>1758</v>
      </c>
      <c r="F412" s="30" t="s">
        <v>102</v>
      </c>
      <c r="G412" s="39" t="str">
        <f>VLOOKUP(F412,glossary!J:N,2,FALSE)</f>
        <v>State variable</v>
      </c>
      <c r="H412" s="30" t="s">
        <v>102</v>
      </c>
      <c r="I412" s="45" t="str">
        <f t="shared" si="22"/>
        <v>state_variable_tu_pl</v>
      </c>
      <c r="J412" s="39" t="s">
        <v>1173</v>
      </c>
      <c r="K412" s="39" t="str">
        <f>VLOOKUP(F412,glossary!J:N,5,FALSE)</f>
        <v>A formal measure that summarizes the state of a community or population at a particular time (Wearn &amp; Glover-Kapfer, 2017), (e.g., species richness or population abundance).</v>
      </c>
      <c r="L412" s="30" t="s">
        <v>1124</v>
      </c>
      <c r="M412" s="30" t="str">
        <f t="shared" ref="M412:M443" si="23">"{{ "&amp;I412&amp;" }}"</f>
        <v>{{ state_variable_tu_pl }}</v>
      </c>
      <c r="N412" t="s">
        <v>896</v>
      </c>
      <c r="O412" s="13" t="s">
        <v>1816</v>
      </c>
      <c r="P412" t="s">
        <v>4582</v>
      </c>
      <c r="Q412" t="str">
        <f t="shared" ref="Q412:Q443" si="24">IF(K412&lt;&gt;"-",("    "&amp;I412&amp;": "&amp;""""&amp;"&lt;a href=\"&amp;""""&amp;"09_glossary.html#"&amp;H412&amp;N412&amp;G412&amp;": "&amp;K412&amp;O412&amp;J412&amp;P412&amp;""""),"-")</f>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2" t="b" cm="1">
        <f t="array" ref="R412">SUMPRODUCT(--EXACT($J$2:$J$490,J412))&gt;1</f>
        <v>0</v>
      </c>
      <c r="S412" t="s">
        <v>5082</v>
      </c>
    </row>
    <row r="413" spans="1:19">
      <c r="A413" s="30">
        <v>2</v>
      </c>
      <c r="B413" s="30" t="s">
        <v>1400</v>
      </c>
      <c r="C413" s="30"/>
      <c r="D413" s="30" t="s">
        <v>1207</v>
      </c>
      <c r="E413" s="30" t="s">
        <v>984</v>
      </c>
      <c r="F413" s="30" t="s">
        <v>765</v>
      </c>
      <c r="G413" s="39" t="str">
        <f>VLOOKUP(F413,glossary!J:N,2,FALSE)</f>
        <v>Strata</v>
      </c>
      <c r="H413" s="30" t="s">
        <v>765</v>
      </c>
      <c r="I413" s="45" t="str">
        <f t="shared" si="22"/>
        <v>strata_tl</v>
      </c>
      <c r="J413" s="39" t="s">
        <v>765</v>
      </c>
      <c r="K413" s="39" t="str">
        <f>VLOOKUP(F413,glossary!J:N,5,FALSE)</f>
        <v>(plural of stratum) the 'division in an organized system based on the characteristics of that system' (Morrison et al., 2008)</v>
      </c>
      <c r="L413" t="s">
        <v>984</v>
      </c>
      <c r="M413" s="30" t="str">
        <f t="shared" si="23"/>
        <v>{{ strata_tl }}</v>
      </c>
      <c r="N413" t="s">
        <v>896</v>
      </c>
      <c r="O413" s="13" t="s">
        <v>1816</v>
      </c>
      <c r="P413" t="s">
        <v>4582</v>
      </c>
      <c r="Q413" t="str">
        <f t="shared" si="24"/>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3" t="b" cm="1">
        <f t="array" ref="R413">SUMPRODUCT(--EXACT($J$2:$J$490,J413))&gt;1</f>
        <v>0</v>
      </c>
      <c r="S413" t="s">
        <v>5083</v>
      </c>
    </row>
    <row r="414" spans="1:19">
      <c r="A414" s="30">
        <v>2</v>
      </c>
      <c r="B414" s="30" t="s">
        <v>1400</v>
      </c>
      <c r="C414" s="30"/>
      <c r="D414" s="30" t="s">
        <v>1208</v>
      </c>
      <c r="E414" s="30" t="s">
        <v>984</v>
      </c>
      <c r="F414" s="30" t="s">
        <v>765</v>
      </c>
      <c r="G414" s="39" t="str">
        <f>VLOOKUP(F414,glossary!J:N,2,FALSE)</f>
        <v>Strata</v>
      </c>
      <c r="H414" s="30" t="s">
        <v>765</v>
      </c>
      <c r="I414" s="45" t="str">
        <f t="shared" si="22"/>
        <v>strata_tu</v>
      </c>
      <c r="J414" s="39" t="s">
        <v>766</v>
      </c>
      <c r="K414" s="39" t="str">
        <f>VLOOKUP(F414,glossary!J:N,5,FALSE)</f>
        <v>(plural of stratum) the 'division in an organized system based on the characteristics of that system' (Morrison et al., 2008)</v>
      </c>
      <c r="L414" t="s">
        <v>984</v>
      </c>
      <c r="M414" s="30" t="str">
        <f t="shared" si="23"/>
        <v>{{ strata_tu }}</v>
      </c>
      <c r="N414" t="s">
        <v>896</v>
      </c>
      <c r="O414" s="13" t="s">
        <v>1816</v>
      </c>
      <c r="P414" t="s">
        <v>4582</v>
      </c>
      <c r="Q414" t="str">
        <f t="shared" si="24"/>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4" t="b" cm="1">
        <f t="array" ref="R414">SUMPRODUCT(--EXACT($J$2:$J$490,J414))&gt;1</f>
        <v>0</v>
      </c>
      <c r="S414" t="s">
        <v>5084</v>
      </c>
    </row>
    <row r="415" spans="1:19">
      <c r="A415" s="30">
        <v>2</v>
      </c>
      <c r="B415" s="30" t="s">
        <v>1400</v>
      </c>
      <c r="C415" s="30"/>
      <c r="D415" s="30" t="s">
        <v>1207</v>
      </c>
      <c r="E415" s="30" t="s">
        <v>984</v>
      </c>
      <c r="F415" s="30" t="s">
        <v>1766</v>
      </c>
      <c r="G415" s="39" t="str">
        <f>VLOOKUP(F415,glossary!J:N,2,FALSE)</f>
        <v>Stratum</v>
      </c>
      <c r="H415" s="30" t="s">
        <v>1766</v>
      </c>
      <c r="I415" s="45" t="str">
        <f t="shared" si="22"/>
        <v>stratum_tl</v>
      </c>
      <c r="J415" s="39" t="s">
        <v>1766</v>
      </c>
      <c r="K415" s="39" t="str">
        <f>VLOOKUP(F415,glossary!J:N,5,FALSE)</f>
        <v>(singular of strata) a single group or category when a system is divided 'based on the characteristics of that system' (Morrison et al., 2008)</v>
      </c>
      <c r="L415" t="s">
        <v>984</v>
      </c>
      <c r="M415" s="30" t="str">
        <f t="shared" si="23"/>
        <v>{{ stratum_tl }}</v>
      </c>
      <c r="N415" t="s">
        <v>896</v>
      </c>
      <c r="O415" s="13" t="s">
        <v>1816</v>
      </c>
      <c r="P415" t="s">
        <v>4582</v>
      </c>
      <c r="Q415" t="str">
        <f t="shared" si="24"/>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5" t="b" cm="1">
        <f t="array" ref="R415">SUMPRODUCT(--EXACT($J$2:$J$490,J415))&gt;1</f>
        <v>0</v>
      </c>
      <c r="S415" t="s">
        <v>5085</v>
      </c>
    </row>
    <row r="416" spans="1:19">
      <c r="A416" s="30">
        <v>2</v>
      </c>
      <c r="B416" s="30" t="s">
        <v>1400</v>
      </c>
      <c r="C416" s="30"/>
      <c r="D416" s="30" t="s">
        <v>1208</v>
      </c>
      <c r="E416" s="30" t="s">
        <v>984</v>
      </c>
      <c r="F416" s="30" t="s">
        <v>1766</v>
      </c>
      <c r="G416" s="39" t="str">
        <f>VLOOKUP(F416,glossary!J:N,2,FALSE)</f>
        <v>Stratum</v>
      </c>
      <c r="H416" s="30" t="s">
        <v>1766</v>
      </c>
      <c r="I416" s="45" t="str">
        <f t="shared" si="22"/>
        <v>stratum_tu</v>
      </c>
      <c r="J416" s="39" t="s">
        <v>1765</v>
      </c>
      <c r="K416" s="39" t="str">
        <f>VLOOKUP(F416,glossary!J:N,5,FALSE)</f>
        <v>(singular of strata) a single group or category when a system is divided 'based on the characteristics of that system' (Morrison et al., 2008)</v>
      </c>
      <c r="L416" t="s">
        <v>984</v>
      </c>
      <c r="M416" s="30" t="str">
        <f t="shared" si="23"/>
        <v>{{ stratum_tu }}</v>
      </c>
      <c r="N416" t="s">
        <v>896</v>
      </c>
      <c r="O416" s="13" t="s">
        <v>1816</v>
      </c>
      <c r="P416" t="s">
        <v>4582</v>
      </c>
      <c r="Q416" t="str">
        <f t="shared" si="24"/>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6" t="b" cm="1">
        <f t="array" ref="R416">SUMPRODUCT(--EXACT($J$2:$J$490,J416))&gt;1</f>
        <v>0</v>
      </c>
      <c r="S416" t="s">
        <v>5086</v>
      </c>
    </row>
    <row r="417" spans="1:19">
      <c r="A417" s="30">
        <v>3</v>
      </c>
      <c r="B417" s="30" t="s">
        <v>1393</v>
      </c>
      <c r="C417" s="30"/>
      <c r="D417" s="30" t="s">
        <v>1207</v>
      </c>
      <c r="E417" s="30" t="s">
        <v>984</v>
      </c>
      <c r="F417" s="30" t="s">
        <v>94</v>
      </c>
      <c r="G417" s="39" t="str">
        <f>VLOOKUP(F417,glossary!J:N,2,FALSE)</f>
        <v>Study area</v>
      </c>
      <c r="H417" s="34" t="s">
        <v>94</v>
      </c>
      <c r="I417" s="45" t="str">
        <f t="shared" si="22"/>
        <v>study_area_tl</v>
      </c>
      <c r="J417" s="43" t="s">
        <v>957</v>
      </c>
      <c r="K417" s="39" t="str">
        <f>VLOOKUP(F417,glossary!J:N,5,FALSE)</f>
        <v>A unique research, inventory or monitoring area (spatial boundary) within a project (there may be multiple study areas within a single project) (recorded as 'Study Area Name').</v>
      </c>
      <c r="L417" t="s">
        <v>1463</v>
      </c>
      <c r="M417" s="30" t="str">
        <f t="shared" si="23"/>
        <v>{{ study_area_tl }}</v>
      </c>
      <c r="N417" t="s">
        <v>896</v>
      </c>
      <c r="O417" s="13" t="s">
        <v>1816</v>
      </c>
      <c r="P417" t="s">
        <v>4582</v>
      </c>
      <c r="Q417" t="str">
        <f t="shared" si="24"/>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7" t="b" cm="1">
        <f t="array" ref="R417">SUMPRODUCT(--EXACT($J$2:$J$490,J417))&gt;1</f>
        <v>0</v>
      </c>
      <c r="S417" t="s">
        <v>5087</v>
      </c>
    </row>
    <row r="418" spans="1:19">
      <c r="A418" s="30">
        <v>1</v>
      </c>
      <c r="B418" s="30" t="s">
        <v>1064</v>
      </c>
      <c r="C418" s="30" t="s">
        <v>0</v>
      </c>
      <c r="D418" s="30" t="s">
        <v>1207</v>
      </c>
      <c r="E418" s="30" t="s">
        <v>1758</v>
      </c>
      <c r="F418" s="30" t="s">
        <v>94</v>
      </c>
      <c r="G418" s="39" t="str">
        <f>VLOOKUP(F418,glossary!J:N,2,FALSE)</f>
        <v>Study area</v>
      </c>
      <c r="H418" s="30" t="s">
        <v>94</v>
      </c>
      <c r="I418" s="45" t="str">
        <f t="shared" si="22"/>
        <v>study_area_tl_pl</v>
      </c>
      <c r="J418" s="39" t="s">
        <v>1186</v>
      </c>
      <c r="K418" s="39" t="str">
        <f>VLOOKUP(F418,glossary!J:N,5,FALSE)</f>
        <v>A unique research, inventory or monitoring area (spatial boundary) within a project (there may be multiple study areas within a single project) (recorded as 'Study Area Name').</v>
      </c>
      <c r="L418" s="30" t="s">
        <v>1113</v>
      </c>
      <c r="M418" s="30" t="str">
        <f t="shared" si="23"/>
        <v>{{ study_area_tl_pl }}</v>
      </c>
      <c r="N418" t="s">
        <v>896</v>
      </c>
      <c r="O418" s="13" t="s">
        <v>1816</v>
      </c>
      <c r="P418" t="s">
        <v>4582</v>
      </c>
      <c r="Q418" t="str">
        <f t="shared" si="24"/>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18" t="b" cm="1">
        <f t="array" ref="R418">SUMPRODUCT(--EXACT($J$2:$J$490,J418))&gt;1</f>
        <v>0</v>
      </c>
      <c r="S418" t="s">
        <v>5088</v>
      </c>
    </row>
    <row r="419" spans="1:19">
      <c r="A419" s="30">
        <v>3</v>
      </c>
      <c r="B419" s="30" t="s">
        <v>1393</v>
      </c>
      <c r="C419" s="30"/>
      <c r="D419" s="30" t="s">
        <v>1208</v>
      </c>
      <c r="E419" s="30" t="s">
        <v>984</v>
      </c>
      <c r="F419" s="30" t="s">
        <v>94</v>
      </c>
      <c r="G419" s="39" t="str">
        <f>VLOOKUP(F419,glossary!J:N,2,FALSE)</f>
        <v>Study area</v>
      </c>
      <c r="H419" s="34" t="s">
        <v>94</v>
      </c>
      <c r="I419" s="45" t="str">
        <f t="shared" si="22"/>
        <v>study_area_tu</v>
      </c>
      <c r="J419" s="42" t="s">
        <v>95</v>
      </c>
      <c r="K419" s="39" t="str">
        <f>VLOOKUP(F419,glossary!J:N,5,FALSE)</f>
        <v>A unique research, inventory or monitoring area (spatial boundary) within a project (there may be multiple study areas within a single project) (recorded as 'Study Area Name').</v>
      </c>
      <c r="L419" t="s">
        <v>1462</v>
      </c>
      <c r="M419" s="30" t="str">
        <f t="shared" si="23"/>
        <v>{{ study_area_tu }}</v>
      </c>
      <c r="N419" t="s">
        <v>896</v>
      </c>
      <c r="O419" s="13" t="s">
        <v>1816</v>
      </c>
      <c r="P419" t="s">
        <v>4582</v>
      </c>
      <c r="Q419" t="str">
        <f t="shared" si="24"/>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9" t="b" cm="1">
        <f t="array" ref="R419">SUMPRODUCT(--EXACT($J$2:$J$490,J419))&gt;1</f>
        <v>0</v>
      </c>
      <c r="S419" t="s">
        <v>5089</v>
      </c>
    </row>
    <row r="420" spans="1:19">
      <c r="A420" s="30">
        <v>1</v>
      </c>
      <c r="B420" s="30" t="s">
        <v>1064</v>
      </c>
      <c r="C420" s="30" t="s">
        <v>429</v>
      </c>
      <c r="D420" s="30" t="s">
        <v>1208</v>
      </c>
      <c r="E420" s="30" t="s">
        <v>1758</v>
      </c>
      <c r="F420" s="30" t="s">
        <v>94</v>
      </c>
      <c r="G420" s="39" t="str">
        <f>VLOOKUP(F420,glossary!J:N,2,FALSE)</f>
        <v>Study area</v>
      </c>
      <c r="H420" s="30" t="s">
        <v>94</v>
      </c>
      <c r="I420" s="45" t="str">
        <f t="shared" si="22"/>
        <v>study_area_tu_pl</v>
      </c>
      <c r="J420" s="39" t="s">
        <v>1174</v>
      </c>
      <c r="K420" s="39" t="str">
        <f>VLOOKUP(F420,glossary!J:N,5,FALSE)</f>
        <v>A unique research, inventory or monitoring area (spatial boundary) within a project (there may be multiple study areas within a single project) (recorded as 'Study Area Name').</v>
      </c>
      <c r="L420" s="30" t="s">
        <v>1087</v>
      </c>
      <c r="M420" s="30" t="str">
        <f t="shared" si="23"/>
        <v>{{ study_area_tu_pl }}</v>
      </c>
      <c r="N420" t="s">
        <v>896</v>
      </c>
      <c r="O420" s="13" t="s">
        <v>1816</v>
      </c>
      <c r="P420" t="s">
        <v>4582</v>
      </c>
      <c r="Q420" t="str">
        <f t="shared" si="24"/>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0" t="b" cm="1">
        <f t="array" ref="R420">SUMPRODUCT(--EXACT($J$2:$J$490,J420))&gt;1</f>
        <v>0</v>
      </c>
      <c r="S420" t="s">
        <v>5090</v>
      </c>
    </row>
    <row r="421" spans="1:19">
      <c r="A421" s="30">
        <v>3</v>
      </c>
      <c r="B421" s="30" t="s">
        <v>1393</v>
      </c>
      <c r="C421" s="30"/>
      <c r="D421" s="30" t="s">
        <v>1208</v>
      </c>
      <c r="E421" s="30" t="s">
        <v>984</v>
      </c>
      <c r="F421" s="30" t="s">
        <v>250</v>
      </c>
      <c r="G421" s="39" t="str">
        <f>VLOOKUP(F421,glossary!J:N,2,FALSE)</f>
        <v>Study Area Description</v>
      </c>
      <c r="H421" s="34" t="s">
        <v>250</v>
      </c>
      <c r="I421" s="45" t="str">
        <f t="shared" si="22"/>
        <v>study_area_description_tu</v>
      </c>
      <c r="J421" s="42" t="s">
        <v>723</v>
      </c>
      <c r="K421" s="39" t="str">
        <f>VLOOKUP(F421,glossary!J:N,5,FALSE)</f>
        <v>A description for each unique research or monitoring area including its location, the habitat type(s), land use(s) and habitat disturbances (where applicable).</v>
      </c>
      <c r="L421" t="s">
        <v>1461</v>
      </c>
      <c r="M421" s="30" t="str">
        <f t="shared" si="23"/>
        <v>{{ study_area_description_tu }}</v>
      </c>
      <c r="N421" t="s">
        <v>896</v>
      </c>
      <c r="O421" s="13" t="s">
        <v>1816</v>
      </c>
      <c r="P421" t="s">
        <v>4582</v>
      </c>
      <c r="Q421" t="str">
        <f t="shared" si="24"/>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421" t="b" cm="1">
        <f t="array" ref="R421">SUMPRODUCT(--EXACT($J$2:$J$490,J421))&gt;1</f>
        <v>0</v>
      </c>
      <c r="S421" t="s">
        <v>5091</v>
      </c>
    </row>
    <row r="422" spans="1:19">
      <c r="A422" s="30">
        <v>3</v>
      </c>
      <c r="B422" s="30" t="s">
        <v>1393</v>
      </c>
      <c r="C422" s="30"/>
      <c r="D422" s="30" t="s">
        <v>1208</v>
      </c>
      <c r="E422" s="30" t="s">
        <v>984</v>
      </c>
      <c r="F422" s="30" t="s">
        <v>249</v>
      </c>
      <c r="G422" s="39" t="str">
        <f>VLOOKUP(F422,glossary!J:N,2,FALSE)</f>
        <v>Study Area Name</v>
      </c>
      <c r="H422" s="34" t="s">
        <v>249</v>
      </c>
      <c r="I422" s="45" t="str">
        <f t="shared" si="22"/>
        <v>study_area_name_tu</v>
      </c>
      <c r="J422" s="42" t="s">
        <v>724</v>
      </c>
      <c r="K422" s="39" t="str">
        <f>VLOOKUP(F422,glossary!J:N,5,FALSE)</f>
        <v>A unique alphanumeric identifier for each study area (e.g.,'oilsands_ref1'). If only one area was surveyed, the Project Name and Study Area Name should be the same.</v>
      </c>
      <c r="L422" t="s">
        <v>1460</v>
      </c>
      <c r="M422" s="30" t="str">
        <f t="shared" si="23"/>
        <v>{{ study_area_name_tu }}</v>
      </c>
      <c r="N422" t="s">
        <v>896</v>
      </c>
      <c r="O422" s="13" t="s">
        <v>1816</v>
      </c>
      <c r="P422" t="s">
        <v>4582</v>
      </c>
      <c r="Q422" t="str">
        <f t="shared" si="24"/>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422" t="b" cm="1">
        <f t="array" ref="R422">SUMPRODUCT(--EXACT($J$2:$J$490,J422))&gt;1</f>
        <v>0</v>
      </c>
      <c r="S422" t="s">
        <v>5092</v>
      </c>
    </row>
    <row r="423" spans="1:19">
      <c r="A423" s="30">
        <v>2</v>
      </c>
      <c r="B423" s="30" t="s">
        <v>1400</v>
      </c>
      <c r="C423" s="30"/>
      <c r="D423" s="30" t="s">
        <v>1207</v>
      </c>
      <c r="E423" s="30" t="s">
        <v>984</v>
      </c>
      <c r="F423" s="30" t="s">
        <v>513</v>
      </c>
      <c r="G423" s="39" t="str">
        <f>VLOOKUP(F423,glossary!J:N,2,FALSE)</f>
        <v>Survey</v>
      </c>
      <c r="H423" s="30" t="s">
        <v>513</v>
      </c>
      <c r="I423" s="45" t="str">
        <f t="shared" si="22"/>
        <v>survey_tl</v>
      </c>
      <c r="J423" s="39" t="s">
        <v>513</v>
      </c>
      <c r="K423" s="39" t="str">
        <f>VLOOKUP(F423,glossary!J:N,5,FALSE)</f>
        <v>A unique deployment period (temporal extent) within a project (recorded as 'Survey Name').</v>
      </c>
      <c r="L423" s="30" t="s">
        <v>1459</v>
      </c>
      <c r="M423" s="30" t="str">
        <f t="shared" si="23"/>
        <v>{{ survey_tl }}</v>
      </c>
      <c r="N423" t="s">
        <v>896</v>
      </c>
      <c r="O423" s="13" t="s">
        <v>1816</v>
      </c>
      <c r="P423" t="s">
        <v>4582</v>
      </c>
      <c r="Q423" t="str">
        <f t="shared" si="24"/>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3" t="b" cm="1">
        <f t="array" ref="R423">SUMPRODUCT(--EXACT($J$2:$J$490,J423))&gt;1</f>
        <v>0</v>
      </c>
      <c r="S423" t="s">
        <v>5093</v>
      </c>
    </row>
    <row r="424" spans="1:19">
      <c r="A424" s="30">
        <v>1</v>
      </c>
      <c r="B424" s="30" t="s">
        <v>1064</v>
      </c>
      <c r="C424" s="30" t="s">
        <v>0</v>
      </c>
      <c r="D424" s="30" t="s">
        <v>1207</v>
      </c>
      <c r="E424" s="30" t="s">
        <v>1758</v>
      </c>
      <c r="F424" s="30" t="s">
        <v>513</v>
      </c>
      <c r="G424" s="39" t="str">
        <f>VLOOKUP(F424,glossary!J:N,2,FALSE)</f>
        <v>Survey</v>
      </c>
      <c r="H424" s="30" t="s">
        <v>513</v>
      </c>
      <c r="I424" s="45" t="str">
        <f t="shared" si="22"/>
        <v>survey_tl_pl</v>
      </c>
      <c r="J424" s="39" t="s">
        <v>1187</v>
      </c>
      <c r="K424" s="39" t="str">
        <f>VLOOKUP(F424,glossary!J:N,5,FALSE)</f>
        <v>A unique deployment period (temporal extent) within a project (recorded as 'Survey Name').</v>
      </c>
      <c r="L424" s="30" t="s">
        <v>1114</v>
      </c>
      <c r="M424" s="30" t="str">
        <f t="shared" si="23"/>
        <v>{{ survey_tl_pl }}</v>
      </c>
      <c r="N424" t="s">
        <v>896</v>
      </c>
      <c r="O424" s="13" t="s">
        <v>1816</v>
      </c>
      <c r="P424" t="s">
        <v>4582</v>
      </c>
      <c r="Q424" t="str">
        <f t="shared" si="24"/>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4" t="b" cm="1">
        <f t="array" ref="R424">SUMPRODUCT(--EXACT($J$2:$J$490,J424))&gt;1</f>
        <v>0</v>
      </c>
      <c r="S424" t="s">
        <v>5094</v>
      </c>
    </row>
    <row r="425" spans="1:19">
      <c r="A425" s="30">
        <v>2</v>
      </c>
      <c r="B425" s="30" t="s">
        <v>1400</v>
      </c>
      <c r="C425" s="30"/>
      <c r="D425" s="30" t="s">
        <v>1208</v>
      </c>
      <c r="E425" s="30" t="s">
        <v>984</v>
      </c>
      <c r="F425" s="30" t="s">
        <v>513</v>
      </c>
      <c r="G425" s="39" t="str">
        <f>VLOOKUP(F425,glossary!J:N,2,FALSE)</f>
        <v>Survey</v>
      </c>
      <c r="H425" s="30" t="s">
        <v>513</v>
      </c>
      <c r="I425" s="45" t="str">
        <f t="shared" si="22"/>
        <v>survey_tu</v>
      </c>
      <c r="J425" s="39" t="s">
        <v>528</v>
      </c>
      <c r="K425" s="39" t="str">
        <f>VLOOKUP(F425,glossary!J:N,5,FALSE)</f>
        <v>A unique deployment period (temporal extent) within a project (recorded as 'Survey Name').</v>
      </c>
      <c r="L425" s="30" t="s">
        <v>1458</v>
      </c>
      <c r="M425" s="30" t="str">
        <f t="shared" si="23"/>
        <v>{{ survey_tu }}</v>
      </c>
      <c r="N425" t="s">
        <v>896</v>
      </c>
      <c r="O425" s="13" t="s">
        <v>1816</v>
      </c>
      <c r="P425" t="s">
        <v>4582</v>
      </c>
      <c r="Q425" t="str">
        <f t="shared" si="24"/>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5" t="b" cm="1">
        <f t="array" ref="R425">SUMPRODUCT(--EXACT($J$2:$J$490,J425))&gt;1</f>
        <v>0</v>
      </c>
      <c r="S425" t="s">
        <v>5095</v>
      </c>
    </row>
    <row r="426" spans="1:19">
      <c r="A426" s="30">
        <v>1</v>
      </c>
      <c r="B426" s="30" t="s">
        <v>1064</v>
      </c>
      <c r="C426" s="30" t="s">
        <v>0</v>
      </c>
      <c r="D426" s="30" t="s">
        <v>1208</v>
      </c>
      <c r="E426" s="30" t="s">
        <v>1758</v>
      </c>
      <c r="F426" s="30" t="s">
        <v>513</v>
      </c>
      <c r="G426" s="39" t="str">
        <f>VLOOKUP(F426,glossary!J:N,2,FALSE)</f>
        <v>Survey</v>
      </c>
      <c r="H426" s="30" t="s">
        <v>513</v>
      </c>
      <c r="I426" s="45" t="str">
        <f t="shared" si="22"/>
        <v>survey_tu_pl</v>
      </c>
      <c r="J426" s="39" t="s">
        <v>1175</v>
      </c>
      <c r="K426" s="39" t="str">
        <f>VLOOKUP(F426,glossary!J:N,5,FALSE)</f>
        <v>A unique deployment period (temporal extent) within a project (recorded as 'Survey Name').</v>
      </c>
      <c r="L426" s="30" t="s">
        <v>1088</v>
      </c>
      <c r="M426" s="30" t="str">
        <f t="shared" si="23"/>
        <v>{{ survey_tu_pl }}</v>
      </c>
      <c r="N426" t="s">
        <v>896</v>
      </c>
      <c r="O426" s="13" t="s">
        <v>1816</v>
      </c>
      <c r="P426" t="s">
        <v>4582</v>
      </c>
      <c r="Q426" t="str">
        <f t="shared" si="24"/>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6" t="b" cm="1">
        <f t="array" ref="R426">SUMPRODUCT(--EXACT($J$2:$J$490,J426))&gt;1</f>
        <v>0</v>
      </c>
      <c r="S426" t="s">
        <v>5096</v>
      </c>
    </row>
    <row r="427" spans="1:19">
      <c r="A427" s="30">
        <v>3</v>
      </c>
      <c r="B427" s="30" t="s">
        <v>1393</v>
      </c>
      <c r="C427" s="30"/>
      <c r="D427" s="30" t="s">
        <v>1208</v>
      </c>
      <c r="E427" s="30" t="s">
        <v>984</v>
      </c>
      <c r="F427" s="30" t="s">
        <v>514</v>
      </c>
      <c r="G427" s="39" t="str">
        <f>VLOOKUP(F427,glossary!J:N,2,FALSE)</f>
        <v>Survey Design</v>
      </c>
      <c r="H427" s="34" t="s">
        <v>514</v>
      </c>
      <c r="I427" s="45" t="str">
        <f t="shared" si="22"/>
        <v>survey_design_tu</v>
      </c>
      <c r="J427" s="42" t="s">
        <v>725</v>
      </c>
      <c r="K427" s="39" t="str">
        <f>VLOOKUP(F427,glossary!J:N,5,FALSE)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7" t="s">
        <v>1457</v>
      </c>
      <c r="M427" s="30" t="str">
        <f t="shared" si="23"/>
        <v>{{ survey_design_tu }}</v>
      </c>
      <c r="N427" t="s">
        <v>896</v>
      </c>
      <c r="O427" s="13" t="s">
        <v>1816</v>
      </c>
      <c r="P427" t="s">
        <v>4582</v>
      </c>
      <c r="Q427" t="str">
        <f t="shared" si="24"/>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27" t="b" cm="1">
        <f t="array" ref="R427">SUMPRODUCT(--EXACT($J$2:$J$490,J427))&gt;1</f>
        <v>0</v>
      </c>
      <c r="S427" t="s">
        <v>5097</v>
      </c>
    </row>
    <row r="428" spans="1:19">
      <c r="A428" s="30">
        <v>1</v>
      </c>
      <c r="B428" s="30" t="s">
        <v>1064</v>
      </c>
      <c r="C428" s="30" t="s">
        <v>0</v>
      </c>
      <c r="D428" s="30" t="s">
        <v>1208</v>
      </c>
      <c r="E428" s="30" t="s">
        <v>1758</v>
      </c>
      <c r="F428" s="30" t="s">
        <v>514</v>
      </c>
      <c r="G428" s="39" t="str">
        <f>VLOOKUP(F428,glossary!J:N,2,FALSE)</f>
        <v>Survey Design</v>
      </c>
      <c r="H428" s="30" t="s">
        <v>514</v>
      </c>
      <c r="I428" s="45" t="str">
        <f t="shared" si="22"/>
        <v>survey_design_tu_pl</v>
      </c>
      <c r="J428" s="39" t="s">
        <v>1176</v>
      </c>
      <c r="K428" s="39" t="str">
        <f>VLOOKUP(F428,glossary!J:N,5,FALSE)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8" s="30" t="s">
        <v>1110</v>
      </c>
      <c r="M428" s="30" t="str">
        <f t="shared" si="23"/>
        <v>{{ survey_design_tu_pl }}</v>
      </c>
      <c r="N428" t="s">
        <v>896</v>
      </c>
      <c r="O428" s="13" t="s">
        <v>1816</v>
      </c>
      <c r="P428" t="s">
        <v>4582</v>
      </c>
      <c r="Q428" t="str">
        <f t="shared" si="24"/>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28" t="b" cm="1">
        <f t="array" ref="R428">SUMPRODUCT(--EXACT($J$2:$J$490,J428))&gt;1</f>
        <v>0</v>
      </c>
      <c r="S428" t="s">
        <v>5098</v>
      </c>
    </row>
    <row r="429" spans="1:19">
      <c r="A429" s="30">
        <v>3</v>
      </c>
      <c r="B429" s="30" t="s">
        <v>1393</v>
      </c>
      <c r="C429" s="30"/>
      <c r="D429" s="30" t="s">
        <v>1208</v>
      </c>
      <c r="E429" s="30" t="s">
        <v>984</v>
      </c>
      <c r="F429" s="30" t="s">
        <v>515</v>
      </c>
      <c r="G429" s="39" t="str">
        <f>VLOOKUP(F429,glossary!J:N,2,FALSE)</f>
        <v>Survey Design Description</v>
      </c>
      <c r="H429" s="34" t="s">
        <v>515</v>
      </c>
      <c r="I429" s="45" t="str">
        <f t="shared" si="22"/>
        <v>survey_design_description_tu</v>
      </c>
      <c r="J429" s="42" t="s">
        <v>760</v>
      </c>
      <c r="K429" s="39" t="str">
        <f>VLOOKUP(F429,glossary!J:N,5,FALSE)</f>
        <v>A description of any additional details about the Survey Design.</v>
      </c>
      <c r="L429" t="s">
        <v>1456</v>
      </c>
      <c r="M429" s="30" t="str">
        <f t="shared" si="23"/>
        <v>{{ survey_design_description_tu }}</v>
      </c>
      <c r="N429" t="s">
        <v>896</v>
      </c>
      <c r="O429" s="13" t="s">
        <v>1816</v>
      </c>
      <c r="P429" t="s">
        <v>4582</v>
      </c>
      <c r="Q429" t="str">
        <f t="shared" si="24"/>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29" t="b" cm="1">
        <f t="array" ref="R429">SUMPRODUCT(--EXACT($J$2:$J$490,J429))&gt;1</f>
        <v>0</v>
      </c>
      <c r="S429" t="s">
        <v>5099</v>
      </c>
    </row>
    <row r="430" spans="1:19">
      <c r="A430" s="30">
        <v>3</v>
      </c>
      <c r="B430" s="30" t="s">
        <v>1393</v>
      </c>
      <c r="C430" s="30"/>
      <c r="D430" s="30" t="s">
        <v>1208</v>
      </c>
      <c r="E430" s="30" t="s">
        <v>984</v>
      </c>
      <c r="F430" s="30" t="s">
        <v>516</v>
      </c>
      <c r="G430" s="39" t="str">
        <f>VLOOKUP(F430,glossary!J:N,2,FALSE)</f>
        <v>Survey Name</v>
      </c>
      <c r="H430" s="34" t="s">
        <v>516</v>
      </c>
      <c r="I430" s="45" t="str">
        <f t="shared" si="22"/>
        <v>survey_name_tu</v>
      </c>
      <c r="J430" s="42" t="s">
        <v>726</v>
      </c>
      <c r="K430" s="39" t="str">
        <f>VLOOKUP(F430,glossary!J:N,5,FALSE)</f>
        <v>A unique alphanumeric identifier for each survey period (e.g., 'fortmc_001').</v>
      </c>
      <c r="L430" t="s">
        <v>1455</v>
      </c>
      <c r="M430" s="30" t="str">
        <f t="shared" si="23"/>
        <v>{{ survey_name_tu }}</v>
      </c>
      <c r="N430" t="s">
        <v>896</v>
      </c>
      <c r="O430" s="13" t="s">
        <v>1816</v>
      </c>
      <c r="P430" t="s">
        <v>4582</v>
      </c>
      <c r="Q430" t="str">
        <f t="shared" si="24"/>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30" t="b" cm="1">
        <f t="array" ref="R430">SUMPRODUCT(--EXACT($J$2:$J$490,J430))&gt;1</f>
        <v>0</v>
      </c>
      <c r="S430" t="s">
        <v>5100</v>
      </c>
    </row>
    <row r="431" spans="1:19">
      <c r="A431" s="30">
        <v>1</v>
      </c>
      <c r="B431" s="30" t="s">
        <v>1064</v>
      </c>
      <c r="C431" s="30" t="s">
        <v>0</v>
      </c>
      <c r="D431" s="30" t="s">
        <v>1207</v>
      </c>
      <c r="E431" s="30" t="s">
        <v>1752</v>
      </c>
      <c r="F431" s="30" t="s">
        <v>517</v>
      </c>
      <c r="G431" s="39" t="str">
        <f>VLOOKUP(F431,glossary!J:N,2,FALSE)</f>
        <v>Survey Objectives</v>
      </c>
      <c r="H431" s="30" t="s">
        <v>517</v>
      </c>
      <c r="I431" s="45" t="str">
        <f t="shared" si="22"/>
        <v>survey_objectives_tl_abrv</v>
      </c>
      <c r="J431" s="39" t="s">
        <v>40</v>
      </c>
      <c r="K431" s="39" t="str">
        <f>VLOOKUP(F431,glossary!J:N,5,FALSE)</f>
        <v>The specific objectives of each survey within a project, including the Target Species, the state variables (e.g., occupancy, density), and proposed modelling approach(es). Survey Objectives should be specific, measurable, achievable, relevant, and time-bound (i.e., SMART).</v>
      </c>
      <c r="L431" s="30" t="s">
        <v>1714</v>
      </c>
      <c r="M431" s="30" t="str">
        <f t="shared" si="23"/>
        <v>{{ survey_objectives_tl_abrv }}</v>
      </c>
      <c r="N431" t="s">
        <v>896</v>
      </c>
      <c r="O431" s="13" t="s">
        <v>1816</v>
      </c>
      <c r="P431" t="s">
        <v>4582</v>
      </c>
      <c r="Q431" t="str">
        <f t="shared" si="24"/>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1" t="b" cm="1">
        <f t="array" ref="R431">SUMPRODUCT(--EXACT($J$2:$J$490,J431))&gt;1</f>
        <v>0</v>
      </c>
      <c r="S431" t="s">
        <v>5101</v>
      </c>
    </row>
    <row r="432" spans="1:19">
      <c r="A432" s="30">
        <v>1</v>
      </c>
      <c r="B432" s="30" t="s">
        <v>1064</v>
      </c>
      <c r="C432" s="30" t="s">
        <v>0</v>
      </c>
      <c r="D432" s="30" t="s">
        <v>1207</v>
      </c>
      <c r="E432" s="30" t="s">
        <v>1759</v>
      </c>
      <c r="F432" s="30" t="s">
        <v>517</v>
      </c>
      <c r="G432" s="39" t="str">
        <f>VLOOKUP(F432,glossary!J:N,2,FALSE)</f>
        <v>Survey Objectives</v>
      </c>
      <c r="H432" s="30" t="s">
        <v>517</v>
      </c>
      <c r="I432" s="45" t="str">
        <f t="shared" si="22"/>
        <v>survey_objectives_tl_abrv_pl</v>
      </c>
      <c r="J432" s="39" t="s">
        <v>1182</v>
      </c>
      <c r="K432" s="39" t="str">
        <f>VLOOKUP(F432,glossary!J:N,5,FALSE)</f>
        <v>The specific objectives of each survey within a project, including the Target Species, the state variables (e.g., occupancy, density), and proposed modelling approach(es). Survey Objectives should be specific, measurable, achievable, relevant, and time-bound (i.e., SMART).</v>
      </c>
      <c r="L432" s="30" t="s">
        <v>1112</v>
      </c>
      <c r="M432" s="30" t="str">
        <f t="shared" si="23"/>
        <v>{{ survey_objectives_tl_abrv_pl }}</v>
      </c>
      <c r="N432" t="s">
        <v>896</v>
      </c>
      <c r="O432" s="13" t="s">
        <v>1816</v>
      </c>
      <c r="P432" t="s">
        <v>4582</v>
      </c>
      <c r="Q432" t="str">
        <f t="shared" si="24"/>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2" t="b" cm="1">
        <f t="array" ref="R432">SUMPRODUCT(--EXACT($J$2:$J$490,J432))&gt;1</f>
        <v>0</v>
      </c>
      <c r="S432" t="s">
        <v>5102</v>
      </c>
    </row>
    <row r="433" spans="1:19">
      <c r="A433" s="30">
        <v>1</v>
      </c>
      <c r="B433" s="30" t="s">
        <v>1064</v>
      </c>
      <c r="C433" s="30"/>
      <c r="D433" s="30" t="s">
        <v>1207</v>
      </c>
      <c r="E433" s="30" t="s">
        <v>1755</v>
      </c>
      <c r="F433" s="30" t="s">
        <v>517</v>
      </c>
      <c r="G433" s="39" t="str">
        <f>VLOOKUP(F433,glossary!J:N,2,FALSE)</f>
        <v>Survey Objectives</v>
      </c>
      <c r="H433" s="30" t="s">
        <v>517</v>
      </c>
      <c r="I433" s="45" t="str">
        <f t="shared" si="22"/>
        <v>survey_objectives_tl_mod</v>
      </c>
      <c r="J433" s="42" t="s">
        <v>1377</v>
      </c>
      <c r="K433" s="39" t="str">
        <f>VLOOKUP(F433,glossary!J:N,5,FALSE)</f>
        <v>The specific objectives of each survey within a project, including the Target Species, the state variables (e.g., occupancy, density), and proposed modelling approach(es). Survey Objectives should be specific, measurable, achievable, relevant, and time-bound (i.e., SMART).</v>
      </c>
      <c r="L433" s="40" t="s">
        <v>1378</v>
      </c>
      <c r="M433" s="30" t="str">
        <f t="shared" si="23"/>
        <v>{{ survey_objectives_tl_mod }}</v>
      </c>
      <c r="N433" t="s">
        <v>896</v>
      </c>
      <c r="O433" s="13" t="s">
        <v>1816</v>
      </c>
      <c r="P433" t="s">
        <v>4582</v>
      </c>
      <c r="Q433" t="str">
        <f t="shared" si="24"/>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33" t="b">
        <v>0</v>
      </c>
      <c r="S433" t="s">
        <v>5103</v>
      </c>
    </row>
    <row r="434" spans="1:19">
      <c r="A434" s="30">
        <v>2</v>
      </c>
      <c r="B434" s="30" t="s">
        <v>1400</v>
      </c>
      <c r="C434" s="30"/>
      <c r="D434" s="30" t="s">
        <v>1208</v>
      </c>
      <c r="E434" s="30" t="s">
        <v>984</v>
      </c>
      <c r="F434" s="30" t="s">
        <v>517</v>
      </c>
      <c r="G434" s="39" t="str">
        <f>VLOOKUP(F434,glossary!J:N,2,FALSE)</f>
        <v>Survey Objectives</v>
      </c>
      <c r="H434" s="30" t="s">
        <v>517</v>
      </c>
      <c r="I434" s="45" t="str">
        <f t="shared" si="22"/>
        <v>survey_objectives_tu</v>
      </c>
      <c r="J434" s="39" t="s">
        <v>1375</v>
      </c>
      <c r="K434" s="39" t="str">
        <f>VLOOKUP(F434,glossary!J:N,5,FALSE)</f>
        <v>The specific objectives of each survey within a project, including the Target Species, the state variables (e.g., occupancy, density), and proposed modelling approach(es). Survey Objectives should be specific, measurable, achievable, relevant, and time-bound (i.e., SMART).</v>
      </c>
      <c r="L434" s="30" t="s">
        <v>1376</v>
      </c>
      <c r="M434" s="30" t="str">
        <f t="shared" si="23"/>
        <v>{{ survey_objectives_tu }}</v>
      </c>
      <c r="N434" t="s">
        <v>896</v>
      </c>
      <c r="O434" s="13" t="s">
        <v>1816</v>
      </c>
      <c r="P434" t="s">
        <v>4582</v>
      </c>
      <c r="Q434" t="str">
        <f t="shared" si="24"/>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34" t="b" cm="1">
        <f t="array" ref="R434">SUMPRODUCT(--EXACT($J$2:$J$490,J434))&gt;1</f>
        <v>0</v>
      </c>
      <c r="S434" t="s">
        <v>5104</v>
      </c>
    </row>
    <row r="435" spans="1:19">
      <c r="A435" s="30">
        <v>1</v>
      </c>
      <c r="B435" s="30" t="s">
        <v>1064</v>
      </c>
      <c r="C435" s="30" t="s">
        <v>0</v>
      </c>
      <c r="D435" s="30" t="s">
        <v>1208</v>
      </c>
      <c r="E435" s="30" t="s">
        <v>1752</v>
      </c>
      <c r="F435" s="30" t="s">
        <v>517</v>
      </c>
      <c r="G435" s="39" t="str">
        <f>VLOOKUP(F435,glossary!J:N,2,FALSE)</f>
        <v>Survey Objectives</v>
      </c>
      <c r="H435" s="30" t="s">
        <v>517</v>
      </c>
      <c r="I435" s="45" t="str">
        <f t="shared" si="22"/>
        <v>survey_objectives_tu_abrv</v>
      </c>
      <c r="J435" s="39" t="s">
        <v>820</v>
      </c>
      <c r="K435" s="39" t="str">
        <f>VLOOKUP(F435,glossary!J:N,5,FALSE)</f>
        <v>The specific objectives of each survey within a project, including the Target Species, the state variables (e.g., occupancy, density), and proposed modelling approach(es). Survey Objectives should be specific, measurable, achievable, relevant, and time-bound (i.e., SMART).</v>
      </c>
      <c r="L435" s="30" t="s">
        <v>1713</v>
      </c>
      <c r="M435" s="30" t="str">
        <f t="shared" si="23"/>
        <v>{{ survey_objectives_tu_abrv }}</v>
      </c>
      <c r="N435" t="s">
        <v>896</v>
      </c>
      <c r="O435" s="13" t="s">
        <v>1816</v>
      </c>
      <c r="P435" t="s">
        <v>4582</v>
      </c>
      <c r="Q435" t="str">
        <f t="shared" si="24"/>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5" t="b" cm="1">
        <f t="array" ref="R435">SUMPRODUCT(--EXACT($J$2:$J$490,J435))&gt;1</f>
        <v>0</v>
      </c>
      <c r="S435" t="s">
        <v>5105</v>
      </c>
    </row>
    <row r="436" spans="1:19">
      <c r="A436" s="30">
        <v>1</v>
      </c>
      <c r="B436" s="30" t="s">
        <v>1064</v>
      </c>
      <c r="C436" s="30" t="s">
        <v>0</v>
      </c>
      <c r="D436" s="30" t="s">
        <v>1208</v>
      </c>
      <c r="E436" s="30" t="s">
        <v>1759</v>
      </c>
      <c r="F436" s="30" t="s">
        <v>517</v>
      </c>
      <c r="G436" s="39" t="str">
        <f>VLOOKUP(F436,glossary!J:N,2,FALSE)</f>
        <v>Survey Objectives</v>
      </c>
      <c r="H436" s="30" t="s">
        <v>517</v>
      </c>
      <c r="I436" s="45" t="str">
        <f t="shared" si="22"/>
        <v>survey_objectives_tu_abrv_pl</v>
      </c>
      <c r="J436" s="39" t="s">
        <v>1160</v>
      </c>
      <c r="K436" s="39" t="str">
        <f>VLOOKUP(F436,glossary!J:N,5,FALSE)</f>
        <v>The specific objectives of each survey within a project, including the Target Species, the state variables (e.g., occupancy, density), and proposed modelling approach(es). Survey Objectives should be specific, measurable, achievable, relevant, and time-bound (i.e., SMART).</v>
      </c>
      <c r="L436" s="30" t="s">
        <v>1111</v>
      </c>
      <c r="M436" s="30" t="str">
        <f t="shared" si="23"/>
        <v>{{ survey_objectives_tu_abrv_pl }}</v>
      </c>
      <c r="N436" t="s">
        <v>896</v>
      </c>
      <c r="O436" s="13" t="s">
        <v>1816</v>
      </c>
      <c r="P436" t="s">
        <v>4582</v>
      </c>
      <c r="Q436" t="str">
        <f t="shared" si="24"/>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6" t="b" cm="1">
        <f t="array" ref="R436">SUMPRODUCT(--EXACT($J$2:$J$490,J436))&gt;1</f>
        <v>0</v>
      </c>
      <c r="S436" t="s">
        <v>5106</v>
      </c>
    </row>
    <row r="437" spans="1:19">
      <c r="A437" s="30">
        <v>3</v>
      </c>
      <c r="B437" s="30" t="s">
        <v>1393</v>
      </c>
      <c r="C437" s="30"/>
      <c r="D437" s="30" t="s">
        <v>1208</v>
      </c>
      <c r="E437" s="30" t="s">
        <v>1758</v>
      </c>
      <c r="F437" s="30" t="s">
        <v>517</v>
      </c>
      <c r="G437" s="39" t="str">
        <f>VLOOKUP(F437,glossary!J:N,2,FALSE)</f>
        <v>Survey Objectives</v>
      </c>
      <c r="H437" s="34" t="s">
        <v>517</v>
      </c>
      <c r="I437" s="45" t="str">
        <f t="shared" si="22"/>
        <v>survey_objectives_tu_pl</v>
      </c>
      <c r="J437" s="42" t="s">
        <v>727</v>
      </c>
      <c r="K437" s="39" t="str">
        <f>VLOOKUP(F437,glossary!J:N,5,FALSE)</f>
        <v>The specific objectives of each survey within a project, including the Target Species, the state variables (e.g., occupancy, density), and proposed modelling approach(es). Survey Objectives should be specific, measurable, achievable, relevant, and time-bound (i.e., SMART).</v>
      </c>
      <c r="L437" t="s">
        <v>1454</v>
      </c>
      <c r="M437" s="30" t="str">
        <f t="shared" si="23"/>
        <v>{{ survey_objectives_tu_pl }}</v>
      </c>
      <c r="N437" t="s">
        <v>896</v>
      </c>
      <c r="O437" s="13" t="s">
        <v>1816</v>
      </c>
      <c r="P437" t="s">
        <v>4582</v>
      </c>
      <c r="Q437" t="str">
        <f t="shared" si="24"/>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37" t="b" cm="1">
        <f t="array" ref="R437">SUMPRODUCT(--EXACT($J$2:$J$490,J437))&gt;1</f>
        <v>0</v>
      </c>
      <c r="S437" t="s">
        <v>5107</v>
      </c>
    </row>
    <row r="438" spans="1:19">
      <c r="A438" s="30">
        <v>2</v>
      </c>
      <c r="B438" s="30" t="s">
        <v>1400</v>
      </c>
      <c r="C438" s="30"/>
      <c r="D438" s="30" t="s">
        <v>1207</v>
      </c>
      <c r="E438" s="30" t="s">
        <v>984</v>
      </c>
      <c r="F438" s="30" t="s">
        <v>241</v>
      </c>
      <c r="G438" s="39" t="str">
        <f>VLOOKUP(F438,glossary!J:N,2,FALSE)</f>
        <v>Tag</v>
      </c>
      <c r="H438" s="30" t="s">
        <v>241</v>
      </c>
      <c r="I438" s="45" t="str">
        <f t="shared" si="22"/>
        <v>tag_tl</v>
      </c>
      <c r="J438" s="39" t="s">
        <v>241</v>
      </c>
      <c r="K438" s="39" t="str">
        <f>VLOOKUP(F438,glossary!J:N,5,FALSE)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8" s="30" t="s">
        <v>1453</v>
      </c>
      <c r="M438" s="30" t="str">
        <f t="shared" si="23"/>
        <v>{{ tag_tl }}</v>
      </c>
      <c r="N438" t="s">
        <v>896</v>
      </c>
      <c r="O438" s="13" t="s">
        <v>1816</v>
      </c>
      <c r="P438" t="s">
        <v>4582</v>
      </c>
      <c r="Q438" t="str">
        <f t="shared" si="24"/>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38" t="b" cm="1">
        <f t="array" ref="R438">SUMPRODUCT(--EXACT($J$2:$J$490,J438))&gt;1</f>
        <v>0</v>
      </c>
      <c r="S438" t="s">
        <v>5108</v>
      </c>
    </row>
    <row r="439" spans="1:19">
      <c r="A439" s="30">
        <v>1</v>
      </c>
      <c r="B439" s="30" t="s">
        <v>1064</v>
      </c>
      <c r="C439" s="30" t="s">
        <v>0</v>
      </c>
      <c r="D439" s="30" t="s">
        <v>1207</v>
      </c>
      <c r="E439" s="30" t="s">
        <v>1758</v>
      </c>
      <c r="F439" s="30" t="s">
        <v>241</v>
      </c>
      <c r="G439" s="39" t="str">
        <f>VLOOKUP(F439,glossary!J:N,2,FALSE)</f>
        <v>Tag</v>
      </c>
      <c r="H439" s="30" t="s">
        <v>241</v>
      </c>
      <c r="I439" s="45" t="str">
        <f t="shared" si="22"/>
        <v>tag_tl_pl</v>
      </c>
      <c r="J439" s="39" t="s">
        <v>1188</v>
      </c>
      <c r="K439" s="39" t="str">
        <f>VLOOKUP(F439,glossary!J:N,5,FALSE)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9" s="30" t="s">
        <v>1115</v>
      </c>
      <c r="M439" s="30" t="str">
        <f t="shared" si="23"/>
        <v>{{ tag_tl_pl }}</v>
      </c>
      <c r="N439" t="s">
        <v>896</v>
      </c>
      <c r="O439" s="13" t="s">
        <v>1816</v>
      </c>
      <c r="P439" t="s">
        <v>4582</v>
      </c>
      <c r="Q439" t="str">
        <f t="shared" si="24"/>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39" t="b" cm="1">
        <f t="array" ref="R439">SUMPRODUCT(--EXACT($J$2:$J$490,J439))&gt;1</f>
        <v>0</v>
      </c>
      <c r="S439" t="s">
        <v>5109</v>
      </c>
    </row>
    <row r="440" spans="1:19">
      <c r="A440" s="30">
        <v>2</v>
      </c>
      <c r="B440" s="30" t="s">
        <v>1400</v>
      </c>
      <c r="C440" s="30"/>
      <c r="D440" s="30" t="s">
        <v>1208</v>
      </c>
      <c r="E440" s="30" t="s">
        <v>984</v>
      </c>
      <c r="F440" s="30" t="s">
        <v>241</v>
      </c>
      <c r="G440" s="39" t="str">
        <f>VLOOKUP(F440,glossary!J:N,2,FALSE)</f>
        <v>Tag</v>
      </c>
      <c r="H440" s="30" t="s">
        <v>241</v>
      </c>
      <c r="I440" s="45" t="str">
        <f t="shared" si="22"/>
        <v>tag_tu</v>
      </c>
      <c r="J440" s="39" t="s">
        <v>728</v>
      </c>
      <c r="K440" s="39" t="str">
        <f>VLOOKUP(F440,glossary!J:N,5,FALSE)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0" s="30" t="s">
        <v>1452</v>
      </c>
      <c r="M440" s="30" t="str">
        <f t="shared" si="23"/>
        <v>{{ tag_tu }}</v>
      </c>
      <c r="N440" t="s">
        <v>896</v>
      </c>
      <c r="O440" s="13" t="s">
        <v>1816</v>
      </c>
      <c r="P440" t="s">
        <v>4582</v>
      </c>
      <c r="Q440" t="str">
        <f t="shared" si="24"/>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40" t="b" cm="1">
        <f t="array" ref="R440">SUMPRODUCT(--EXACT($J$2:$J$490,J440))&gt;1</f>
        <v>0</v>
      </c>
      <c r="S440" t="s">
        <v>5110</v>
      </c>
    </row>
    <row r="441" spans="1:19">
      <c r="A441" s="30">
        <v>1</v>
      </c>
      <c r="B441" s="30" t="s">
        <v>1064</v>
      </c>
      <c r="C441" s="30" t="s">
        <v>0</v>
      </c>
      <c r="D441" s="30" t="s">
        <v>1208</v>
      </c>
      <c r="E441" s="30" t="s">
        <v>1758</v>
      </c>
      <c r="F441" s="30" t="s">
        <v>241</v>
      </c>
      <c r="G441" s="39" t="str">
        <f>VLOOKUP(F441,glossary!J:N,2,FALSE)</f>
        <v>Tag</v>
      </c>
      <c r="H441" s="30" t="s">
        <v>241</v>
      </c>
      <c r="I441" s="45" t="str">
        <f t="shared" si="22"/>
        <v>tag_tu_pl</v>
      </c>
      <c r="J441" s="39" t="s">
        <v>1177</v>
      </c>
      <c r="K441" s="39" t="str">
        <f>VLOOKUP(F441,glossary!J:N,5,FALSE)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1" s="30" t="s">
        <v>1109</v>
      </c>
      <c r="M441" s="30" t="str">
        <f t="shared" si="23"/>
        <v>{{ tag_tu_pl }}</v>
      </c>
      <c r="N441" t="s">
        <v>896</v>
      </c>
      <c r="O441" s="13" t="s">
        <v>1816</v>
      </c>
      <c r="P441" t="s">
        <v>4582</v>
      </c>
      <c r="Q441" t="str">
        <f t="shared" si="24"/>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41" t="b" cm="1">
        <f t="array" ref="R441">SUMPRODUCT(--EXACT($J$2:$J$490,J441))&gt;1</f>
        <v>0</v>
      </c>
      <c r="S441" t="s">
        <v>5111</v>
      </c>
    </row>
    <row r="442" spans="1:19">
      <c r="A442" s="30">
        <v>3</v>
      </c>
      <c r="B442" s="30" t="s">
        <v>1393</v>
      </c>
      <c r="C442" s="30"/>
      <c r="D442" s="30" t="s">
        <v>1208</v>
      </c>
      <c r="E442" s="30" t="s">
        <v>984</v>
      </c>
      <c r="F442" s="30" t="s">
        <v>240</v>
      </c>
      <c r="G442" s="39" t="str">
        <f>VLOOKUP(F442,glossary!J:N,2,FALSE)</f>
        <v>Target Species</v>
      </c>
      <c r="H442" s="34" t="s">
        <v>240</v>
      </c>
      <c r="I442" s="45" t="str">
        <f t="shared" si="22"/>
        <v>target_species_tu</v>
      </c>
      <c r="J442" s="42" t="s">
        <v>729</v>
      </c>
      <c r="K442" s="39" t="str">
        <f>VLOOKUP(F442,glossary!J:N,5,FALSE)</f>
        <v>The common name(s) of the species that the survey was designed to detect.</v>
      </c>
      <c r="L442" t="s">
        <v>1451</v>
      </c>
      <c r="M442" s="30" t="str">
        <f t="shared" si="23"/>
        <v>{{ target_species_tu }}</v>
      </c>
      <c r="N442" t="s">
        <v>896</v>
      </c>
      <c r="O442" s="13" t="s">
        <v>1816</v>
      </c>
      <c r="P442" t="s">
        <v>4582</v>
      </c>
      <c r="Q442" t="str">
        <f t="shared" si="24"/>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42" t="b" cm="1">
        <f t="array" ref="R442">SUMPRODUCT(--EXACT($J$2:$J$490,J442))&gt;1</f>
        <v>0</v>
      </c>
      <c r="S442" t="s">
        <v>5112</v>
      </c>
    </row>
    <row r="443" spans="1:19">
      <c r="A443" s="30">
        <v>3</v>
      </c>
      <c r="B443" s="30" t="s">
        <v>1393</v>
      </c>
      <c r="C443" s="30"/>
      <c r="D443" s="30" t="s">
        <v>1207</v>
      </c>
      <c r="E443" s="30" t="s">
        <v>984</v>
      </c>
      <c r="F443" s="30" t="s">
        <v>82</v>
      </c>
      <c r="G443" s="39" t="str">
        <f>VLOOKUP(F443,glossary!J:N,2,FALSE)</f>
        <v>Test image</v>
      </c>
      <c r="H443" s="34" t="s">
        <v>82</v>
      </c>
      <c r="I443" s="45" t="str">
        <f t="shared" si="22"/>
        <v>test_image_tl</v>
      </c>
      <c r="J443" s="43" t="s">
        <v>961</v>
      </c>
      <c r="K443" s="39" t="str">
        <f>VLOOKUP(F443,glossary!J:N,5,FALSE)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3" t="s">
        <v>1450</v>
      </c>
      <c r="M443" s="30" t="str">
        <f t="shared" si="23"/>
        <v>{{ test_image_tl }}</v>
      </c>
      <c r="N443" t="s">
        <v>896</v>
      </c>
      <c r="O443" s="13" t="s">
        <v>1816</v>
      </c>
      <c r="P443" t="s">
        <v>4582</v>
      </c>
      <c r="Q443" t="str">
        <f t="shared" si="24"/>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3" t="b" cm="1">
        <f t="array" ref="R443">SUMPRODUCT(--EXACT($J$2:$J$490,J443))&gt;1</f>
        <v>0</v>
      </c>
      <c r="S443" t="s">
        <v>5113</v>
      </c>
    </row>
    <row r="444" spans="1:19">
      <c r="A444" s="30">
        <v>1</v>
      </c>
      <c r="B444" s="30" t="s">
        <v>1064</v>
      </c>
      <c r="C444" s="30" t="s">
        <v>0</v>
      </c>
      <c r="D444" s="30" t="s">
        <v>1207</v>
      </c>
      <c r="E444" s="30" t="s">
        <v>1758</v>
      </c>
      <c r="F444" s="30" t="s">
        <v>82</v>
      </c>
      <c r="G444" s="39" t="str">
        <f>VLOOKUP(F444,glossary!J:N,2,FALSE)</f>
        <v>Test image</v>
      </c>
      <c r="H444" s="34" t="s">
        <v>82</v>
      </c>
      <c r="I444" s="45" t="str">
        <f t="shared" si="22"/>
        <v>test_image_tl_pl</v>
      </c>
      <c r="J444" s="39" t="s">
        <v>1189</v>
      </c>
      <c r="K444" s="39" t="str">
        <f>VLOOKUP(F444,glossary!J:N,5,FALSE)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4" s="30" t="s">
        <v>1116</v>
      </c>
      <c r="M444" s="30" t="str">
        <f t="shared" ref="M444:M475" si="25">"{{ "&amp;I444&amp;" }}"</f>
        <v>{{ test_image_tl_pl }}</v>
      </c>
      <c r="N444" t="s">
        <v>896</v>
      </c>
      <c r="O444" s="13" t="s">
        <v>1816</v>
      </c>
      <c r="P444" t="s">
        <v>4582</v>
      </c>
      <c r="Q444" t="str">
        <f t="shared" ref="Q444:Q475" si="26">IF(K444&lt;&gt;"-",("    "&amp;I444&amp;": "&amp;""""&amp;"&lt;a href=\"&amp;""""&amp;"09_glossary.html#"&amp;H444&amp;N444&amp;G444&amp;": "&amp;K444&amp;O444&amp;J444&amp;P444&amp;""""),"-")</f>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4" t="b" cm="1">
        <f t="array" ref="R444">SUMPRODUCT(--EXACT($J$2:$J$490,J444))&gt;1</f>
        <v>0</v>
      </c>
      <c r="S444" t="s">
        <v>5114</v>
      </c>
    </row>
    <row r="445" spans="1:19">
      <c r="A445" s="30">
        <v>3</v>
      </c>
      <c r="B445" s="30" t="s">
        <v>1393</v>
      </c>
      <c r="C445" s="30"/>
      <c r="D445" s="30" t="s">
        <v>1208</v>
      </c>
      <c r="E445" s="30" t="s">
        <v>984</v>
      </c>
      <c r="F445" s="30" t="s">
        <v>82</v>
      </c>
      <c r="G445" s="39" t="str">
        <f>VLOOKUP(F445,glossary!J:N,2,FALSE)</f>
        <v>Test image</v>
      </c>
      <c r="H445" s="34" t="s">
        <v>82</v>
      </c>
      <c r="I445" s="45" t="str">
        <f t="shared" si="22"/>
        <v>test_image_tu</v>
      </c>
      <c r="J445" s="42" t="s">
        <v>84</v>
      </c>
      <c r="K445" s="39" t="str">
        <f>VLOOKUP(F445,glossary!J:N,5,FALSE)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5" t="s">
        <v>1449</v>
      </c>
      <c r="M445" s="30" t="str">
        <f t="shared" si="25"/>
        <v>{{ test_image_tu }}</v>
      </c>
      <c r="N445" t="s">
        <v>896</v>
      </c>
      <c r="O445" s="13" t="s">
        <v>1816</v>
      </c>
      <c r="P445" t="s">
        <v>4582</v>
      </c>
      <c r="Q445" t="str">
        <f t="shared" si="26"/>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5" t="b" cm="1">
        <f t="array" ref="R445">SUMPRODUCT(--EXACT($J$2:$J$490,J445))&gt;1</f>
        <v>0</v>
      </c>
      <c r="S445" t="s">
        <v>5115</v>
      </c>
    </row>
    <row r="446" spans="1:19">
      <c r="A446" s="30">
        <v>1</v>
      </c>
      <c r="B446" s="30" t="s">
        <v>1064</v>
      </c>
      <c r="C446" s="30" t="s">
        <v>0</v>
      </c>
      <c r="D446" s="30" t="s">
        <v>1208</v>
      </c>
      <c r="E446" s="30" t="s">
        <v>1758</v>
      </c>
      <c r="F446" s="30" t="s">
        <v>82</v>
      </c>
      <c r="G446" s="39" t="str">
        <f>VLOOKUP(F446,glossary!J:N,2,FALSE)</f>
        <v>Test image</v>
      </c>
      <c r="H446" s="34" t="s">
        <v>82</v>
      </c>
      <c r="I446" s="45" t="str">
        <f t="shared" si="22"/>
        <v>test_image_tu_pl</v>
      </c>
      <c r="J446" s="39" t="s">
        <v>1073</v>
      </c>
      <c r="K446" s="39" t="str">
        <f>VLOOKUP(F446,glossary!J:N,5,FALSE)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6" s="30" t="s">
        <v>1108</v>
      </c>
      <c r="M446" s="30" t="str">
        <f t="shared" si="25"/>
        <v>{{ test_image_tu_pl }}</v>
      </c>
      <c r="N446" t="s">
        <v>896</v>
      </c>
      <c r="O446" s="13" t="s">
        <v>1816</v>
      </c>
      <c r="P446" t="s">
        <v>4582</v>
      </c>
      <c r="Q446" t="str">
        <f t="shared" si="26"/>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6" t="b" cm="1">
        <f t="array" ref="R446">SUMPRODUCT(--EXACT($J$2:$J$490,J446))&gt;1</f>
        <v>0</v>
      </c>
      <c r="S446" t="s">
        <v>5116</v>
      </c>
    </row>
    <row r="447" spans="1:19">
      <c r="A447" s="30">
        <v>3</v>
      </c>
      <c r="B447" s="30" t="s">
        <v>1393</v>
      </c>
      <c r="C447" s="30"/>
      <c r="D447" s="30" t="s">
        <v>1208</v>
      </c>
      <c r="E447" s="30" t="s">
        <v>984</v>
      </c>
      <c r="F447" s="30" t="s">
        <v>1394</v>
      </c>
      <c r="G447" s="39" t="str">
        <f>VLOOKUP(F447,glossary!J:N,2,FALSE)</f>
        <v>Test Image Taken</v>
      </c>
      <c r="H447" s="34" t="s">
        <v>1394</v>
      </c>
      <c r="I447" s="45" t="str">
        <f t="shared" si="22"/>
        <v>test_image_taken_tu</v>
      </c>
      <c r="J447" s="42" t="s">
        <v>761</v>
      </c>
      <c r="K447" s="39" t="str">
        <f>VLOOKUP(F447,glossary!J:N,5,FALSE)</f>
        <v>Whether a test image (i.e., an image taken from a camera after it has been set up to provide a permanent record of the visit metadata) was taken. Arm the camera, from ~5 m in front, walk towards the camera while holding the Test Image Sheet.</v>
      </c>
      <c r="L447" t="s">
        <v>1448</v>
      </c>
      <c r="M447" s="30" t="str">
        <f t="shared" si="25"/>
        <v>{{ test_image_taken_tu }}</v>
      </c>
      <c r="N447" t="s">
        <v>896</v>
      </c>
      <c r="O447" s="13" t="s">
        <v>1816</v>
      </c>
      <c r="P447" t="s">
        <v>4582</v>
      </c>
      <c r="Q447" t="str">
        <f t="shared" si="26"/>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47" t="b" cm="1">
        <f t="array" ref="R447">SUMPRODUCT(--EXACT($J$2:$J$490,J447))&gt;1</f>
        <v>0</v>
      </c>
      <c r="S447" t="s">
        <v>5117</v>
      </c>
    </row>
    <row r="448" spans="1:19">
      <c r="A448" s="30">
        <v>3</v>
      </c>
      <c r="B448" s="30" t="s">
        <v>1393</v>
      </c>
      <c r="C448" s="30"/>
      <c r="D448" s="30" t="s">
        <v>1207</v>
      </c>
      <c r="E448" s="30" t="s">
        <v>984</v>
      </c>
      <c r="F448" s="30" t="s">
        <v>79</v>
      </c>
      <c r="G448" s="39" t="str">
        <f>VLOOKUP(F448,glossary!J:N,2,FALSE)</f>
        <v>Time-lapse image</v>
      </c>
      <c r="H448" s="34" t="s">
        <v>79</v>
      </c>
      <c r="I448" s="45" t="str">
        <f t="shared" si="22"/>
        <v>timelapse_image_tl</v>
      </c>
      <c r="J448" s="43" t="s">
        <v>962</v>
      </c>
      <c r="K448" s="39" t="str">
        <f>VLOOKUP(F448,glossary!J:N,5,FALSE)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8" t="s">
        <v>1447</v>
      </c>
      <c r="M448" s="30" t="str">
        <f t="shared" si="25"/>
        <v>{{ timelapse_image_tl }}</v>
      </c>
      <c r="N448" t="s">
        <v>896</v>
      </c>
      <c r="O448" s="13" t="s">
        <v>1816</v>
      </c>
      <c r="P448" t="s">
        <v>4582</v>
      </c>
      <c r="Q448" t="str">
        <f t="shared" si="26"/>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8" t="b" cm="1">
        <f t="array" ref="R448">SUMPRODUCT(--EXACT($J$2:$J$490,J448))&gt;1</f>
        <v>0</v>
      </c>
      <c r="S448" t="s">
        <v>5118</v>
      </c>
    </row>
    <row r="449" spans="1:19">
      <c r="A449" s="30">
        <v>1</v>
      </c>
      <c r="B449" s="30" t="s">
        <v>1064</v>
      </c>
      <c r="C449" s="30" t="s">
        <v>0</v>
      </c>
      <c r="D449" s="30" t="s">
        <v>1207</v>
      </c>
      <c r="E449" s="30" t="s">
        <v>1758</v>
      </c>
      <c r="F449" s="30" t="s">
        <v>79</v>
      </c>
      <c r="G449" s="39" t="str">
        <f>VLOOKUP(F449,glossary!J:N,2,FALSE)</f>
        <v>Time-lapse image</v>
      </c>
      <c r="H449" s="34" t="s">
        <v>79</v>
      </c>
      <c r="I449" s="45" t="str">
        <f t="shared" si="22"/>
        <v>timelapse_image_tl_pl</v>
      </c>
      <c r="J449" s="39" t="s">
        <v>1190</v>
      </c>
      <c r="K449" s="39" t="str">
        <f>VLOOKUP(F449,glossary!J:N,5,FALSE)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9" s="30" t="s">
        <v>1117</v>
      </c>
      <c r="M449" s="30" t="str">
        <f t="shared" si="25"/>
        <v>{{ timelapse_image_tl_pl }}</v>
      </c>
      <c r="N449" t="s">
        <v>896</v>
      </c>
      <c r="O449" s="13" t="s">
        <v>1816</v>
      </c>
      <c r="P449" t="s">
        <v>4582</v>
      </c>
      <c r="Q449" t="str">
        <f t="shared" si="26"/>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9" t="b" cm="1">
        <f t="array" ref="R449">SUMPRODUCT(--EXACT($J$2:$J$490,J449))&gt;1</f>
        <v>0</v>
      </c>
      <c r="S449" t="s">
        <v>5119</v>
      </c>
    </row>
    <row r="450" spans="1:19">
      <c r="A450" s="30">
        <v>3</v>
      </c>
      <c r="B450" s="30" t="s">
        <v>1393</v>
      </c>
      <c r="C450" s="30"/>
      <c r="D450" s="30" t="s">
        <v>1208</v>
      </c>
      <c r="E450" s="30" t="s">
        <v>984</v>
      </c>
      <c r="F450" s="30" t="s">
        <v>79</v>
      </c>
      <c r="G450" s="39" t="str">
        <f>VLOOKUP(F450,glossary!J:N,2,FALSE)</f>
        <v>Time-lapse image</v>
      </c>
      <c r="H450" s="34" t="s">
        <v>79</v>
      </c>
      <c r="I450" s="45" t="str">
        <f t="shared" ref="I450:I513" si="27">IF(D450="-","-",IF(E450&lt;&gt;"-",(H450&amp;"_"&amp;D450&amp;"_"&amp;E450),H450&amp;"_"&amp;D450))</f>
        <v>timelapse_image_tu</v>
      </c>
      <c r="J450" s="42" t="s">
        <v>80</v>
      </c>
      <c r="K450" s="39" t="str">
        <f>VLOOKUP(F450,glossary!J:N,5,FALSE)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0" t="s">
        <v>1446</v>
      </c>
      <c r="M450" s="30" t="str">
        <f t="shared" si="25"/>
        <v>{{ timelapse_image_tu }}</v>
      </c>
      <c r="N450" t="s">
        <v>896</v>
      </c>
      <c r="O450" s="13" t="s">
        <v>1816</v>
      </c>
      <c r="P450" t="s">
        <v>4582</v>
      </c>
      <c r="Q450" t="str">
        <f t="shared" si="26"/>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50" t="b" cm="1">
        <f t="array" ref="R450">SUMPRODUCT(--EXACT($J$2:$J$490,J450))&gt;1</f>
        <v>0</v>
      </c>
      <c r="S450" t="s">
        <v>5120</v>
      </c>
    </row>
    <row r="451" spans="1:19">
      <c r="A451" s="30">
        <v>1</v>
      </c>
      <c r="B451" s="30" t="s">
        <v>1064</v>
      </c>
      <c r="C451" s="30" t="s">
        <v>0</v>
      </c>
      <c r="D451" s="30" t="s">
        <v>1208</v>
      </c>
      <c r="E451" s="30" t="s">
        <v>1758</v>
      </c>
      <c r="F451" s="30" t="s">
        <v>79</v>
      </c>
      <c r="G451" s="39" t="str">
        <f>VLOOKUP(F451,glossary!J:N,2,FALSE)</f>
        <v>Time-lapse image</v>
      </c>
      <c r="H451" s="34" t="s">
        <v>79</v>
      </c>
      <c r="I451" s="45" t="str">
        <f t="shared" si="27"/>
        <v>timelapse_image_tu_pl</v>
      </c>
      <c r="J451" s="39" t="s">
        <v>1072</v>
      </c>
      <c r="K451" s="39" t="str">
        <f>VLOOKUP(F451,glossary!J:N,5,FALSE)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1" s="30" t="s">
        <v>1107</v>
      </c>
      <c r="M451" s="30" t="str">
        <f t="shared" si="25"/>
        <v>{{ timelapse_image_tu_pl }}</v>
      </c>
      <c r="N451" t="s">
        <v>896</v>
      </c>
      <c r="O451" s="13" t="s">
        <v>1816</v>
      </c>
      <c r="P451" t="s">
        <v>4582</v>
      </c>
      <c r="Q451" t="str">
        <f t="shared" si="26"/>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51" t="b" cm="1">
        <f t="array" ref="R451">SUMPRODUCT(--EXACT($J$2:$J$490,J451))&gt;1</f>
        <v>0</v>
      </c>
      <c r="S451" t="s">
        <v>5121</v>
      </c>
    </row>
    <row r="452" spans="1:19">
      <c r="A452" s="30">
        <v>3</v>
      </c>
      <c r="B452" s="30" t="s">
        <v>1393</v>
      </c>
      <c r="C452" s="30"/>
      <c r="D452" s="30" t="s">
        <v>1207</v>
      </c>
      <c r="E452" s="30" t="s">
        <v>984</v>
      </c>
      <c r="F452" s="30" t="s">
        <v>1246</v>
      </c>
      <c r="G452" s="39" t="str">
        <f>VLOOKUP(F452,glossary!J:N,2,FALSE)</f>
        <v>Total number of camera days</v>
      </c>
      <c r="H452" s="34" t="s">
        <v>1246</v>
      </c>
      <c r="I452" s="45" t="str">
        <f t="shared" si="27"/>
        <v>total_number_of_cam_days_tl</v>
      </c>
      <c r="J452" s="43" t="s">
        <v>963</v>
      </c>
      <c r="K452" s="39" t="str">
        <f>VLOOKUP(F452,glossary!J:N,5,FALSE)</f>
        <v>The number of days that all cameras were active during the survey.</v>
      </c>
      <c r="L452" t="s">
        <v>1445</v>
      </c>
      <c r="M452" s="30" t="str">
        <f t="shared" si="25"/>
        <v>{{ total_number_of_cam_days_tl }}</v>
      </c>
      <c r="N452" t="s">
        <v>896</v>
      </c>
      <c r="O452" s="13" t="s">
        <v>1816</v>
      </c>
      <c r="P452" t="s">
        <v>4582</v>
      </c>
      <c r="Q452" t="str">
        <f t="shared" si="26"/>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2" t="b" cm="1">
        <f t="array" ref="R452">SUMPRODUCT(--EXACT($J$2:$J$490,J452))&gt;1</f>
        <v>0</v>
      </c>
      <c r="S452" t="s">
        <v>5122</v>
      </c>
    </row>
    <row r="453" spans="1:19">
      <c r="A453" s="30">
        <v>3</v>
      </c>
      <c r="B453" s="30" t="s">
        <v>1393</v>
      </c>
      <c r="C453" s="30"/>
      <c r="D453" s="30" t="s">
        <v>1208</v>
      </c>
      <c r="E453" s="30" t="s">
        <v>984</v>
      </c>
      <c r="F453" s="30" t="s">
        <v>1246</v>
      </c>
      <c r="G453" s="39" t="str">
        <f>VLOOKUP(F453,glossary!J:N,2,FALSE)</f>
        <v>Total number of camera days</v>
      </c>
      <c r="H453" s="34" t="s">
        <v>1246</v>
      </c>
      <c r="I453" s="45" t="str">
        <f t="shared" si="27"/>
        <v>total_number_of_cam_days_tu</v>
      </c>
      <c r="J453" s="42" t="s">
        <v>77</v>
      </c>
      <c r="K453" s="39" t="str">
        <f>VLOOKUP(F453,glossary!J:N,5,FALSE)</f>
        <v>The number of days that all cameras were active during the survey.</v>
      </c>
      <c r="L453" t="s">
        <v>1444</v>
      </c>
      <c r="M453" s="30" t="str">
        <f t="shared" si="25"/>
        <v>{{ total_number_of_cam_days_tu }}</v>
      </c>
      <c r="N453" t="s">
        <v>896</v>
      </c>
      <c r="O453" s="13" t="s">
        <v>1816</v>
      </c>
      <c r="P453" t="s">
        <v>4582</v>
      </c>
      <c r="Q453" t="str">
        <f t="shared" si="26"/>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3" t="b" cm="1">
        <f t="array" ref="R453">SUMPRODUCT(--EXACT($J$2:$J$490,J453))&gt;1</f>
        <v>0</v>
      </c>
      <c r="S453" t="s">
        <v>5123</v>
      </c>
    </row>
    <row r="454" spans="1:19">
      <c r="A454" s="30">
        <v>3</v>
      </c>
      <c r="B454" s="30" t="s">
        <v>1393</v>
      </c>
      <c r="C454" s="30"/>
      <c r="D454" s="30" t="s">
        <v>1207</v>
      </c>
      <c r="E454" s="30" t="s">
        <v>984</v>
      </c>
      <c r="F454" s="30" t="s">
        <v>75</v>
      </c>
      <c r="G454" s="39" t="str">
        <f>VLOOKUP(F454,glossary!J:N,2,FALSE)</f>
        <v>Trigger 'event'</v>
      </c>
      <c r="H454" s="34" t="s">
        <v>75</v>
      </c>
      <c r="I454" s="45" t="str">
        <f t="shared" si="27"/>
        <v>trigger_event_tl</v>
      </c>
      <c r="J454" s="43" t="s">
        <v>964</v>
      </c>
      <c r="K454" s="39" t="str">
        <f>VLOOKUP(F454,glossary!J:N,5,FALSE)</f>
        <v>An activation of the camera detector(s) that initiates the capture of a single or multiple images, or the recording of video.</v>
      </c>
      <c r="L454" t="s">
        <v>1443</v>
      </c>
      <c r="M454" s="30" t="str">
        <f t="shared" si="25"/>
        <v>{{ trigger_event_tl }}</v>
      </c>
      <c r="N454" t="s">
        <v>896</v>
      </c>
      <c r="O454" s="13" t="s">
        <v>1816</v>
      </c>
      <c r="P454" t="s">
        <v>4582</v>
      </c>
      <c r="Q454" t="str">
        <f t="shared" si="26"/>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4" t="b" cm="1">
        <f t="array" ref="R454">SUMPRODUCT(--EXACT($J$2:$J$490,J454))&gt;1</f>
        <v>0</v>
      </c>
      <c r="S454" t="s">
        <v>5124</v>
      </c>
    </row>
    <row r="455" spans="1:19">
      <c r="A455" s="30">
        <v>1</v>
      </c>
      <c r="B455" s="30" t="s">
        <v>1064</v>
      </c>
      <c r="C455" s="30"/>
      <c r="D455" s="30" t="s">
        <v>1207</v>
      </c>
      <c r="E455" s="30" t="s">
        <v>1752</v>
      </c>
      <c r="F455" s="30" t="s">
        <v>75</v>
      </c>
      <c r="G455" s="39" t="str">
        <f>VLOOKUP(F455,glossary!J:N,2,FALSE)</f>
        <v>Trigger 'event'</v>
      </c>
      <c r="H455" s="30" t="s">
        <v>75</v>
      </c>
      <c r="I455" s="45" t="str">
        <f t="shared" si="27"/>
        <v>trigger_event_tl_abrv</v>
      </c>
      <c r="J455" s="39" t="s">
        <v>1212</v>
      </c>
      <c r="K455" s="39" t="str">
        <f>VLOOKUP(F455,glossary!J:N,5,FALSE)</f>
        <v>An activation of the camera detector(s) that initiates the capture of a single or multiple images, or the recording of video.</v>
      </c>
      <c r="L455" s="30" t="s">
        <v>1211</v>
      </c>
      <c r="M455" s="30" t="str">
        <f t="shared" si="25"/>
        <v>{{ trigger_event_tl_abrv }}</v>
      </c>
      <c r="N455" t="s">
        <v>896</v>
      </c>
      <c r="O455" s="13" t="s">
        <v>1816</v>
      </c>
      <c r="P455" t="s">
        <v>4582</v>
      </c>
      <c r="Q455" t="str">
        <f t="shared" si="26"/>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55" t="b" cm="1">
        <f t="array" ref="R455">SUMPRODUCT(--EXACT($J$2:$J$490,J455))&gt;1</f>
        <v>0</v>
      </c>
      <c r="S455" t="s">
        <v>5125</v>
      </c>
    </row>
    <row r="456" spans="1:19">
      <c r="A456" s="30">
        <v>3</v>
      </c>
      <c r="B456" s="30" t="s">
        <v>1393</v>
      </c>
      <c r="C456" s="30"/>
      <c r="D456" s="30" t="s">
        <v>1208</v>
      </c>
      <c r="E456" s="30" t="s">
        <v>984</v>
      </c>
      <c r="F456" s="30" t="s">
        <v>75</v>
      </c>
      <c r="G456" s="39" t="str">
        <f>VLOOKUP(F456,glossary!J:N,2,FALSE)</f>
        <v>Trigger 'event'</v>
      </c>
      <c r="H456" s="34" t="s">
        <v>75</v>
      </c>
      <c r="I456" s="45" t="str">
        <f t="shared" si="27"/>
        <v>trigger_event_tu</v>
      </c>
      <c r="J456" s="42" t="s">
        <v>457</v>
      </c>
      <c r="K456" s="39" t="str">
        <f>VLOOKUP(F456,glossary!J:N,5,FALSE)</f>
        <v>An activation of the camera detector(s) that initiates the capture of a single or multiple images, or the recording of video.</v>
      </c>
      <c r="L456" t="s">
        <v>1442</v>
      </c>
      <c r="M456" s="30" t="str">
        <f t="shared" si="25"/>
        <v>{{ trigger_event_tu }}</v>
      </c>
      <c r="N456" t="s">
        <v>896</v>
      </c>
      <c r="O456" s="13" t="s">
        <v>1816</v>
      </c>
      <c r="P456" t="s">
        <v>4582</v>
      </c>
      <c r="Q456" t="str">
        <f t="shared" si="26"/>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6" t="b" cm="1">
        <f t="array" ref="R456">SUMPRODUCT(--EXACT($J$2:$J$490,J456))&gt;1</f>
        <v>0</v>
      </c>
      <c r="S456" t="s">
        <v>5126</v>
      </c>
    </row>
    <row r="457" spans="1:19">
      <c r="A457" s="30">
        <v>3</v>
      </c>
      <c r="B457" s="30" t="s">
        <v>1393</v>
      </c>
      <c r="C457" s="30"/>
      <c r="D457" s="30" t="s">
        <v>1207</v>
      </c>
      <c r="E457" s="30" t="s">
        <v>984</v>
      </c>
      <c r="F457" s="30" t="s">
        <v>73</v>
      </c>
      <c r="G457" s="39" t="str">
        <f>VLOOKUP(F457,glossary!J:N,2,FALSE)</f>
        <v>Trigger speed</v>
      </c>
      <c r="H457" s="34" t="s">
        <v>73</v>
      </c>
      <c r="I457" s="45" t="str">
        <f t="shared" si="27"/>
        <v>trigger_speed_tl</v>
      </c>
      <c r="J457" s="43" t="s">
        <v>965</v>
      </c>
      <c r="K457" s="39" t="str">
        <f>VLOOKUP(F457,glossary!J:N,5,FALSE)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7" t="s">
        <v>1441</v>
      </c>
      <c r="M457" s="30" t="str">
        <f t="shared" si="25"/>
        <v>{{ trigger_speed_tl }}</v>
      </c>
      <c r="N457" t="s">
        <v>896</v>
      </c>
      <c r="O457" s="13" t="s">
        <v>1816</v>
      </c>
      <c r="P457" t="s">
        <v>4582</v>
      </c>
      <c r="Q457" t="str">
        <f t="shared" si="26"/>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7" t="b" cm="1">
        <f t="array" ref="R457">SUMPRODUCT(--EXACT($J$2:$J$490,J457))&gt;1</f>
        <v>0</v>
      </c>
      <c r="S457" t="s">
        <v>5127</v>
      </c>
    </row>
    <row r="458" spans="1:19">
      <c r="A458" s="30">
        <v>3</v>
      </c>
      <c r="B458" s="30" t="s">
        <v>1393</v>
      </c>
      <c r="C458" s="30"/>
      <c r="D458" s="30" t="s">
        <v>1208</v>
      </c>
      <c r="E458" s="30" t="s">
        <v>984</v>
      </c>
      <c r="F458" s="30" t="s">
        <v>73</v>
      </c>
      <c r="G458" s="39" t="str">
        <f>VLOOKUP(F458,glossary!J:N,2,FALSE)</f>
        <v>Trigger speed</v>
      </c>
      <c r="H458" s="34" t="s">
        <v>73</v>
      </c>
      <c r="I458" s="45" t="str">
        <f t="shared" si="27"/>
        <v>trigger_speed_tu</v>
      </c>
      <c r="J458" s="42" t="s">
        <v>74</v>
      </c>
      <c r="K458" s="39" t="str">
        <f>VLOOKUP(F458,glossary!J:N,5,FALSE)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8" t="s">
        <v>1440</v>
      </c>
      <c r="M458" s="30" t="str">
        <f t="shared" si="25"/>
        <v>{{ trigger_speed_tu }}</v>
      </c>
      <c r="N458" t="s">
        <v>896</v>
      </c>
      <c r="O458" s="13" t="s">
        <v>1816</v>
      </c>
      <c r="P458" t="s">
        <v>4582</v>
      </c>
      <c r="Q458" t="str">
        <f t="shared" si="26"/>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8" t="b" cm="1">
        <f t="array" ref="R458">SUMPRODUCT(--EXACT($J$2:$J$490,J458))&gt;1</f>
        <v>0</v>
      </c>
      <c r="S458" t="s">
        <v>5128</v>
      </c>
    </row>
    <row r="459" spans="1:19">
      <c r="A459" s="30">
        <v>1</v>
      </c>
      <c r="B459" s="30" t="s">
        <v>1064</v>
      </c>
      <c r="C459" s="35"/>
      <c r="D459" s="35" t="s">
        <v>1207</v>
      </c>
      <c r="E459" s="30" t="s">
        <v>1752</v>
      </c>
      <c r="F459" s="30" t="s">
        <v>159</v>
      </c>
      <c r="G459" s="39" t="str">
        <f>VLOOKUP(F459,glossary!J:N,2,FALSE)</f>
        <v>Marked individuals / populations / species</v>
      </c>
      <c r="H459" s="35" t="s">
        <v>159</v>
      </c>
      <c r="I459" s="45" t="str">
        <f t="shared" si="27"/>
        <v>typeid_marked_tl_abrv</v>
      </c>
      <c r="J459" s="39" t="s">
        <v>1434</v>
      </c>
      <c r="K459" s="39" t="str">
        <f>VLOOKUP(F459,glossary!J:N,5,FALSE)</f>
        <v>Individuals, populations, or species (varies with modelling approach and context) that can be identified using natural or artificial markings (e.g., coat patterns, scars, tags, collars).</v>
      </c>
      <c r="L459" s="35" t="s">
        <v>1435</v>
      </c>
      <c r="M459" s="30" t="str">
        <f t="shared" si="25"/>
        <v>{{ typeid_marked_tl_abrv }}</v>
      </c>
      <c r="N459" t="s">
        <v>896</v>
      </c>
      <c r="O459" s="13" t="s">
        <v>1816</v>
      </c>
      <c r="P459" t="s">
        <v>4582</v>
      </c>
      <c r="Q459" t="str">
        <f t="shared" si="26"/>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59" t="b" cm="1">
        <f t="array" ref="R459">SUMPRODUCT(--EXACT($J$2:$J$490,J459))&gt;1</f>
        <v>0</v>
      </c>
      <c r="S459" t="s">
        <v>5129</v>
      </c>
    </row>
    <row r="460" spans="1:19">
      <c r="A460" s="30">
        <v>3</v>
      </c>
      <c r="B460" s="30" t="s">
        <v>1393</v>
      </c>
      <c r="C460" s="30"/>
      <c r="D460" s="30" t="s">
        <v>1207</v>
      </c>
      <c r="E460" s="30" t="s">
        <v>1761</v>
      </c>
      <c r="F460" s="30" t="s">
        <v>159</v>
      </c>
      <c r="G460" s="39" t="str">
        <f>VLOOKUP(F460,glossary!J:N,2,FALSE)</f>
        <v>Marked individuals / populations / species</v>
      </c>
      <c r="H460" s="34" t="s">
        <v>159</v>
      </c>
      <c r="I460" s="45" t="str">
        <f t="shared" si="27"/>
        <v>typeid_marked_tl_full</v>
      </c>
      <c r="J460" s="43" t="s">
        <v>1438</v>
      </c>
      <c r="K460" s="39" t="str">
        <f>VLOOKUP(F460,glossary!J:N,5,FALSE)</f>
        <v>Individuals, populations, or species (varies with modelling approach and context) that can be identified using natural or artificial markings (e.g., coat patterns, scars, tags, collars).</v>
      </c>
      <c r="L460" t="s">
        <v>1439</v>
      </c>
      <c r="M460" s="30" t="str">
        <f t="shared" si="25"/>
        <v>{{ typeid_marked_tl_full }}</v>
      </c>
      <c r="N460" t="s">
        <v>896</v>
      </c>
      <c r="O460" s="13" t="s">
        <v>1816</v>
      </c>
      <c r="P460" t="s">
        <v>4582</v>
      </c>
      <c r="Q460" t="str">
        <f t="shared" si="26"/>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0" t="b" cm="1">
        <f t="array" ref="R460">SUMPRODUCT(--EXACT($J$2:$J$490,J460))&gt;1</f>
        <v>0</v>
      </c>
      <c r="S460" t="s">
        <v>5130</v>
      </c>
    </row>
    <row r="461" spans="1:19">
      <c r="A461" s="30">
        <v>1</v>
      </c>
      <c r="B461" s="30" t="s">
        <v>1064</v>
      </c>
      <c r="C461" s="35"/>
      <c r="D461" s="35" t="s">
        <v>1207</v>
      </c>
      <c r="E461" s="30" t="s">
        <v>1755</v>
      </c>
      <c r="F461" s="30" t="s">
        <v>159</v>
      </c>
      <c r="G461" s="39" t="str">
        <f>VLOOKUP(F461,glossary!J:N,2,FALSE)</f>
        <v>Marked individuals / populations / species</v>
      </c>
      <c r="H461" s="35" t="s">
        <v>159</v>
      </c>
      <c r="I461" s="45" t="str">
        <f t="shared" si="27"/>
        <v>typeid_marked_tl_mod</v>
      </c>
      <c r="J461" s="39" t="s">
        <v>1819</v>
      </c>
      <c r="K461" s="39" t="str">
        <f>VLOOKUP(F461,glossary!J:N,5,FALSE)</f>
        <v>Individuals, populations, or species (varies with modelling approach and context) that can be identified using natural or artificial markings (e.g., coat patterns, scars, tags, collars).</v>
      </c>
      <c r="L461" s="30" t="s">
        <v>984</v>
      </c>
      <c r="M461" s="30" t="str">
        <f t="shared" si="25"/>
        <v>{{ typeid_marked_tl_mod }}</v>
      </c>
      <c r="N461" t="s">
        <v>896</v>
      </c>
      <c r="O461" s="13" t="s">
        <v>1816</v>
      </c>
      <c r="P461" t="s">
        <v>4582</v>
      </c>
      <c r="Q461" t="str">
        <f t="shared" si="26"/>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1" t="b" cm="1">
        <f t="array" ref="R461">SUMPRODUCT(--EXACT($J$2:$J$490,J461))&gt;1</f>
        <v>0</v>
      </c>
      <c r="S461" t="s">
        <v>5131</v>
      </c>
    </row>
    <row r="462" spans="1:19">
      <c r="A462" s="30">
        <v>1</v>
      </c>
      <c r="B462" s="30" t="s">
        <v>1064</v>
      </c>
      <c r="C462" s="35"/>
      <c r="D462" s="35" t="s">
        <v>1208</v>
      </c>
      <c r="E462" s="30" t="s">
        <v>1752</v>
      </c>
      <c r="F462" s="30" t="s">
        <v>159</v>
      </c>
      <c r="G462" s="39" t="str">
        <f>VLOOKUP(F462,glossary!J:N,2,FALSE)</f>
        <v>Marked individuals / populations / species</v>
      </c>
      <c r="H462" s="35" t="s">
        <v>159</v>
      </c>
      <c r="I462" s="45" t="str">
        <f t="shared" si="27"/>
        <v>typeid_marked_tu_abrv</v>
      </c>
      <c r="J462" s="39" t="s">
        <v>1432</v>
      </c>
      <c r="K462" s="39" t="str">
        <f>VLOOKUP(F462,glossary!J:N,5,FALSE)</f>
        <v>Individuals, populations, or species (varies with modelling approach and context) that can be identified using natural or artificial markings (e.g., coat patterns, scars, tags, collars).</v>
      </c>
      <c r="L462" s="35" t="s">
        <v>1433</v>
      </c>
      <c r="M462" s="30" t="str">
        <f t="shared" si="25"/>
        <v>{{ typeid_marked_tu_abrv }}</v>
      </c>
      <c r="N462" t="s">
        <v>896</v>
      </c>
      <c r="O462" s="13" t="s">
        <v>1816</v>
      </c>
      <c r="P462" t="s">
        <v>4582</v>
      </c>
      <c r="Q462" t="str">
        <f t="shared" si="26"/>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62" t="b" cm="1">
        <f t="array" ref="R462">SUMPRODUCT(--EXACT($J$2:$J$490,J462))&gt;1</f>
        <v>0</v>
      </c>
      <c r="S462" t="s">
        <v>5132</v>
      </c>
    </row>
    <row r="463" spans="1:19">
      <c r="A463" s="30">
        <v>3</v>
      </c>
      <c r="B463" s="30" t="s">
        <v>1393</v>
      </c>
      <c r="C463" s="30"/>
      <c r="D463" s="30" t="s">
        <v>1208</v>
      </c>
      <c r="E463" s="30" t="s">
        <v>1761</v>
      </c>
      <c r="F463" s="30" t="s">
        <v>159</v>
      </c>
      <c r="G463" s="39" t="str">
        <f>VLOOKUP(F463,glossary!J:N,2,FALSE)</f>
        <v>Marked individuals / populations / species</v>
      </c>
      <c r="H463" s="34" t="s">
        <v>159</v>
      </c>
      <c r="I463" s="45" t="str">
        <f t="shared" si="27"/>
        <v>typeid_marked_tu_full</v>
      </c>
      <c r="J463" s="42" t="s">
        <v>1436</v>
      </c>
      <c r="K463" s="39" t="str">
        <f>VLOOKUP(F463,glossary!J:N,5,FALSE)</f>
        <v>Individuals, populations, or species (varies with modelling approach and context) that can be identified using natural or artificial markings (e.g., coat patterns, scars, tags, collars).</v>
      </c>
      <c r="L463" t="s">
        <v>1437</v>
      </c>
      <c r="M463" s="30" t="str">
        <f t="shared" si="25"/>
        <v>{{ typeid_marked_tu_full }}</v>
      </c>
      <c r="N463" t="s">
        <v>896</v>
      </c>
      <c r="O463" s="13" t="s">
        <v>1816</v>
      </c>
      <c r="P463" t="s">
        <v>4582</v>
      </c>
      <c r="Q463" t="str">
        <f t="shared" si="26"/>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3" t="b" cm="1">
        <f t="array" ref="R463">SUMPRODUCT(--EXACT($J$2:$J$490,J463))&gt;1</f>
        <v>0</v>
      </c>
      <c r="S463" t="s">
        <v>5133</v>
      </c>
    </row>
    <row r="464" spans="1:19">
      <c r="A464" s="30">
        <v>1</v>
      </c>
      <c r="B464" s="30" t="s">
        <v>1064</v>
      </c>
      <c r="C464" s="35"/>
      <c r="D464" s="35" t="s">
        <v>1208</v>
      </c>
      <c r="E464" s="30" t="s">
        <v>1755</v>
      </c>
      <c r="F464" s="30" t="s">
        <v>159</v>
      </c>
      <c r="G464" s="39" t="str">
        <f>VLOOKUP(F464,glossary!J:N,2,FALSE)</f>
        <v>Marked individuals / populations / species</v>
      </c>
      <c r="H464" s="35" t="s">
        <v>159</v>
      </c>
      <c r="I464" s="45" t="str">
        <f t="shared" si="27"/>
        <v>typeid_marked_tu_mod</v>
      </c>
      <c r="J464" s="39" t="s">
        <v>1820</v>
      </c>
      <c r="K464" s="39" t="str">
        <f>VLOOKUP(F464,glossary!J:N,5,FALSE)</f>
        <v>Individuals, populations, or species (varies with modelling approach and context) that can be identified using natural or artificial markings (e.g., coat patterns, scars, tags, collars).</v>
      </c>
      <c r="L464" s="30" t="s">
        <v>984</v>
      </c>
      <c r="M464" s="30" t="str">
        <f t="shared" si="25"/>
        <v>{{ typeid_marked_tu_mod }}</v>
      </c>
      <c r="N464" t="s">
        <v>896</v>
      </c>
      <c r="O464" s="13" t="s">
        <v>1816</v>
      </c>
      <c r="P464" t="s">
        <v>4582</v>
      </c>
      <c r="Q464" t="str">
        <f t="shared" si="26"/>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4" t="b" cm="1">
        <f t="array" ref="R464">SUMPRODUCT(--EXACT($J$2:$J$490,J464))&gt;1</f>
        <v>0</v>
      </c>
      <c r="S464" t="s">
        <v>5134</v>
      </c>
    </row>
    <row r="465" spans="1:19">
      <c r="A465" s="30">
        <v>1</v>
      </c>
      <c r="B465" s="30" t="s">
        <v>1064</v>
      </c>
      <c r="C465" s="35"/>
      <c r="D465" s="35" t="s">
        <v>1207</v>
      </c>
      <c r="E465" s="30" t="s">
        <v>1752</v>
      </c>
      <c r="F465" s="30" t="s">
        <v>143</v>
      </c>
      <c r="G465" s="39" t="str">
        <f>VLOOKUP(F465,glossary!J:N,2,FALSE)</f>
        <v>Partially marked individuals / populations / species</v>
      </c>
      <c r="H465" s="35" t="s">
        <v>143</v>
      </c>
      <c r="I465" s="45" t="str">
        <f t="shared" si="27"/>
        <v>typeid_partially_marked_tl_abrv</v>
      </c>
      <c r="J465" s="39" t="s">
        <v>1426</v>
      </c>
      <c r="K465" s="39" t="str">
        <f>VLOOKUP(F465,glossary!J:N,5,FALSE)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5" s="35" t="s">
        <v>1427</v>
      </c>
      <c r="M465" s="30" t="str">
        <f t="shared" si="25"/>
        <v>{{ typeid_partially_marked_tl_abrv }}</v>
      </c>
      <c r="N465" t="s">
        <v>896</v>
      </c>
      <c r="O465" s="13" t="s">
        <v>1816</v>
      </c>
      <c r="P465" t="s">
        <v>4582</v>
      </c>
      <c r="Q465" t="str">
        <f t="shared" si="26"/>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5" t="b" cm="1">
        <f t="array" ref="R465">SUMPRODUCT(--EXACT($J$2:$J$490,J465))&gt;1</f>
        <v>0</v>
      </c>
      <c r="S465" t="s">
        <v>5135</v>
      </c>
    </row>
    <row r="466" spans="1:19">
      <c r="A466" s="30">
        <v>3</v>
      </c>
      <c r="B466" s="30" t="s">
        <v>1393</v>
      </c>
      <c r="C466" s="30"/>
      <c r="D466" s="30" t="s">
        <v>1207</v>
      </c>
      <c r="E466" s="30" t="s">
        <v>1761</v>
      </c>
      <c r="F466" s="30" t="s">
        <v>143</v>
      </c>
      <c r="G466" s="39" t="str">
        <f>VLOOKUP(F466,glossary!J:N,2,FALSE)</f>
        <v>Partially marked individuals / populations / species</v>
      </c>
      <c r="H466" s="34" t="s">
        <v>143</v>
      </c>
      <c r="I466" s="45" t="str">
        <f t="shared" si="27"/>
        <v>typeid_partially_marked_tl_full</v>
      </c>
      <c r="J466" s="43" t="s">
        <v>1430</v>
      </c>
      <c r="K466" s="39" t="str">
        <f>VLOOKUP(F466,glossary!J:N,5,FALSE)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6" t="s">
        <v>1431</v>
      </c>
      <c r="M466" s="30" t="str">
        <f t="shared" si="25"/>
        <v>{{ typeid_partially_marked_tl_full }}</v>
      </c>
      <c r="N466" t="s">
        <v>896</v>
      </c>
      <c r="O466" s="13" t="s">
        <v>1816</v>
      </c>
      <c r="P466" t="s">
        <v>4582</v>
      </c>
      <c r="Q466" t="str">
        <f t="shared" si="26"/>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6" t="b" cm="1">
        <f t="array" ref="R466">SUMPRODUCT(--EXACT($J$2:$J$490,J466))&gt;1</f>
        <v>0</v>
      </c>
      <c r="S466" t="s">
        <v>5136</v>
      </c>
    </row>
    <row r="467" spans="1:19">
      <c r="A467" s="30">
        <v>1</v>
      </c>
      <c r="B467" s="30" t="s">
        <v>1064</v>
      </c>
      <c r="C467" s="35"/>
      <c r="D467" s="35" t="s">
        <v>1208</v>
      </c>
      <c r="E467" s="30" t="s">
        <v>1752</v>
      </c>
      <c r="F467" s="30" t="s">
        <v>143</v>
      </c>
      <c r="G467" s="39" t="str">
        <f>VLOOKUP(F467,glossary!J:N,2,FALSE)</f>
        <v>Partially marked individuals / populations / species</v>
      </c>
      <c r="H467" s="35" t="s">
        <v>143</v>
      </c>
      <c r="I467" s="45" t="str">
        <f t="shared" si="27"/>
        <v>typeid_partially_marked_tu_abrv</v>
      </c>
      <c r="J467" s="39" t="s">
        <v>1424</v>
      </c>
      <c r="K467" s="39" t="str">
        <f>VLOOKUP(F467,glossary!J:N,5,FALSE)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7" s="35" t="s">
        <v>1425</v>
      </c>
      <c r="M467" s="30" t="str">
        <f t="shared" si="25"/>
        <v>{{ typeid_partially_marked_tu_abrv }}</v>
      </c>
      <c r="N467" t="s">
        <v>896</v>
      </c>
      <c r="O467" s="13" t="s">
        <v>1816</v>
      </c>
      <c r="P467" t="s">
        <v>4582</v>
      </c>
      <c r="Q467" t="str">
        <f t="shared" si="26"/>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7" t="b" cm="1">
        <f t="array" ref="R467">SUMPRODUCT(--EXACT($J$2:$J$490,J467))&gt;1</f>
        <v>0</v>
      </c>
      <c r="S467" t="s">
        <v>5137</v>
      </c>
    </row>
    <row r="468" spans="1:19">
      <c r="A468" s="30">
        <v>3</v>
      </c>
      <c r="B468" s="30" t="s">
        <v>1393</v>
      </c>
      <c r="C468" s="30"/>
      <c r="D468" s="30" t="s">
        <v>1208</v>
      </c>
      <c r="E468" s="30" t="s">
        <v>1761</v>
      </c>
      <c r="F468" s="30" t="s">
        <v>143</v>
      </c>
      <c r="G468" s="39" t="str">
        <f>VLOOKUP(F468,glossary!J:N,2,FALSE)</f>
        <v>Partially marked individuals / populations / species</v>
      </c>
      <c r="H468" s="34" t="s">
        <v>143</v>
      </c>
      <c r="I468" s="45" t="str">
        <f t="shared" si="27"/>
        <v>typeid_partially_marked_tu_full</v>
      </c>
      <c r="J468" s="42" t="s">
        <v>1428</v>
      </c>
      <c r="K468" s="39" t="str">
        <f>VLOOKUP(F468,glossary!J:N,5,FALSE)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8" t="s">
        <v>1429</v>
      </c>
      <c r="M468" s="30" t="str">
        <f t="shared" si="25"/>
        <v>{{ typeid_partially_marked_tu_full }}</v>
      </c>
      <c r="N468" t="s">
        <v>896</v>
      </c>
      <c r="O468" s="13" t="s">
        <v>1816</v>
      </c>
      <c r="P468" t="s">
        <v>4582</v>
      </c>
      <c r="Q468" t="str">
        <f t="shared" si="26"/>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8" t="b" cm="1">
        <f t="array" ref="R468">SUMPRODUCT(--EXACT($J$2:$J$490,J468))&gt;1</f>
        <v>0</v>
      </c>
      <c r="S468" t="s">
        <v>5138</v>
      </c>
    </row>
    <row r="469" spans="1:19">
      <c r="A469" s="30">
        <v>1</v>
      </c>
      <c r="B469" s="30" t="s">
        <v>1064</v>
      </c>
      <c r="C469" s="35"/>
      <c r="D469" s="35" t="s">
        <v>1207</v>
      </c>
      <c r="E469" s="30" t="s">
        <v>1752</v>
      </c>
      <c r="F469" s="30" t="s">
        <v>71</v>
      </c>
      <c r="G469" s="39" t="str">
        <f>VLOOKUP(F469,glossary!J:N,2,FALSE)</f>
        <v>Unmarked individuals / populations / species</v>
      </c>
      <c r="H469" s="35" t="s">
        <v>71</v>
      </c>
      <c r="I469" s="45" t="str">
        <f t="shared" si="27"/>
        <v>typeid_unmarked_tl_abrv</v>
      </c>
      <c r="J469" s="39" t="s">
        <v>1418</v>
      </c>
      <c r="K469" s="39" t="str">
        <f>VLOOKUP(F469,glossary!J:N,5,FALSE)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69" s="35" t="s">
        <v>1419</v>
      </c>
      <c r="M469" s="30" t="str">
        <f t="shared" si="25"/>
        <v>{{ typeid_unmarked_tl_abrv }}</v>
      </c>
      <c r="N469" t="s">
        <v>896</v>
      </c>
      <c r="O469" s="13" t="s">
        <v>1816</v>
      </c>
      <c r="P469" t="s">
        <v>4582</v>
      </c>
      <c r="Q469" t="str">
        <f t="shared" si="26"/>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69" t="b" cm="1">
        <f t="array" ref="R469">SUMPRODUCT(--EXACT($J$2:$J$490,J469))&gt;1</f>
        <v>0</v>
      </c>
      <c r="S469" t="s">
        <v>5139</v>
      </c>
    </row>
    <row r="470" spans="1:19">
      <c r="A470" s="30">
        <v>3</v>
      </c>
      <c r="B470" s="30" t="s">
        <v>1393</v>
      </c>
      <c r="C470" s="30"/>
      <c r="D470" s="30" t="s">
        <v>1207</v>
      </c>
      <c r="E470" s="30" t="s">
        <v>1761</v>
      </c>
      <c r="F470" s="30" t="s">
        <v>71</v>
      </c>
      <c r="G470" s="39" t="str">
        <f>VLOOKUP(F470,glossary!J:N,2,FALSE)</f>
        <v>Unmarked individuals / populations / species</v>
      </c>
      <c r="H470" s="34" t="s">
        <v>71</v>
      </c>
      <c r="I470" s="45" t="str">
        <f t="shared" si="27"/>
        <v>typeid_unmarked_tl_full</v>
      </c>
      <c r="J470" s="43" t="s">
        <v>1422</v>
      </c>
      <c r="K470" s="39" t="str">
        <f>VLOOKUP(F470,glossary!J:N,5,FALSE)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0" t="s">
        <v>1423</v>
      </c>
      <c r="M470" s="30" t="str">
        <f t="shared" si="25"/>
        <v>{{ typeid_unmarked_tl_full }}</v>
      </c>
      <c r="N470" t="s">
        <v>896</v>
      </c>
      <c r="O470" s="13" t="s">
        <v>1816</v>
      </c>
      <c r="P470" t="s">
        <v>4582</v>
      </c>
      <c r="Q470" t="str">
        <f t="shared" si="26"/>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0" t="b" cm="1">
        <f t="array" ref="R470">SUMPRODUCT(--EXACT($J$2:$J$490,J470))&gt;1</f>
        <v>0</v>
      </c>
      <c r="S470" t="s">
        <v>5140</v>
      </c>
    </row>
    <row r="471" spans="1:19">
      <c r="A471" s="30">
        <v>1</v>
      </c>
      <c r="B471" s="30" t="s">
        <v>1064</v>
      </c>
      <c r="C471" s="35"/>
      <c r="D471" s="35" t="s">
        <v>1208</v>
      </c>
      <c r="E471" s="30" t="s">
        <v>1752</v>
      </c>
      <c r="F471" s="30" t="s">
        <v>71</v>
      </c>
      <c r="G471" s="39" t="str">
        <f>VLOOKUP(F471,glossary!J:N,2,FALSE)</f>
        <v>Unmarked individuals / populations / species</v>
      </c>
      <c r="H471" s="35" t="s">
        <v>71</v>
      </c>
      <c r="I471" s="45" t="str">
        <f t="shared" si="27"/>
        <v>typeid_unmarked_tu_abrv</v>
      </c>
      <c r="J471" s="39" t="s">
        <v>1416</v>
      </c>
      <c r="K471" s="39" t="str">
        <f>VLOOKUP(F471,glossary!J:N,5,FALSE)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1" s="35" t="s">
        <v>1417</v>
      </c>
      <c r="M471" s="30" t="str">
        <f t="shared" si="25"/>
        <v>{{ typeid_unmarked_tu_abrv }}</v>
      </c>
      <c r="N471" t="s">
        <v>896</v>
      </c>
      <c r="O471" s="13" t="s">
        <v>1816</v>
      </c>
      <c r="P471" t="s">
        <v>4582</v>
      </c>
      <c r="Q471" t="str">
        <f t="shared" si="26"/>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71" t="b" cm="1">
        <f t="array" ref="R471">SUMPRODUCT(--EXACT($J$2:$J$490,J471))&gt;1</f>
        <v>0</v>
      </c>
      <c r="S471" t="s">
        <v>5141</v>
      </c>
    </row>
    <row r="472" spans="1:19">
      <c r="A472" s="30">
        <v>3</v>
      </c>
      <c r="B472" s="30" t="s">
        <v>1393</v>
      </c>
      <c r="C472" s="30"/>
      <c r="D472" s="30" t="s">
        <v>1208</v>
      </c>
      <c r="E472" s="30" t="s">
        <v>1761</v>
      </c>
      <c r="F472" s="30" t="s">
        <v>71</v>
      </c>
      <c r="G472" s="39" t="str">
        <f>VLOOKUP(F472,glossary!J:N,2,FALSE)</f>
        <v>Unmarked individuals / populations / species</v>
      </c>
      <c r="H472" s="34" t="s">
        <v>71</v>
      </c>
      <c r="I472" s="45" t="str">
        <f t="shared" si="27"/>
        <v>typeid_unmarked_tu_full</v>
      </c>
      <c r="J472" s="42" t="s">
        <v>1420</v>
      </c>
      <c r="K472" s="39" t="str">
        <f>VLOOKUP(F472,glossary!J:N,5,FALSE)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2" t="s">
        <v>1421</v>
      </c>
      <c r="M472" s="30" t="str">
        <f t="shared" si="25"/>
        <v>{{ typeid_unmarked_tu_full }}</v>
      </c>
      <c r="N472" t="s">
        <v>896</v>
      </c>
      <c r="O472" s="13" t="s">
        <v>1816</v>
      </c>
      <c r="P472" t="s">
        <v>4582</v>
      </c>
      <c r="Q472" t="str">
        <f t="shared" si="26"/>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2" t="b" cm="1">
        <f t="array" ref="R472">SUMPRODUCT(--EXACT($J$2:$J$490,J472))&gt;1</f>
        <v>0</v>
      </c>
      <c r="S472" t="s">
        <v>5142</v>
      </c>
    </row>
    <row r="473" spans="1:19">
      <c r="A473" s="30">
        <v>3</v>
      </c>
      <c r="B473" s="30" t="s">
        <v>1393</v>
      </c>
      <c r="C473" s="30"/>
      <c r="D473" s="30" t="s">
        <v>1207</v>
      </c>
      <c r="E473" s="30" t="s">
        <v>984</v>
      </c>
      <c r="F473" s="30" t="s">
        <v>562</v>
      </c>
      <c r="G473" s="39" t="str">
        <f>VLOOKUP(F473,glossary!J:N,2,FALSE)</f>
        <v>Intensity of use</v>
      </c>
      <c r="H473" s="34" t="s">
        <v>562</v>
      </c>
      <c r="I473" s="45" t="str">
        <f t="shared" si="27"/>
        <v>use_intensity_tl</v>
      </c>
      <c r="J473" s="43" t="s">
        <v>930</v>
      </c>
      <c r="K473" s="39" t="str">
        <f>VLOOKUP(F473,glossary!J:N,5,FALSE)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3" t="s">
        <v>1415</v>
      </c>
      <c r="M473" s="30" t="str">
        <f t="shared" si="25"/>
        <v>{{ use_intensity_tl }}</v>
      </c>
      <c r="N473" t="s">
        <v>896</v>
      </c>
      <c r="O473" s="13" t="s">
        <v>1816</v>
      </c>
      <c r="P473" t="s">
        <v>4582</v>
      </c>
      <c r="Q473" t="str">
        <f t="shared" si="26"/>
        <v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3" t="b" cm="1">
        <f t="array" ref="R473">SUMPRODUCT(--EXACT($J$2:$J$490,J473))&gt;1</f>
        <v>0</v>
      </c>
      <c r="S473" t="s">
        <v>5143</v>
      </c>
    </row>
    <row r="474" spans="1:19">
      <c r="A474" s="30">
        <v>3</v>
      </c>
      <c r="B474" s="30" t="s">
        <v>1393</v>
      </c>
      <c r="C474" s="30"/>
      <c r="D474" s="30" t="s">
        <v>1207</v>
      </c>
      <c r="E474" s="30" t="s">
        <v>823</v>
      </c>
      <c r="F474" s="30" t="s">
        <v>562</v>
      </c>
      <c r="G474" s="39" t="str">
        <f>VLOOKUP(F474,glossary!J:N,2,FALSE)</f>
        <v>Intensity of use</v>
      </c>
      <c r="H474" s="34" t="s">
        <v>562</v>
      </c>
      <c r="I474" s="45" t="str">
        <f t="shared" si="27"/>
        <v>use_intensity_tl_ref</v>
      </c>
      <c r="J474" s="43" t="s">
        <v>931</v>
      </c>
      <c r="K474" s="39" t="str">
        <f>VLOOKUP(F474,glossary!J:N,5,FALSE)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4" t="s">
        <v>1413</v>
      </c>
      <c r="M474" s="30" t="str">
        <f t="shared" si="25"/>
        <v>{{ use_intensity_tl_ref }}</v>
      </c>
      <c r="N474" t="s">
        <v>896</v>
      </c>
      <c r="O474" s="13" t="s">
        <v>1816</v>
      </c>
      <c r="P474" t="s">
        <v>4582</v>
      </c>
      <c r="Q474" t="str">
        <f t="shared" si="26"/>
        <v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4" t="b" cm="1">
        <f t="array" ref="R474">SUMPRODUCT(--EXACT($J$2:$J$490,J474))&gt;1</f>
        <v>0</v>
      </c>
      <c r="S474" t="s">
        <v>5144</v>
      </c>
    </row>
    <row r="475" spans="1:19">
      <c r="A475" s="30">
        <v>3</v>
      </c>
      <c r="B475" s="30" t="s">
        <v>1393</v>
      </c>
      <c r="C475" s="30"/>
      <c r="D475" s="30" t="s">
        <v>1208</v>
      </c>
      <c r="E475" s="30" t="s">
        <v>984</v>
      </c>
      <c r="F475" s="30" t="s">
        <v>562</v>
      </c>
      <c r="G475" s="39" t="str">
        <f>VLOOKUP(F475,glossary!J:N,2,FALSE)</f>
        <v>Intensity of use</v>
      </c>
      <c r="H475" s="34" t="s">
        <v>562</v>
      </c>
      <c r="I475" s="45" t="str">
        <f t="shared" si="27"/>
        <v>use_intensity_tu</v>
      </c>
      <c r="J475" s="42" t="s">
        <v>561</v>
      </c>
      <c r="K475" s="39" t="str">
        <f>VLOOKUP(F475,glossary!J:N,5,FALSE)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5" t="s">
        <v>1414</v>
      </c>
      <c r="M475" s="30" t="str">
        <f t="shared" si="25"/>
        <v>{{ use_intensity_tu }}</v>
      </c>
      <c r="N475" t="s">
        <v>896</v>
      </c>
      <c r="O475" s="13" t="s">
        <v>1816</v>
      </c>
      <c r="P475" t="s">
        <v>4582</v>
      </c>
      <c r="Q475" t="str">
        <f t="shared" si="26"/>
        <v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5" t="b" cm="1">
        <f t="array" ref="R475">SUMPRODUCT(--EXACT($J$2:$J$490,J475))&gt;1</f>
        <v>0</v>
      </c>
      <c r="S475" t="s">
        <v>5145</v>
      </c>
    </row>
    <row r="476" spans="1:19">
      <c r="A476" s="30">
        <v>1</v>
      </c>
      <c r="B476" s="30" t="s">
        <v>1064</v>
      </c>
      <c r="C476" s="30"/>
      <c r="D476" s="30" t="s">
        <v>1208</v>
      </c>
      <c r="E476" s="30" t="s">
        <v>823</v>
      </c>
      <c r="F476" s="30" t="s">
        <v>562</v>
      </c>
      <c r="G476" s="39" t="str">
        <f>VLOOKUP(F476,glossary!J:N,2,FALSE)</f>
        <v>Intensity of use</v>
      </c>
      <c r="H476" s="34" t="s">
        <v>562</v>
      </c>
      <c r="I476" s="45" t="str">
        <f t="shared" si="27"/>
        <v>use_intensity_tu_ref</v>
      </c>
      <c r="J476" s="42" t="s">
        <v>166</v>
      </c>
      <c r="K476" s="39" t="str">
        <f>VLOOKUP(F476,glossary!J:N,5,FALSE)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6" t="s">
        <v>1412</v>
      </c>
      <c r="M476" s="30" t="str">
        <f t="shared" ref="M476:M495" si="28">"{{ "&amp;I476&amp;" }}"</f>
        <v>{{ use_intensity_tu_ref }}</v>
      </c>
      <c r="N476" t="s">
        <v>896</v>
      </c>
      <c r="O476" s="13" t="s">
        <v>1816</v>
      </c>
      <c r="P476" t="s">
        <v>4582</v>
      </c>
      <c r="Q476" t="str">
        <f t="shared" ref="Q476:Q507" si="29">IF(K476&lt;&gt;"-",("    "&amp;I476&amp;": "&amp;""""&amp;"&lt;a href=\"&amp;""""&amp;"09_glossary.html#"&amp;H476&amp;N476&amp;G476&amp;": "&amp;K476&amp;O476&amp;J476&amp;P476&amp;""""),"-")</f>
        <v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6" t="b" cm="1">
        <f t="array" ref="R476">SUMPRODUCT(--EXACT($J$2:$J$490,J476))&gt;1</f>
        <v>0</v>
      </c>
      <c r="S476" t="s">
        <v>5146</v>
      </c>
    </row>
    <row r="477" spans="1:19">
      <c r="A477" s="30">
        <v>3</v>
      </c>
      <c r="B477" s="30" t="s">
        <v>1393</v>
      </c>
      <c r="C477" s="30"/>
      <c r="D477" s="30" t="s">
        <v>1207</v>
      </c>
      <c r="E477" s="30" t="s">
        <v>984</v>
      </c>
      <c r="F477" s="30" t="s">
        <v>563</v>
      </c>
      <c r="G477" s="39" t="str">
        <f>VLOOKUP(F477,glossary!J:N,2,FALSE)</f>
        <v>Probability of use</v>
      </c>
      <c r="H477" s="34" t="s">
        <v>563</v>
      </c>
      <c r="I477" s="45" t="str">
        <f t="shared" si="27"/>
        <v>use_probability_tl</v>
      </c>
      <c r="J477" s="43" t="s">
        <v>942</v>
      </c>
      <c r="K477" s="39" t="str">
        <f>VLOOKUP(F477,glossary!J:N,5,FALSE)</f>
        <v>The probability of at least one, use event of that resource unit during a unit of time' (i.e.,  would a particular resource unit be used at least once) (Keim et al., 2019).</v>
      </c>
      <c r="L477" t="s">
        <v>1411</v>
      </c>
      <c r="M477" s="30" t="str">
        <f t="shared" si="28"/>
        <v>{{ use_probability_tl }}</v>
      </c>
      <c r="N477" t="s">
        <v>896</v>
      </c>
      <c r="O477" s="13" t="s">
        <v>1816</v>
      </c>
      <c r="P477" t="s">
        <v>4582</v>
      </c>
      <c r="Q477" t="str">
        <f t="shared" si="29"/>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7" t="b" cm="1">
        <f t="array" ref="R477">SUMPRODUCT(--EXACT($J$2:$J$490,J477))&gt;1</f>
        <v>0</v>
      </c>
      <c r="S477" t="s">
        <v>5147</v>
      </c>
    </row>
    <row r="478" spans="1:19">
      <c r="A478" s="30">
        <v>3</v>
      </c>
      <c r="B478" s="30" t="s">
        <v>1393</v>
      </c>
      <c r="C478" s="30"/>
      <c r="D478" s="30" t="s">
        <v>1208</v>
      </c>
      <c r="E478" s="30" t="s">
        <v>984</v>
      </c>
      <c r="F478" s="30" t="s">
        <v>563</v>
      </c>
      <c r="G478" s="39" t="str">
        <f>VLOOKUP(F478,glossary!J:N,2,FALSE)</f>
        <v>Probability of use</v>
      </c>
      <c r="H478" s="34" t="s">
        <v>563</v>
      </c>
      <c r="I478" s="45" t="str">
        <f t="shared" si="27"/>
        <v>use_probability_tu</v>
      </c>
      <c r="J478" s="42" t="s">
        <v>560</v>
      </c>
      <c r="K478" s="39" t="str">
        <f>VLOOKUP(F478,glossary!J:N,5,FALSE)</f>
        <v>The probability of at least one, use event of that resource unit during a unit of time' (i.e.,  would a particular resource unit be used at least once) (Keim et al., 2019).</v>
      </c>
      <c r="L478" t="s">
        <v>1410</v>
      </c>
      <c r="M478" s="30" t="str">
        <f t="shared" si="28"/>
        <v>{{ use_probability_tu }}</v>
      </c>
      <c r="N478" t="s">
        <v>896</v>
      </c>
      <c r="O478" s="13" t="s">
        <v>1816</v>
      </c>
      <c r="P478" t="s">
        <v>4582</v>
      </c>
      <c r="Q478" t="str">
        <f t="shared" si="29"/>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8" t="b" cm="1">
        <f t="array" ref="R478">SUMPRODUCT(--EXACT($J$2:$J$490,J478))&gt;1</f>
        <v>0</v>
      </c>
      <c r="S478" t="s">
        <v>5148</v>
      </c>
    </row>
    <row r="479" spans="1:19">
      <c r="A479" s="30">
        <v>3</v>
      </c>
      <c r="B479" s="30" t="s">
        <v>1393</v>
      </c>
      <c r="C479" s="30"/>
      <c r="D479" s="30" t="s">
        <v>1208</v>
      </c>
      <c r="E479" s="30" t="s">
        <v>984</v>
      </c>
      <c r="F479" s="30" t="s">
        <v>1225</v>
      </c>
      <c r="G479" s="39" t="str">
        <f>VLOOKUP(F479,glossary!J:N,2,FALSE)</f>
        <v>UTM Zone Camera Location</v>
      </c>
      <c r="H479" s="34" t="s">
        <v>1225</v>
      </c>
      <c r="I479" s="45" t="str">
        <f t="shared" si="27"/>
        <v>utm_zone_cam_location_tu</v>
      </c>
      <c r="J479" s="42" t="s">
        <v>732</v>
      </c>
      <c r="K479" s="39" t="str">
        <f>VLOOKUP(F479,glossary!J:N,5,FALSE)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79" t="s">
        <v>1409</v>
      </c>
      <c r="M479" s="30" t="str">
        <f t="shared" si="28"/>
        <v>{{ utm_zone_cam_location_tu }}</v>
      </c>
      <c r="N479" t="s">
        <v>896</v>
      </c>
      <c r="O479" s="13" t="s">
        <v>1816</v>
      </c>
      <c r="P479" t="s">
        <v>4582</v>
      </c>
      <c r="Q479" t="str">
        <f t="shared" si="29"/>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79" t="b" cm="1">
        <f t="array" ref="R479">SUMPRODUCT(--EXACT($J$2:$J$490,J479))&gt;1</f>
        <v>0</v>
      </c>
      <c r="S479" t="s">
        <v>5149</v>
      </c>
    </row>
    <row r="480" spans="1:19">
      <c r="B480" s="30" t="s">
        <v>768</v>
      </c>
      <c r="D480" s="30" t="s">
        <v>1207</v>
      </c>
      <c r="E480" s="30" t="s">
        <v>984</v>
      </c>
      <c r="F480" s="30" t="s">
        <v>790</v>
      </c>
      <c r="G480" s="39" t="str">
        <f>VLOOKUP(F480,glossary!J:N,2,FALSE)</f>
        <v>Variance</v>
      </c>
      <c r="H480" s="30" t="s">
        <v>790</v>
      </c>
      <c r="I480" s="45" t="str">
        <f t="shared" si="27"/>
        <v>variance_tl</v>
      </c>
      <c r="J480" s="30" t="s">
        <v>790</v>
      </c>
      <c r="K480" s="39" t="str">
        <f>VLOOKUP(F480,glossary!J:N,5,FALSE)</f>
        <v>The spread of numbers in a dataset compared to the mean of the dataset' (Clarke et al., 2023).</v>
      </c>
      <c r="L480" s="30" t="s">
        <v>984</v>
      </c>
      <c r="M480" s="30" t="str">
        <f t="shared" si="28"/>
        <v>{{ variance_tl }}</v>
      </c>
      <c r="N480" t="s">
        <v>896</v>
      </c>
      <c r="O480" s="13" t="s">
        <v>1816</v>
      </c>
      <c r="P480" t="s">
        <v>4582</v>
      </c>
      <c r="Q480" t="str">
        <f t="shared" si="29"/>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0" t="b" cm="1">
        <f t="array" ref="R480">SUMPRODUCT(--EXACT($J$2:$J$490,J480))&gt;1</f>
        <v>0</v>
      </c>
      <c r="S480" t="s">
        <v>5150</v>
      </c>
    </row>
    <row r="481" spans="1:19">
      <c r="B481" s="30" t="s">
        <v>768</v>
      </c>
      <c r="D481" s="30" t="s">
        <v>1208</v>
      </c>
      <c r="E481" s="30" t="s">
        <v>984</v>
      </c>
      <c r="F481" s="30" t="s">
        <v>790</v>
      </c>
      <c r="G481" s="39" t="str">
        <f>VLOOKUP(F481,glossary!J:N,2,FALSE)</f>
        <v>Variance</v>
      </c>
      <c r="H481" s="30" t="s">
        <v>790</v>
      </c>
      <c r="I481" s="45" t="str">
        <f t="shared" si="27"/>
        <v>variance_tu</v>
      </c>
      <c r="J481" s="30" t="s">
        <v>664</v>
      </c>
      <c r="K481" s="39" t="str">
        <f>VLOOKUP(F481,glossary!J:N,5,FALSE)</f>
        <v>The spread of numbers in a dataset compared to the mean of the dataset' (Clarke et al., 2023).</v>
      </c>
      <c r="L481" s="30" t="s">
        <v>984</v>
      </c>
      <c r="M481" s="30" t="str">
        <f t="shared" si="28"/>
        <v>{{ variance_tu }}</v>
      </c>
      <c r="N481" t="s">
        <v>896</v>
      </c>
      <c r="O481" s="13" t="s">
        <v>1816</v>
      </c>
      <c r="P481" t="s">
        <v>4582</v>
      </c>
      <c r="Q481" t="str">
        <f t="shared" si="29"/>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1" t="b" cm="1">
        <f t="array" ref="R481">SUMPRODUCT(--EXACT($J$2:$J$490,J481))&gt;1</f>
        <v>0</v>
      </c>
      <c r="S481" t="s">
        <v>5151</v>
      </c>
    </row>
    <row r="482" spans="1:19">
      <c r="A482" s="30">
        <v>2</v>
      </c>
      <c r="B482" s="30" t="s">
        <v>1400</v>
      </c>
      <c r="C482" s="30"/>
      <c r="D482" s="30" t="s">
        <v>1207</v>
      </c>
      <c r="E482" s="30" t="s">
        <v>984</v>
      </c>
      <c r="F482" s="30" t="s">
        <v>63</v>
      </c>
      <c r="G482" s="39" t="str">
        <f>VLOOKUP(F482,glossary!J:N,2,FALSE)</f>
        <v>Visit</v>
      </c>
      <c r="H482" s="30" t="s">
        <v>63</v>
      </c>
      <c r="I482" s="45" t="str">
        <f t="shared" si="27"/>
        <v>visit_tl</v>
      </c>
      <c r="J482" s="39" t="s">
        <v>63</v>
      </c>
      <c r="K482" s="39" t="str">
        <f>VLOOKUP(F482,glossary!J:N,5,FALSE)</f>
        <v>When a crew has gone to a location to deploy, service, or retrieve a remote camera.</v>
      </c>
      <c r="L482" s="30" t="s">
        <v>1408</v>
      </c>
      <c r="M482" s="30" t="str">
        <f t="shared" si="28"/>
        <v>{{ visit_tl }}</v>
      </c>
      <c r="N482" t="s">
        <v>896</v>
      </c>
      <c r="O482" s="13" t="s">
        <v>1816</v>
      </c>
      <c r="P482" t="s">
        <v>4582</v>
      </c>
      <c r="Q482" t="str">
        <f t="shared" si="29"/>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2" t="b" cm="1">
        <f t="array" ref="R482">SUMPRODUCT(--EXACT($J$2:$J$490,J482))&gt;1</f>
        <v>0</v>
      </c>
      <c r="S482" t="s">
        <v>5152</v>
      </c>
    </row>
    <row r="483" spans="1:19">
      <c r="A483" s="30">
        <v>1</v>
      </c>
      <c r="B483" s="30" t="s">
        <v>1064</v>
      </c>
      <c r="C483" s="30" t="s">
        <v>429</v>
      </c>
      <c r="D483" s="30" t="s">
        <v>1207</v>
      </c>
      <c r="E483" s="30" t="s">
        <v>1758</v>
      </c>
      <c r="F483" s="30" t="s">
        <v>63</v>
      </c>
      <c r="G483" s="39" t="str">
        <f>VLOOKUP(F483,glossary!J:N,2,FALSE)</f>
        <v>Visit</v>
      </c>
      <c r="H483" s="30" t="s">
        <v>63</v>
      </c>
      <c r="I483" s="45" t="str">
        <f t="shared" si="27"/>
        <v>visit_tl_pl</v>
      </c>
      <c r="J483" s="39" t="s">
        <v>1197</v>
      </c>
      <c r="K483" s="39" t="str">
        <f>VLOOKUP(F483,glossary!J:N,5,FALSE)</f>
        <v>When a crew has gone to a location to deploy, service, or retrieve a remote camera.</v>
      </c>
      <c r="L483" s="30" t="s">
        <v>1118</v>
      </c>
      <c r="M483" s="30" t="str">
        <f t="shared" si="28"/>
        <v>{{ visit_tl_pl }}</v>
      </c>
      <c r="N483" t="s">
        <v>896</v>
      </c>
      <c r="O483" s="13" t="s">
        <v>1816</v>
      </c>
      <c r="P483" t="s">
        <v>4582</v>
      </c>
      <c r="Q483" t="str">
        <f t="shared" si="29"/>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3" t="b" cm="1">
        <f t="array" ref="R483">SUMPRODUCT(--EXACT($J$2:$J$490,J483))&gt;1</f>
        <v>0</v>
      </c>
      <c r="S483" t="s">
        <v>5153</v>
      </c>
    </row>
    <row r="484" spans="1:19">
      <c r="A484" s="30">
        <v>2</v>
      </c>
      <c r="B484" s="30" t="s">
        <v>1400</v>
      </c>
      <c r="C484" s="30"/>
      <c r="D484" s="30" t="s">
        <v>1208</v>
      </c>
      <c r="E484" s="30" t="s">
        <v>984</v>
      </c>
      <c r="F484" s="30" t="s">
        <v>63</v>
      </c>
      <c r="G484" s="39" t="str">
        <f>VLOOKUP(F484,glossary!J:N,2,FALSE)</f>
        <v>Visit</v>
      </c>
      <c r="H484" s="30" t="s">
        <v>63</v>
      </c>
      <c r="I484" s="45" t="str">
        <f t="shared" si="27"/>
        <v>visit_tu</v>
      </c>
      <c r="J484" s="39" t="s">
        <v>65</v>
      </c>
      <c r="K484" s="39" t="str">
        <f>VLOOKUP(F484,glossary!J:N,5,FALSE)</f>
        <v>When a crew has gone to a location to deploy, service, or retrieve a remote camera.</v>
      </c>
      <c r="L484" s="30" t="s">
        <v>1407</v>
      </c>
      <c r="M484" s="30" t="str">
        <f t="shared" si="28"/>
        <v>{{ visit_tu }}</v>
      </c>
      <c r="N484" t="s">
        <v>896</v>
      </c>
      <c r="O484" s="13" t="s">
        <v>1816</v>
      </c>
      <c r="P484" t="s">
        <v>4582</v>
      </c>
      <c r="Q484" t="str">
        <f t="shared" si="29"/>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4" t="b" cm="1">
        <f t="array" ref="R484">SUMPRODUCT(--EXACT($J$2:$J$490,J484))&gt;1</f>
        <v>0</v>
      </c>
      <c r="S484" t="s">
        <v>5154</v>
      </c>
    </row>
    <row r="485" spans="1:19">
      <c r="A485" s="30">
        <v>1</v>
      </c>
      <c r="B485" s="30" t="s">
        <v>1064</v>
      </c>
      <c r="C485" s="30" t="s">
        <v>429</v>
      </c>
      <c r="D485" s="30" t="s">
        <v>1208</v>
      </c>
      <c r="E485" s="30" t="s">
        <v>1758</v>
      </c>
      <c r="F485" s="30" t="s">
        <v>63</v>
      </c>
      <c r="G485" s="39" t="str">
        <f>VLOOKUP(F485,glossary!J:N,2,FALSE)</f>
        <v>Visit</v>
      </c>
      <c r="H485" s="30" t="s">
        <v>63</v>
      </c>
      <c r="I485" s="45" t="str">
        <f t="shared" si="27"/>
        <v>visit_tu_pl</v>
      </c>
      <c r="J485" s="39" t="s">
        <v>1178</v>
      </c>
      <c r="K485" s="39" t="str">
        <f>VLOOKUP(F485,glossary!J:N,5,FALSE)</f>
        <v>When a crew has gone to a location to deploy, service, or retrieve a remote camera.</v>
      </c>
      <c r="L485" s="30" t="s">
        <v>1106</v>
      </c>
      <c r="M485" s="30" t="str">
        <f t="shared" si="28"/>
        <v>{{ visit_tu_pl }}</v>
      </c>
      <c r="N485" t="s">
        <v>896</v>
      </c>
      <c r="O485" s="13" t="s">
        <v>1816</v>
      </c>
      <c r="P485" t="s">
        <v>4582</v>
      </c>
      <c r="Q485" t="str">
        <f t="shared" si="29"/>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5" t="b" cm="1">
        <f t="array" ref="R485">SUMPRODUCT(--EXACT($J$2:$J$490,J485))&gt;1</f>
        <v>0</v>
      </c>
      <c r="S485" t="s">
        <v>5155</v>
      </c>
    </row>
    <row r="486" spans="1:19">
      <c r="A486" s="30">
        <v>3</v>
      </c>
      <c r="B486" s="30" t="s">
        <v>1393</v>
      </c>
      <c r="C486" s="30"/>
      <c r="D486" s="30" t="s">
        <v>1208</v>
      </c>
      <c r="E486" s="30" t="s">
        <v>984</v>
      </c>
      <c r="F486" s="30" t="s">
        <v>310</v>
      </c>
      <c r="G486" s="39" t="str">
        <f>VLOOKUP(F486,glossary!J:N,2,FALSE)</f>
        <v>Visit Comments</v>
      </c>
      <c r="H486" s="34" t="s">
        <v>310</v>
      </c>
      <c r="I486" s="45" t="str">
        <f t="shared" si="27"/>
        <v>visit_comments_tu</v>
      </c>
      <c r="J486" s="42" t="s">
        <v>762</v>
      </c>
      <c r="K486" s="39" t="str">
        <f>VLOOKUP(F486,glossary!J:N,5,FALSE)</f>
        <v>Comments describing additional details about the deployment and*/or Service*/Retrieval visits.</v>
      </c>
      <c r="L486" t="s">
        <v>1406</v>
      </c>
      <c r="M486" s="30" t="str">
        <f t="shared" si="28"/>
        <v>{{ visit_comments_tu }}</v>
      </c>
      <c r="N486" t="s">
        <v>896</v>
      </c>
      <c r="O486" s="13" t="s">
        <v>1816</v>
      </c>
      <c r="P486" t="s">
        <v>4582</v>
      </c>
      <c r="Q486" t="str">
        <f t="shared" si="29"/>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86" t="b" cm="1">
        <f t="array" ref="R486">SUMPRODUCT(--EXACT($J$2:$J$490,J486))&gt;1</f>
        <v>0</v>
      </c>
      <c r="S486" t="s">
        <v>5156</v>
      </c>
    </row>
    <row r="487" spans="1:19">
      <c r="A487" s="30">
        <v>3</v>
      </c>
      <c r="B487" s="30" t="s">
        <v>1393</v>
      </c>
      <c r="C487" s="30"/>
      <c r="D487" s="30" t="s">
        <v>1207</v>
      </c>
      <c r="E487" s="30" t="s">
        <v>984</v>
      </c>
      <c r="F487" s="30" t="s">
        <v>60</v>
      </c>
      <c r="G487" s="39" t="str">
        <f>VLOOKUP(F487,glossary!J:N,2,FALSE)</f>
        <v>Visit metadata</v>
      </c>
      <c r="H487" s="34" t="s">
        <v>60</v>
      </c>
      <c r="I487" s="45" t="str">
        <f t="shared" si="27"/>
        <v>visit_metadata_tl</v>
      </c>
      <c r="J487" s="43" t="s">
        <v>968</v>
      </c>
      <c r="K487" s="39" t="str">
        <f>VLOOKUP(F487,glossary!J:N,5,FALSE)</f>
        <v>Metadata that should be collected each time a camera location is visited to deploy, Service*/Retrieval Field Datasheet.</v>
      </c>
      <c r="L487" t="s">
        <v>1405</v>
      </c>
      <c r="M487" s="30" t="str">
        <f t="shared" si="28"/>
        <v>{{ visit_metadata_tl }}</v>
      </c>
      <c r="N487" t="s">
        <v>896</v>
      </c>
      <c r="O487" s="13" t="s">
        <v>1816</v>
      </c>
      <c r="P487" t="s">
        <v>4582</v>
      </c>
      <c r="Q487" t="str">
        <f t="shared" si="29"/>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7" t="b" cm="1">
        <f t="array" ref="R487">SUMPRODUCT(--EXACT($J$2:$J$490,J487))&gt;1</f>
        <v>0</v>
      </c>
      <c r="S487" t="s">
        <v>5157</v>
      </c>
    </row>
    <row r="488" spans="1:19">
      <c r="A488" s="30">
        <v>3</v>
      </c>
      <c r="B488" s="30" t="s">
        <v>1393</v>
      </c>
      <c r="C488" s="30"/>
      <c r="D488" s="30" t="s">
        <v>1208</v>
      </c>
      <c r="E488" s="30" t="s">
        <v>984</v>
      </c>
      <c r="F488" s="30" t="s">
        <v>60</v>
      </c>
      <c r="G488" s="39" t="str">
        <f>VLOOKUP(F488,glossary!J:N,2,FALSE)</f>
        <v>Visit metadata</v>
      </c>
      <c r="H488" s="34" t="s">
        <v>60</v>
      </c>
      <c r="I488" s="45" t="str">
        <f t="shared" si="27"/>
        <v>visit_metadata_tu</v>
      </c>
      <c r="J488" s="42" t="s">
        <v>62</v>
      </c>
      <c r="K488" s="39" t="str">
        <f>VLOOKUP(F488,glossary!J:N,5,FALSE)</f>
        <v>Metadata that should be collected each time a camera location is visited to deploy, Service*/Retrieval Field Datasheet.</v>
      </c>
      <c r="L488" t="s">
        <v>1404</v>
      </c>
      <c r="M488" s="30" t="str">
        <f t="shared" si="28"/>
        <v>{{ visit_metadata_tu }}</v>
      </c>
      <c r="N488" t="s">
        <v>896</v>
      </c>
      <c r="O488" s="13" t="s">
        <v>1816</v>
      </c>
      <c r="P488" t="s">
        <v>4582</v>
      </c>
      <c r="Q488" t="str">
        <f t="shared" si="29"/>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8" t="b" cm="1">
        <f t="array" ref="R488">SUMPRODUCT(--EXACT($J$2:$J$490,J488))&gt;1</f>
        <v>0</v>
      </c>
      <c r="S488" t="s">
        <v>5158</v>
      </c>
    </row>
    <row r="489" spans="1:19">
      <c r="A489" s="30">
        <v>2</v>
      </c>
      <c r="B489" s="30" t="s">
        <v>1400</v>
      </c>
      <c r="C489" s="30"/>
      <c r="D489" s="30" t="s">
        <v>1207</v>
      </c>
      <c r="E489" s="30" t="s">
        <v>984</v>
      </c>
      <c r="F489" s="30" t="s">
        <v>56</v>
      </c>
      <c r="G489" s="39" t="str">
        <f>VLOOKUP(F489,glossary!J:N,2,FALSE)</f>
        <v>Walktest</v>
      </c>
      <c r="H489" s="30" t="s">
        <v>56</v>
      </c>
      <c r="I489" s="45" t="str">
        <f t="shared" si="27"/>
        <v>walktest_tl</v>
      </c>
      <c r="J489" s="39" t="s">
        <v>56</v>
      </c>
      <c r="K489" s="39" t="str">
        <f>VLOOKUP(F489,glossary!J:N,5,FALSE)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9" s="30" t="s">
        <v>1403</v>
      </c>
      <c r="M489" s="30" t="str">
        <f t="shared" si="28"/>
        <v>{{ walktest_tl }}</v>
      </c>
      <c r="N489" t="s">
        <v>896</v>
      </c>
      <c r="O489" s="13" t="s">
        <v>1816</v>
      </c>
      <c r="P489" t="s">
        <v>4582</v>
      </c>
      <c r="Q489" t="str">
        <f t="shared" si="29"/>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9" t="b" cm="1">
        <f t="array" ref="R489">SUMPRODUCT(--EXACT($J$2:$J$490,J489))&gt;1</f>
        <v>0</v>
      </c>
      <c r="S489" t="s">
        <v>5159</v>
      </c>
    </row>
    <row r="490" spans="1:19">
      <c r="A490" s="30">
        <v>2</v>
      </c>
      <c r="B490" s="30" t="s">
        <v>1400</v>
      </c>
      <c r="C490" s="30"/>
      <c r="D490" s="30" t="s">
        <v>1208</v>
      </c>
      <c r="E490" s="30" t="s">
        <v>984</v>
      </c>
      <c r="F490" s="30" t="s">
        <v>56</v>
      </c>
      <c r="G490" s="39" t="str">
        <f>VLOOKUP(F490,glossary!J:N,2,FALSE)</f>
        <v>Walktest</v>
      </c>
      <c r="H490" s="30" t="s">
        <v>56</v>
      </c>
      <c r="I490" s="45" t="str">
        <f t="shared" si="27"/>
        <v>walktest_tu</v>
      </c>
      <c r="J490" s="39" t="s">
        <v>57</v>
      </c>
      <c r="K490" s="39" t="str">
        <f>VLOOKUP(F490,glossary!J:N,5,FALSE)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0" s="30" t="s">
        <v>1402</v>
      </c>
      <c r="M490" s="30" t="str">
        <f t="shared" si="28"/>
        <v>{{ walktest_tu }}</v>
      </c>
      <c r="N490" t="s">
        <v>896</v>
      </c>
      <c r="O490" s="13" t="s">
        <v>1816</v>
      </c>
      <c r="P490" t="s">
        <v>4582</v>
      </c>
      <c r="Q490" t="str">
        <f t="shared" si="29"/>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0" t="b" cm="1">
        <f t="array" ref="R490">SUMPRODUCT(--EXACT($J$2:$J$490,J490))&gt;1</f>
        <v>0</v>
      </c>
      <c r="S490" t="s">
        <v>5160</v>
      </c>
    </row>
    <row r="491" spans="1:19">
      <c r="A491" s="30">
        <v>3</v>
      </c>
      <c r="B491" s="30" t="s">
        <v>1393</v>
      </c>
      <c r="C491" s="30"/>
      <c r="D491" s="30" t="s">
        <v>1208</v>
      </c>
      <c r="E491" s="30" t="s">
        <v>984</v>
      </c>
      <c r="F491" s="30" t="s">
        <v>309</v>
      </c>
      <c r="G491" s="39" t="str">
        <f>VLOOKUP(F491,glossary!J:N,2,FALSE)</f>
        <v>Walktest Complete</v>
      </c>
      <c r="H491" s="34" t="s">
        <v>309</v>
      </c>
      <c r="I491" s="45" t="str">
        <f t="shared" si="27"/>
        <v>walktest_complete_tu</v>
      </c>
      <c r="J491" s="42" t="s">
        <v>763</v>
      </c>
      <c r="K491" s="39" t="str">
        <f>VLOOKUP(F491,glossary!J:N,5,FALSE)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1" t="s">
        <v>1401</v>
      </c>
      <c r="M491" s="30" t="str">
        <f t="shared" si="28"/>
        <v>{{ walktest_complete_tu }}</v>
      </c>
      <c r="N491" t="s">
        <v>896</v>
      </c>
      <c r="O491" s="13" t="s">
        <v>1816</v>
      </c>
      <c r="P491" t="s">
        <v>4582</v>
      </c>
      <c r="Q491" t="str">
        <f t="shared" si="29"/>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91" t="b" cm="1">
        <f t="array" ref="R491">SUMPRODUCT(--EXACT($J$2:$J$490,J491))&gt;1</f>
        <v>0</v>
      </c>
      <c r="S491" t="s">
        <v>5161</v>
      </c>
    </row>
    <row r="492" spans="1:19">
      <c r="A492" s="30">
        <v>1</v>
      </c>
      <c r="B492" s="30" t="s">
        <v>1064</v>
      </c>
      <c r="C492" s="30" t="s">
        <v>429</v>
      </c>
      <c r="D492" s="30" t="s">
        <v>1208</v>
      </c>
      <c r="E492" s="30" t="s">
        <v>1757</v>
      </c>
      <c r="F492" s="30" t="s">
        <v>307</v>
      </c>
      <c r="G492" s="39" t="str">
        <f>VLOOKUP(F492,glossary!J:N,2,FALSE)</f>
        <v>Walktest Distance (m)</v>
      </c>
      <c r="H492" s="30" t="s">
        <v>307</v>
      </c>
      <c r="I492" s="45" t="str">
        <f t="shared" si="27"/>
        <v>walktest_distance_tu_nu</v>
      </c>
      <c r="J492" s="39" t="s">
        <v>1083</v>
      </c>
      <c r="K492" s="39" t="str">
        <f>VLOOKUP(F492,glossary!J:N,5,FALSE)</f>
        <v>The horizontal distance from the camera at which the crew performs the walktest (metres; to the nearest 0.05 m). Leave blank if not applicable.</v>
      </c>
      <c r="L492" s="30" t="s">
        <v>1097</v>
      </c>
      <c r="M492" s="30" t="str">
        <f t="shared" si="28"/>
        <v>{{ walktest_distance_tu_nu }}</v>
      </c>
      <c r="N492" t="s">
        <v>896</v>
      </c>
      <c r="O492" s="13" t="s">
        <v>1816</v>
      </c>
      <c r="P492" t="s">
        <v>4582</v>
      </c>
      <c r="Q492" t="str">
        <f t="shared" si="29"/>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92" t="b" cm="1">
        <f t="array" ref="R492">SUMPRODUCT(--EXACT($J$2:$J$490,J492))&gt;1</f>
        <v>0</v>
      </c>
      <c r="S492" t="s">
        <v>5162</v>
      </c>
    </row>
    <row r="493" spans="1:19">
      <c r="A493" s="30">
        <v>3</v>
      </c>
      <c r="B493" s="30" t="s">
        <v>1393</v>
      </c>
      <c r="C493" s="30"/>
      <c r="D493" s="30" t="s">
        <v>1208</v>
      </c>
      <c r="E493" s="30" t="s">
        <v>1751</v>
      </c>
      <c r="F493" s="30" t="s">
        <v>307</v>
      </c>
      <c r="G493" s="39" t="str">
        <f>VLOOKUP(F493,glossary!J:N,2,FALSE)</f>
        <v>Walktest Distance (m)</v>
      </c>
      <c r="H493" s="34" t="s">
        <v>307</v>
      </c>
      <c r="I493" s="45" t="str">
        <f t="shared" si="27"/>
        <v>walktest_distance_tu_u</v>
      </c>
      <c r="J493" s="42" t="s">
        <v>1373</v>
      </c>
      <c r="K493" s="39" t="str">
        <f>VLOOKUP(F493,glossary!J:N,5,FALSE)</f>
        <v>The horizontal distance from the camera at which the crew performs the walktest (metres; to the nearest 0.05 m). Leave blank if not applicable.</v>
      </c>
      <c r="L493" t="s">
        <v>1374</v>
      </c>
      <c r="M493" s="30" t="str">
        <f t="shared" si="28"/>
        <v>{{ walktest_distance_tu_u }}</v>
      </c>
      <c r="N493" t="s">
        <v>896</v>
      </c>
      <c r="O493" s="13" t="s">
        <v>1816</v>
      </c>
      <c r="P493" t="s">
        <v>4582</v>
      </c>
      <c r="Q493" t="str">
        <f t="shared" si="29"/>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93" t="b" cm="1">
        <f t="array" ref="R493">SUMPRODUCT(--EXACT($J$2:$J$490,J493))&gt;1</f>
        <v>0</v>
      </c>
      <c r="S493" t="s">
        <v>5163</v>
      </c>
    </row>
    <row r="494" spans="1:19">
      <c r="A494" s="30">
        <v>1</v>
      </c>
      <c r="B494" s="30" t="s">
        <v>1064</v>
      </c>
      <c r="C494" s="30" t="s">
        <v>0</v>
      </c>
      <c r="D494" s="30" t="s">
        <v>1208</v>
      </c>
      <c r="E494" s="30" t="s">
        <v>1757</v>
      </c>
      <c r="F494" s="30" t="s">
        <v>305</v>
      </c>
      <c r="G494" s="39" t="str">
        <f>VLOOKUP(F494,glossary!J:N,2,FALSE)</f>
        <v>Walktest Height (m)</v>
      </c>
      <c r="H494" s="30" t="s">
        <v>305</v>
      </c>
      <c r="I494" s="45" t="str">
        <f t="shared" si="27"/>
        <v>walktest_height_tu_nu</v>
      </c>
      <c r="J494" s="39" t="s">
        <v>1082</v>
      </c>
      <c r="K494" s="39" t="str">
        <f>VLOOKUP(F494,glossary!J:N,5,FALSE)</f>
        <v>The vertical distance from the camera at which the crew performs the walktest (metres; to the nearest 0.05 m). Leave blank if not applicable.</v>
      </c>
      <c r="L494" s="30" t="s">
        <v>1098</v>
      </c>
      <c r="M494" s="30" t="str">
        <f t="shared" si="28"/>
        <v>{{ walktest_height_tu_nu }}</v>
      </c>
      <c r="N494" t="s">
        <v>896</v>
      </c>
      <c r="O494" s="13" t="s">
        <v>1816</v>
      </c>
      <c r="P494" t="s">
        <v>4582</v>
      </c>
      <c r="Q494" t="str">
        <f t="shared" si="29"/>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94" t="b" cm="1">
        <f t="array" ref="R494">SUMPRODUCT(--EXACT($J$2:$J$490,J494))&gt;1</f>
        <v>0</v>
      </c>
      <c r="S494" t="s">
        <v>5164</v>
      </c>
    </row>
    <row r="495" spans="1:19">
      <c r="A495" s="30">
        <v>3</v>
      </c>
      <c r="B495" s="30" t="s">
        <v>1393</v>
      </c>
      <c r="C495" s="30"/>
      <c r="D495" s="30" t="s">
        <v>1208</v>
      </c>
      <c r="E495" s="30" t="s">
        <v>1751</v>
      </c>
      <c r="F495" s="30" t="s">
        <v>305</v>
      </c>
      <c r="G495" s="39" t="str">
        <f>VLOOKUP(F495,glossary!J:N,2,FALSE)</f>
        <v>Walktest Height (m)</v>
      </c>
      <c r="H495" s="34" t="s">
        <v>305</v>
      </c>
      <c r="I495" s="45" t="str">
        <f t="shared" si="27"/>
        <v>walktest_height_tu_u</v>
      </c>
      <c r="J495" s="42" t="s">
        <v>764</v>
      </c>
      <c r="K495" s="39" t="str">
        <f>VLOOKUP(F495,glossary!J:N,5,FALSE)</f>
        <v>The vertical distance from the camera at which the crew performs the walktest (metres; to the nearest 0.05 m). Leave blank if not applicable.</v>
      </c>
      <c r="L495" t="s">
        <v>1399</v>
      </c>
      <c r="M495" s="30" t="str">
        <f t="shared" si="28"/>
        <v>{{ walktest_height_tu_u }}</v>
      </c>
      <c r="N495" t="s">
        <v>896</v>
      </c>
      <c r="O495" s="13" t="s">
        <v>1816</v>
      </c>
      <c r="P495" t="s">
        <v>4582</v>
      </c>
      <c r="Q495" t="str">
        <f t="shared" si="29"/>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95" t="b" cm="1">
        <f t="array" ref="R495">SUMPRODUCT(--EXACT($J$2:$J$490,J495))&gt;1</f>
        <v>0</v>
      </c>
      <c r="S495" t="s">
        <v>5165</v>
      </c>
    </row>
    <row r="496" spans="1:19">
      <c r="O496" s="13"/>
    </row>
    <row r="497" spans="15:15">
      <c r="O497" s="13"/>
    </row>
    <row r="498" spans="15:15">
      <c r="O498" s="13"/>
    </row>
  </sheetData>
  <autoFilter ref="A1:R495" xr:uid="{C79C8A1F-581D-493B-AC1B-735B9965A843}">
    <sortState xmlns:xlrd2="http://schemas.microsoft.com/office/spreadsheetml/2017/richdata2" ref="A2:R495">
      <sortCondition ref="F1:F495"/>
    </sortState>
  </autoFilter>
  <conditionalFormatting sqref="M1:M1048576">
    <cfRule type="duplicateValues" dxfId="23" priority="1"/>
  </conditionalFormatting>
  <conditionalFormatting sqref="R1:R1048576">
    <cfRule type="containsText" dxfId="22"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66"/>
  <sheetViews>
    <sheetView topLeftCell="A46" workbookViewId="0">
      <selection activeCell="A66" sqref="A66"/>
    </sheetView>
  </sheetViews>
  <sheetFormatPr defaultRowHeight="14.25"/>
  <cols>
    <col min="1" max="1" width="41.625" customWidth="1"/>
    <col min="2" max="2" width="29.625" customWidth="1"/>
    <col min="3" max="4" width="27.25" customWidth="1"/>
    <col min="5" max="5" width="21.625" customWidth="1"/>
  </cols>
  <sheetData>
    <row r="1" spans="1:6" ht="15">
      <c r="A1" s="36" t="s">
        <v>3958</v>
      </c>
      <c r="B1" s="36" t="s">
        <v>347</v>
      </c>
      <c r="C1" t="s">
        <v>347</v>
      </c>
      <c r="E1" s="36" t="s">
        <v>3959</v>
      </c>
      <c r="F1" s="36" t="s">
        <v>1393</v>
      </c>
    </row>
    <row r="2" spans="1:6" ht="15">
      <c r="A2" t="s">
        <v>786</v>
      </c>
      <c r="B2" s="76" t="str" cm="1">
        <f t="array" ref="B2">"{{ "&amp;_xlfn.XLOOKUP(TRUE, EXACT(A2, find_replace!J:J), find_replace!I:I, "not found")&amp;" }}"</f>
        <v>{{ accuracy_tl }}</v>
      </c>
      <c r="C2" t="s">
        <v>4577</v>
      </c>
      <c r="E2" t="s">
        <v>1395</v>
      </c>
      <c r="F2" t="str" cm="1">
        <f t="array" ref="F2">"{{ "&amp;_xlfn.XLOOKUP(TRUE, EXACT(E2, find_replace!I:I), find_replace!J:J, "not found")&amp;" }}"</f>
        <v>{{ Target Species }}</v>
      </c>
    </row>
    <row r="3" spans="1:6" ht="15">
      <c r="A3" t="s">
        <v>777</v>
      </c>
      <c r="B3" s="76" t="str" cm="1">
        <f t="array" ref="B3">"{{ "&amp;_xlfn.XLOOKUP(TRUE, EXACT(A3, find_replace!J:J), find_replace!I:I, "not found")&amp;" }}"</f>
        <v>{{ obj_abundance_tl_abrv2 }}</v>
      </c>
      <c r="C3" t="s">
        <v>4552</v>
      </c>
    </row>
    <row r="4" spans="1:6" ht="15">
      <c r="A4" t="s">
        <v>4473</v>
      </c>
      <c r="B4" s="76" t="str" cm="1">
        <f t="array" ref="B4">"{{ "&amp;_xlfn.XLOOKUP(TRUE, EXACT(A4, find_replace!J:J), find_replace!I:I, "not found")&amp;" }}"</f>
        <v>{{ accurate_tu_op }}</v>
      </c>
      <c r="C4" t="s">
        <v>4513</v>
      </c>
    </row>
    <row r="5" spans="1:6" ht="15">
      <c r="A5" t="s">
        <v>4472</v>
      </c>
      <c r="B5" s="76" t="str" cm="1">
        <f t="array" ref="B5">"{{ "&amp;_xlfn.XLOOKUP(TRUE, EXACT(A5, find_replace!J:J), find_replace!I:I, "not found")&amp;" }}"</f>
        <v>{{ accurate_tl }}</v>
      </c>
      <c r="C5" t="s">
        <v>4528</v>
      </c>
    </row>
    <row r="6" spans="1:6" ht="15">
      <c r="A6" t="s">
        <v>1722</v>
      </c>
      <c r="B6" s="76" t="str" cm="1">
        <f t="array" ref="B6">"{{ "&amp;_xlfn.XLOOKUP(TRUE, EXACT(A6, find_replace!J:J), find_replace!I:I, "not found")&amp;" }}"</f>
        <v>{{ mod_assumption_tl_abrv }}</v>
      </c>
      <c r="C6" t="s">
        <v>4523</v>
      </c>
    </row>
    <row r="7" spans="1:6" ht="15">
      <c r="A7" t="s">
        <v>1722</v>
      </c>
      <c r="B7" s="76" t="str" cm="1">
        <f t="array" ref="B7">"{{ "&amp;_xlfn.XLOOKUP(TRUE, EXACT(A7, find_replace!J:J), find_replace!I:I, "not found")&amp;" }}"</f>
        <v>{{ mod_assumption_tl_abrv }}</v>
      </c>
    </row>
    <row r="8" spans="1:6" ht="15">
      <c r="A8" t="s">
        <v>4480</v>
      </c>
      <c r="B8" s="76" t="str" cm="1">
        <f t="array" ref="B8">"{{ "&amp;_xlfn.XLOOKUP(TRUE, EXACT(A8, find_replace!J:J), find_replace!I:I, "not found")&amp;" }}"</f>
        <v>{{ mod_assumption_tu_abrv_pl }}</v>
      </c>
      <c r="C8" t="s">
        <v>4488</v>
      </c>
    </row>
    <row r="9" spans="1:6" ht="15">
      <c r="A9" t="s">
        <v>1195</v>
      </c>
      <c r="B9" s="76" t="str" cm="1">
        <f t="array" ref="B9">"{{ "&amp;_xlfn.XLOOKUP(TRUE, EXACT(A9, find_replace!J:J), find_replace!I:I, "not found")&amp;" }}"</f>
        <v>{{ mod_assumption_tl_abrv_pl }}</v>
      </c>
      <c r="C9" t="s">
        <v>4487</v>
      </c>
    </row>
    <row r="10" spans="1:6" ht="15">
      <c r="A10" t="s">
        <v>903</v>
      </c>
      <c r="B10" s="76" t="str" cm="1">
        <f t="array" ref="B10">"{{ "&amp;_xlfn.XLOOKUP(TRUE, EXACT(A10, find_replace!J:J), find_replace!I:I, "not found")&amp;" }}"</f>
        <v>{{ baitlure_bait_tl }}</v>
      </c>
      <c r="C10" t="s">
        <v>4541</v>
      </c>
    </row>
    <row r="11" spans="1:6" ht="15">
      <c r="A11" t="s">
        <v>779</v>
      </c>
      <c r="B11" s="76" t="str" cm="1">
        <f t="array" ref="B11">"{{ "&amp;_xlfn.XLOOKUP(TRUE, EXACT(A11, find_replace!J:J), find_replace!I:I, "not found")&amp;" }}"</f>
        <v>{{ bias_tl }}</v>
      </c>
      <c r="C11" t="s">
        <v>4575</v>
      </c>
    </row>
    <row r="12" spans="1:6" ht="15">
      <c r="A12" t="s">
        <v>1822</v>
      </c>
      <c r="B12" s="76" t="str" cm="1">
        <f t="array" ref="B12">"{{ "&amp;_xlfn.XLOOKUP(TRUE, EXACT(A12, find_replace!J:J), find_replace!I:I, "not found")&amp;" }}"</f>
        <v>{{ bias_tl_mod }}</v>
      </c>
      <c r="C12" t="s">
        <v>4518</v>
      </c>
    </row>
    <row r="13" spans="1:6" ht="15.75">
      <c r="A13" s="15" t="s">
        <v>1193</v>
      </c>
      <c r="B13" s="76" t="str" cm="1">
        <f t="array" ref="B13">"{{ "&amp;_xlfn.XLOOKUP(TRUE, EXACT(A13, find_replace!J:J), find_replace!I:I, "not found")&amp;" }}"</f>
        <v>{{ cam_location_tl_pl }}</v>
      </c>
      <c r="C13" t="s">
        <v>4505</v>
      </c>
    </row>
    <row r="14" spans="1:6" ht="15.75">
      <c r="A14" s="75" t="s">
        <v>1193</v>
      </c>
      <c r="B14" s="76" t="str" cm="1">
        <f t="array" ref="B14">"{{ "&amp;_xlfn.XLOOKUP(TRUE, EXACT(A14, find_replace!J:J), find_replace!I:I, "not found")&amp;" }}"</f>
        <v>{{ cam_location_tl_pl }}</v>
      </c>
      <c r="C14" t="s">
        <v>4505</v>
      </c>
    </row>
    <row r="15" spans="1:6" ht="15">
      <c r="A15" t="s">
        <v>1361</v>
      </c>
      <c r="B15" s="76" t="str" cm="1">
        <f t="array" ref="B15">"{{ "&amp;_xlfn.XLOOKUP(TRUE, EXACT(A15, find_replace!J:J), find_replace!I:I, "not found")&amp;" }}"</f>
        <v>{{ not found }}</v>
      </c>
    </row>
    <row r="16" spans="1:6" ht="15">
      <c r="A16" t="s">
        <v>1196</v>
      </c>
      <c r="B16" s="76" t="str" cm="1">
        <f t="array" ref="B16">"{{ "&amp;_xlfn.XLOOKUP(TRUE, EXACT(A16, find_replace!J:J), find_replace!I:I, "not found")&amp;" }}"</f>
        <v>{{ mod_cr_tu_abrv }}</v>
      </c>
      <c r="C16" t="s">
        <v>4576</v>
      </c>
    </row>
    <row r="17" spans="1:3" ht="15">
      <c r="A17" s="61" t="s">
        <v>1727</v>
      </c>
      <c r="B17" s="76" t="str" cm="1">
        <f t="array" ref="B17">"{{ "&amp;_xlfn.XLOOKUP(TRUE, EXACT(A17, find_replace!J:J), find_replace!I:I, "not found")&amp;" }}"</f>
        <v>{{ detection_probability_tl_abrv2 }}</v>
      </c>
      <c r="C17" t="s">
        <v>4502</v>
      </c>
    </row>
    <row r="18" spans="1:3" ht="15">
      <c r="A18" s="61" t="s">
        <v>1191</v>
      </c>
      <c r="B18" s="76" t="str" cm="1">
        <f t="array" ref="B18">"{{ "&amp;_xlfn.XLOOKUP(TRUE, EXACT(A18, find_replace!J:J), find_replace!I:I, "not found")&amp;" }}"</f>
        <v>{{ detection_probability_tl_abrv }}</v>
      </c>
      <c r="C18" t="s">
        <v>4503</v>
      </c>
    </row>
    <row r="19" spans="1:3" ht="15">
      <c r="A19" t="s">
        <v>918</v>
      </c>
      <c r="B19" s="76" t="str" cm="1">
        <f t="array" ref="B19">"{{ "&amp;_xlfn.XLOOKUP(TRUE, EXACT(A19, find_replace!J:J), find_replace!I:I, "not found")&amp;" }}"</f>
        <v>{{ detection_zone_tl }}</v>
      </c>
      <c r="C19" t="s">
        <v>4514</v>
      </c>
    </row>
    <row r="20" spans="1:3" ht="15">
      <c r="A20" t="s">
        <v>1161</v>
      </c>
      <c r="B20" s="76" t="str" cm="1">
        <f t="array" ref="B20">"{{ "&amp;_xlfn.XLOOKUP(TRUE, EXACT(A20, find_replace!J:J), find_replace!I:I, "not found")&amp;" }}"</f>
        <v>{{ field_of_view_tu_abrv }}</v>
      </c>
      <c r="C20" t="s">
        <v>4517</v>
      </c>
    </row>
    <row r="21" spans="1:3" ht="15.75">
      <c r="A21" s="15" t="s">
        <v>1807</v>
      </c>
      <c r="B21" s="76" t="str" cm="1">
        <f t="array" ref="B21">"{{ "&amp;_xlfn.XLOOKUP(TRUE, EXACT(A21, find_replace!J:J), find_replace!I:I, "not found")&amp;" }}"</f>
        <v>{{ hr_tl }}</v>
      </c>
      <c r="C21" t="s">
        <v>4504</v>
      </c>
    </row>
    <row r="22" spans="1:3" ht="15">
      <c r="A22" t="s">
        <v>4478</v>
      </c>
      <c r="B22" s="76" t="str" cm="1">
        <f t="array" ref="B22">"{{ "&amp;_xlfn.XLOOKUP(TRUE, EXACT(A22, find_replace!J:J), find_replace!I:I, "not found")&amp;" }}"</f>
        <v>{{ not found }}</v>
      </c>
      <c r="C22" t="s">
        <v>4508</v>
      </c>
    </row>
    <row r="23" spans="1:3" ht="15">
      <c r="A23" t="s">
        <v>4553</v>
      </c>
      <c r="B23" s="76" t="str" cm="1">
        <f t="array" ref="B23">"{{ "&amp;_xlfn.XLOOKUP(TRUE, EXACT(A23, find_replace!J:J), find_replace!I:I, "not found")&amp;" }}"</f>
        <v>{{ accurate_tl_op }}</v>
      </c>
      <c r="C23" t="s">
        <v>4555</v>
      </c>
    </row>
    <row r="24" spans="1:3" ht="15">
      <c r="A24" t="s">
        <v>935</v>
      </c>
      <c r="B24" s="76" t="str" cm="1">
        <f t="array" ref="B24">"{{ "&amp;_xlfn.XLOOKUP(TRUE, EXACT(A24, find_replace!J:J), find_replace!I:I, "not found")&amp;" }}"</f>
        <v>{{ baitlure_lure_tl }}</v>
      </c>
      <c r="C24" t="s">
        <v>4542</v>
      </c>
    </row>
    <row r="25" spans="1:3" ht="15">
      <c r="A25" t="s">
        <v>1385</v>
      </c>
      <c r="B25" s="76" t="str" cm="1">
        <f t="array" ref="B25">"{{ "&amp;_xlfn.XLOOKUP(TRUE, EXACT(A25, find_replace!J:J), find_replace!I:I, "not found")&amp;" }}"</f>
        <v>{{ mod_occupancy_tl_abrv_pl }}</v>
      </c>
      <c r="C25" t="s">
        <v>4550</v>
      </c>
    </row>
    <row r="26" spans="1:3" ht="15">
      <c r="A26" t="s">
        <v>4491</v>
      </c>
      <c r="B26" s="76" t="str" cm="1">
        <f t="array" ref="B26">"{{ "&amp;_xlfn.XLOOKUP(TRUE, EXACT(A26, find_replace!J:J), find_replace!I:I, "not found")&amp;" }}"</f>
        <v>{{ sampledesign_paired_tl_abrv }}</v>
      </c>
      <c r="C26" t="s">
        <v>4516</v>
      </c>
    </row>
    <row r="27" spans="1:3" ht="15">
      <c r="A27" t="s">
        <v>4540</v>
      </c>
      <c r="B27" s="76" t="str" cm="1">
        <f t="array" ref="B27">"{{ "&amp;_xlfn.XLOOKUP(TRUE, EXACT(A27, find_replace!J:J), find_replace!I:I, "not found")&amp;" }}"</f>
        <v>{{ not found }}</v>
      </c>
    </row>
    <row r="28" spans="1:3" ht="15">
      <c r="A28" t="s">
        <v>4463</v>
      </c>
      <c r="B28" s="76" t="str" cm="1">
        <f t="array" ref="B28">"{{ "&amp;_xlfn.XLOOKUP(TRUE, EXACT(A28, find_replace!J:J), find_replace!I:I, "not found")&amp;" }}"</f>
        <v>{{ precision_tl_abrv }}</v>
      </c>
      <c r="C28" t="s">
        <v>4507</v>
      </c>
    </row>
    <row r="29" spans="1:3" ht="15">
      <c r="A29" t="s">
        <v>662</v>
      </c>
      <c r="B29" s="76" t="str" cm="1">
        <f t="array" ref="B29">"{{ "&amp;_xlfn.XLOOKUP(TRUE, EXACT(A29, find_replace!J:J), find_replace!I:I, "not found")&amp;" }}"</f>
        <v>{{ precision_tu }}</v>
      </c>
      <c r="C29" t="s">
        <v>4515</v>
      </c>
    </row>
    <row r="30" spans="1:3" ht="15.75">
      <c r="A30" s="75" t="s">
        <v>4574</v>
      </c>
      <c r="B30" s="76" t="str" cm="1">
        <f t="array" ref="B30">"{{ "&amp;_xlfn.XLOOKUP(TRUE, EXACT(A30, find_replace!J:J), find_replace!I:I, "not found")&amp;" }}"</f>
        <v>{{ not found }}</v>
      </c>
      <c r="C30" t="s">
        <v>4508</v>
      </c>
    </row>
    <row r="31" spans="1:3" ht="15">
      <c r="A31" t="s">
        <v>942</v>
      </c>
      <c r="B31" s="76" t="str" cm="1">
        <f t="array" ref="B31">"{{ "&amp;_xlfn.XLOOKUP(TRUE, EXACT(A31, find_replace!J:J), find_replace!I:I, "not found")&amp;" }}"</f>
        <v>{{ use_probability_tl }}</v>
      </c>
      <c r="C31" t="s">
        <v>4545</v>
      </c>
    </row>
    <row r="32" spans="1:3" ht="15.75">
      <c r="A32" s="75" t="s">
        <v>942</v>
      </c>
      <c r="B32" s="76" t="str" cm="1">
        <f t="array" ref="B32">"{{ "&amp;_xlfn.XLOOKUP(TRUE, EXACT(A32, find_replace!J:J), find_replace!I:I, "not found")&amp;" }}"</f>
        <v>{{ use_probability_tl }}</v>
      </c>
      <c r="C32" t="s">
        <v>4545</v>
      </c>
    </row>
    <row r="33" spans="1:3" ht="15">
      <c r="A33" t="s">
        <v>1198</v>
      </c>
      <c r="B33" s="76" t="str" cm="1">
        <f t="array" ref="B33">"{{ "&amp;_xlfn.XLOOKUP(TRUE, EXACT(A33, find_replace!J:J), find_replace!I:I, "not found")&amp;" }}"</f>
        <v>{{ sampledesign_random_tl_abrv2 }}</v>
      </c>
      <c r="C33" t="s">
        <v>4510</v>
      </c>
    </row>
    <row r="34" spans="1:3" ht="15">
      <c r="A34" t="s">
        <v>1199</v>
      </c>
      <c r="B34" s="76" t="str" cm="1">
        <f t="array" ref="B34">"{{ "&amp;_xlfn.XLOOKUP(TRUE, EXACT(A34, find_replace!J:J), find_replace!I:I, "not found")&amp;" }}"</f>
        <v>{{ sampledesign_random_tu_abrv }}</v>
      </c>
      <c r="C34" t="s">
        <v>4522</v>
      </c>
    </row>
    <row r="35" spans="1:3" ht="15">
      <c r="A35" s="30" t="s">
        <v>1154</v>
      </c>
      <c r="B35" s="76" t="str" cm="1">
        <f t="array" ref="B35">"{{ "&amp;_xlfn.XLOOKUP(TRUE, EXACT(A35, find_replace!J:J), find_replace!I:I, "not found")&amp;" }}"</f>
        <v>{{ mod_rem_tu_abrv }}</v>
      </c>
      <c r="C35" t="s">
        <v>4525</v>
      </c>
    </row>
    <row r="36" spans="1:3" ht="15">
      <c r="A36" t="s">
        <v>1157</v>
      </c>
      <c r="B36" s="76" t="str" cm="1">
        <f t="array" ref="B36">"{{ "&amp;_xlfn.XLOOKUP(TRUE, EXACT(A36, find_replace!J:J), find_replace!I:I, "not found")&amp;" }}"</f>
        <v>{{ mod_secr_tu_abrv }}</v>
      </c>
      <c r="C36" t="s">
        <v>4486</v>
      </c>
    </row>
    <row r="37" spans="1:3" ht="15">
      <c r="A37" t="s">
        <v>1158</v>
      </c>
      <c r="B37" s="76" t="str" cm="1">
        <f t="array" ref="B37">"{{ "&amp;_xlfn.XLOOKUP(TRUE, EXACT(A37, find_replace!J:J), find_replace!I:I, "not found")&amp;" }}"</f>
        <v>{{ mod_smr_tu_abrv }}</v>
      </c>
      <c r="C37" t="s">
        <v>4509</v>
      </c>
    </row>
    <row r="38" spans="1:3" ht="15">
      <c r="A38" t="s">
        <v>1766</v>
      </c>
      <c r="B38" s="76" t="str" cm="1">
        <f t="array" ref="B38">"{{ "&amp;_xlfn.XLOOKUP(TRUE, EXACT(A38, find_replace!J:J), find_replace!I:I, "not found")&amp;" }}"</f>
        <v>{{ stratum_tl }}</v>
      </c>
      <c r="C38" t="s">
        <v>4573</v>
      </c>
    </row>
    <row r="39" spans="1:3" ht="15">
      <c r="A39" t="s">
        <v>4477</v>
      </c>
      <c r="B39" s="76" t="str" cm="1">
        <f t="array" ref="B39">"{{ "&amp;_xlfn.XLOOKUP(TRUE, EXACT(A39, find_replace!J:J), find_replace!I:I, "not found")&amp;" }}"</f>
        <v>{{ sampledesign_systematic_tl_abrv }}</v>
      </c>
      <c r="C39" t="s">
        <v>4511</v>
      </c>
    </row>
    <row r="40" spans="1:3" ht="15">
      <c r="A40" t="s">
        <v>4476</v>
      </c>
      <c r="B40" s="76" t="str" cm="1">
        <f t="array" ref="B40">"{{ "&amp;_xlfn.XLOOKUP(TRUE, EXACT(A40, find_replace!J:J), find_replace!I:I, "not found")&amp;" }}"</f>
        <v>{{ sampledesign_systematic_random_tl_abrv }}</v>
      </c>
      <c r="C40" t="s">
        <v>4512</v>
      </c>
    </row>
    <row r="41" spans="1:3" ht="15">
      <c r="A41" s="61" t="s">
        <v>729</v>
      </c>
      <c r="B41" s="76" t="str" cm="1">
        <f t="array" ref="B41">"{{ "&amp;_xlfn.XLOOKUP(TRUE, EXACT(A41, find_replace!J:J), find_replace!I:I, "not found")&amp;" }}"</f>
        <v>{{ target_species_tu }}</v>
      </c>
      <c r="C41" t="s">
        <v>4501</v>
      </c>
    </row>
    <row r="42" spans="1:3" ht="15">
      <c r="A42" t="s">
        <v>4484</v>
      </c>
      <c r="B42" s="76" t="str" cm="1">
        <f t="array" ref="B42">"{{ "&amp;_xlfn.XLOOKUP(TRUE, EXACT(A42, find_replace!J:J), find_replace!I:I, "not found")&amp;" }}"</f>
        <v>{{ bias_tu_op }}</v>
      </c>
      <c r="C42" t="s">
        <v>4521</v>
      </c>
    </row>
    <row r="43" spans="1:3" ht="15">
      <c r="A43" t="s">
        <v>1418</v>
      </c>
      <c r="B43" s="76" t="str" cm="1">
        <f t="array" ref="B43">"{{ "&amp;_xlfn.XLOOKUP(TRUE, EXACT(A43, find_replace!J:J), find_replace!I:I, "not found")&amp;" }}"</f>
        <v>{{ typeid_unmarked_tl_abrv }}</v>
      </c>
      <c r="C43" t="s">
        <v>4506</v>
      </c>
    </row>
    <row r="44" spans="1:3" ht="15">
      <c r="A44" t="s">
        <v>1206</v>
      </c>
      <c r="B44" s="76" t="str" cm="1">
        <f t="array" ref="B44">"{{ "&amp;_xlfn.XLOOKUP(TRUE, EXACT(A44, find_replace!J:J), find_replace!I:I, "not found")&amp;" }}"</f>
        <v>{{ detection_rate_tl_pl }}</v>
      </c>
      <c r="C44" t="s">
        <v>4578</v>
      </c>
    </row>
    <row r="45" spans="1:3" ht="15">
      <c r="A45" t="s">
        <v>1389</v>
      </c>
      <c r="B45" s="76" t="str" cm="1">
        <f t="array" ref="B45">"{{ "&amp;_xlfn.XLOOKUP(TRUE, EXACT(A45, find_replace!J:J), find_replace!I:I, "not found")&amp;" }}"</f>
        <v>{{ mod_approach_tl_pl }}</v>
      </c>
    </row>
    <row r="46" spans="1:3" ht="15">
      <c r="A46" s="61" t="s">
        <v>4681</v>
      </c>
      <c r="B46" s="76" t="str" cm="1">
        <f t="array" ref="B46">"{{ "&amp;_xlfn.XLOOKUP(TRUE, EXACT(A46, find_replace!J:J), find_replace!I:I, "not found")&amp;" }}"</f>
        <v>{{ not found }}</v>
      </c>
    </row>
    <row r="47" spans="1:3" ht="15">
      <c r="A47" s="61" t="s">
        <v>1722</v>
      </c>
      <c r="B47" s="76" t="str" cm="1">
        <f t="array" ref="B47">"{{ "&amp;_xlfn.XLOOKUP(TRUE, EXACT(A47, find_replace!J:J), find_replace!I:I, "not found")&amp;" }}"</f>
        <v>{{ mod_assumption_tl_abrv }}</v>
      </c>
      <c r="C47" t="s">
        <v>4523</v>
      </c>
    </row>
    <row r="48" spans="1:3" ht="15">
      <c r="A48" s="61" t="s">
        <v>1389</v>
      </c>
      <c r="B48" s="76" t="str" cm="1">
        <f t="array" ref="B48">"{{ "&amp;_xlfn.XLOOKUP(TRUE, EXACT(A48, find_replace!J:J), find_replace!I:I, "not found")&amp;" }}"</f>
        <v>{{ mod_approach_tl_pl }}</v>
      </c>
      <c r="C48" t="s">
        <v>4682</v>
      </c>
    </row>
    <row r="49" spans="1:3" ht="15">
      <c r="A49" s="61" t="s">
        <v>4683</v>
      </c>
      <c r="B49" s="76" t="str" cm="1">
        <f t="array" ref="B49">"{{ "&amp;_xlfn.XLOOKUP(TRUE, EXACT(A49, find_replace!J:J), find_replace!I:I, "not found")&amp;" }}"</f>
        <v>{{ not found }}</v>
      </c>
    </row>
    <row r="50" spans="1:3" ht="15">
      <c r="A50" s="61" t="s">
        <v>5166</v>
      </c>
      <c r="B50" s="76" t="str" cm="1">
        <f t="array" ref="B50">"{{ "&amp;_xlfn.XLOOKUP(TRUE, EXACT(A50, find_replace!J:J), find_replace!I:I, "not found")&amp;" }}"</f>
        <v>{{ sampledesign_clustered_tl_abrv }}</v>
      </c>
      <c r="C50" t="s">
        <v>5172</v>
      </c>
    </row>
    <row r="51" spans="1:3" ht="15">
      <c r="A51" t="s">
        <v>4493</v>
      </c>
      <c r="B51" s="76" t="str" cm="1">
        <f t="array" ref="B51">"{{ "&amp;_xlfn.XLOOKUP(TRUE, EXACT(A51, find_replace!J:J), find_replace!I:I, "not found")&amp;" }}"</f>
        <v>{{ sampledesign_stratified_random_tl_abrv }}</v>
      </c>
      <c r="C51" t="s">
        <v>5167</v>
      </c>
    </row>
    <row r="52" spans="1:3" ht="15">
      <c r="A52" t="s">
        <v>4476</v>
      </c>
      <c r="B52" s="76" t="str" cm="1">
        <f t="array" ref="B52">"{{ "&amp;_xlfn.XLOOKUP(TRUE, EXACT(A52, find_replace!J:J), find_replace!I:I, "not found")&amp;" }}"</f>
        <v>{{ sampledesign_systematic_random_tl_abrv }}</v>
      </c>
      <c r="C52" t="s">
        <v>4512</v>
      </c>
    </row>
    <row r="53" spans="1:3" ht="15">
      <c r="A53" t="s">
        <v>5168</v>
      </c>
      <c r="B53" s="76" t="str" cm="1">
        <f t="array" ref="B53">"{{ "&amp;_xlfn.XLOOKUP(TRUE, EXACT(A53, find_replace!J:J), find_replace!I:I, "not found")&amp;" }}"</f>
        <v>{{ sampledesign_random_tl_abrv3 }}</v>
      </c>
    </row>
    <row r="54" spans="1:3" ht="15">
      <c r="A54" t="s">
        <v>930</v>
      </c>
      <c r="B54" s="76" t="str" cm="1">
        <f t="array" ref="B54">"{{ "&amp;_xlfn.XLOOKUP(TRUE, EXACT(A54, find_replace!J:J), find_replace!I:I, "not found")&amp;" }}"</f>
        <v>{{ use_intensity_tl }}</v>
      </c>
      <c r="C54" t="s">
        <v>5171</v>
      </c>
    </row>
    <row r="55" spans="1:3" ht="15">
      <c r="A55" t="s">
        <v>4499</v>
      </c>
      <c r="B55" s="76" t="str" cm="1">
        <f t="array" ref="B55">"{{ "&amp;_xlfn.XLOOKUP(TRUE, EXACT(A55, find_replace!J:J), find_replace!I:I, "not found")&amp;" }}"</f>
        <v>{{ sampledesign_targeted_tl_abrv }}</v>
      </c>
      <c r="C55" t="s">
        <v>5173</v>
      </c>
    </row>
    <row r="56" spans="1:3" ht="15">
      <c r="A56" t="s">
        <v>149</v>
      </c>
      <c r="B56" s="76" t="str" cm="1">
        <f t="array" ref="B56">"{{ "&amp;_xlfn.XLOOKUP(TRUE, EXACT(A56, find_replace!J:J), find_replace!I:I, "not found")&amp;" }}"</f>
        <v>{{ obj_occupancy_tl }}</v>
      </c>
      <c r="C56" t="s">
        <v>5174</v>
      </c>
    </row>
    <row r="57" spans="1:3" ht="15">
      <c r="A57" s="103" t="s">
        <v>894</v>
      </c>
      <c r="B57" s="76" t="str" cm="1">
        <f t="array" ref="B57">"{{ "&amp;_xlfn.XLOOKUP(TRUE, EXACT(A57, find_replace!J:J), find_replace!I:I, "not found")&amp;" }}"</f>
        <v>{{ obj_vital_rate_tu }}</v>
      </c>
      <c r="C57" t="s">
        <v>5177</v>
      </c>
    </row>
    <row r="58" spans="1:3" ht="15">
      <c r="A58" s="104" t="s">
        <v>103</v>
      </c>
      <c r="B58" s="76" t="str" cm="1">
        <f t="array" ref="B58">"{{ "&amp;_xlfn.XLOOKUP(TRUE, EXACT(A58, find_replace!J:J), find_replace!I:I, "not found")&amp;" }}"</f>
        <v>{{ state_variable_tu }}</v>
      </c>
    </row>
    <row r="59" spans="1:3" ht="15">
      <c r="A59" s="61" t="s">
        <v>1809</v>
      </c>
      <c r="B59" s="76" t="str" cm="1">
        <f t="array" ref="B59">"{{ "&amp;_xlfn.XLOOKUP(TRUE, EXACT(A59, find_replace!J:J), find_replace!I:I, "not found")&amp;" }}"</f>
        <v>{{ sp_rarity_tl }}</v>
      </c>
    </row>
    <row r="60" spans="1:3" ht="15">
      <c r="A60" s="61" t="s">
        <v>87</v>
      </c>
      <c r="B60" s="76" t="str" cm="1">
        <f t="array" ref="B60">"{{ "&amp;_xlfn.XLOOKUP(TRUE, EXACT(A60, find_replace!J:J), find_replace!I:I, "not found")&amp;" }}"</f>
        <v>{{ sampledesign_targeted_tu }}</v>
      </c>
      <c r="C60" t="s">
        <v>5191</v>
      </c>
    </row>
    <row r="61" spans="1:3" ht="15">
      <c r="A61" t="s">
        <v>1196</v>
      </c>
      <c r="B61" s="76" t="str" cm="1">
        <f t="array" ref="B61">"{{ "&amp;_xlfn.XLOOKUP(TRUE, EXACT(A61, find_replace!J:J), find_replace!I:I, "not found")&amp;" }}"</f>
        <v>{{ mod_cr_tu_abrv }}</v>
      </c>
    </row>
    <row r="62" spans="1:3" ht="15">
      <c r="A62" s="61" t="s">
        <v>4681</v>
      </c>
      <c r="B62" s="76" t="str" cm="1">
        <f t="array" ref="B62">"{{ "&amp;_xlfn.XLOOKUP(TRUE, EXACT(A62, find_replace!J:J), find_replace!I:I, "not found")&amp;" }}"</f>
        <v>{{ not found }}</v>
      </c>
    </row>
    <row r="63" spans="1:3" ht="15">
      <c r="B63" s="76" t="str" cm="1">
        <f t="array" ref="B63">"{{ "&amp;_xlfn.XLOOKUP(TRUE, EXACT(A63, find_replace!J:J), find_replace!I:I, "not found")&amp;" }}"</f>
        <v>{{  }}</v>
      </c>
    </row>
    <row r="64" spans="1:3" ht="15">
      <c r="B64" s="76" t="str" cm="1">
        <f t="array" ref="B64">"{{ "&amp;_xlfn.XLOOKUP(TRUE, EXACT(A64, find_replace!J:J), find_replace!I:I, "not found")&amp;" }}"</f>
        <v>{{  }}</v>
      </c>
    </row>
    <row r="65" spans="2:2" ht="15">
      <c r="B65" s="76" t="str" cm="1">
        <f t="array" ref="B65">"{{ "&amp;_xlfn.XLOOKUP(TRUE, EXACT(A65, find_replace!J:J), find_replace!I:I, "not found")&amp;" }}"</f>
        <v>{{  }}</v>
      </c>
    </row>
    <row r="66" spans="2:2" ht="15">
      <c r="B66" s="76" t="str" cm="1">
        <f t="array" ref="B66">"{{ "&amp;_xlfn.XLOOKUP(TRUE, EXACT(A66,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election activeCell="F12" sqref="F12"/>
    </sheetView>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1747</v>
      </c>
      <c r="B1" s="5" t="s">
        <v>428</v>
      </c>
      <c r="C1" s="38" t="s">
        <v>1746</v>
      </c>
      <c r="D1" s="19" t="s">
        <v>347</v>
      </c>
      <c r="E1" s="22" t="s">
        <v>1747</v>
      </c>
      <c r="F1" s="22" t="s">
        <v>1746</v>
      </c>
      <c r="G1" s="22" t="s">
        <v>1746</v>
      </c>
      <c r="H1" s="38" t="s">
        <v>1746</v>
      </c>
    </row>
    <row r="2" spans="1:10" ht="15">
      <c r="A2" s="6" t="s">
        <v>1745</v>
      </c>
      <c r="B2" s="38" t="s">
        <v>430</v>
      </c>
      <c r="C2" t="s">
        <v>1208</v>
      </c>
      <c r="D2" s="38" t="s">
        <v>303</v>
      </c>
      <c r="E2" s="8" t="s">
        <v>672</v>
      </c>
      <c r="F2" s="22" t="str">
        <f t="shared" ref="F2:F47" si="0">". "&amp;E2</f>
        <v>. Adult</v>
      </c>
      <c r="G2" s="21" t="str">
        <f t="shared" ref="G2:G47" si="1">E2&amp;"."</f>
        <v>Adult.</v>
      </c>
      <c r="H2" s="38" t="str">
        <f t="shared" ref="H2:H47" si="2">"{{ "&amp;C2&amp;"_"&amp;D2&amp;" }}"&amp;"."</f>
        <v>{{ tu_age_class_adult }}.</v>
      </c>
      <c r="I2" t="str">
        <f t="shared" ref="I2:I21" si="3">PROPER(G2)</f>
        <v>Adult.</v>
      </c>
      <c r="J2" t="str">
        <f t="shared" ref="J2:J21" si="4">"{{ tu_"&amp;D2&amp;" }}"&amp;"."</f>
        <v>{{ tu_age_class_adult }}.</v>
      </c>
    </row>
    <row r="3" spans="1:10" ht="15">
      <c r="A3" s="6" t="s">
        <v>1745</v>
      </c>
      <c r="B3" s="38" t="s">
        <v>430</v>
      </c>
      <c r="C3" t="s">
        <v>1208</v>
      </c>
      <c r="D3" s="38" t="s">
        <v>280</v>
      </c>
      <c r="E3" s="8" t="s">
        <v>673</v>
      </c>
      <c r="F3" s="22" t="str">
        <f t="shared" si="0"/>
        <v>. Juvenile</v>
      </c>
      <c r="G3" s="21" t="str">
        <f t="shared" si="1"/>
        <v>Juvenile.</v>
      </c>
      <c r="H3" s="38" t="str">
        <f t="shared" si="2"/>
        <v>{{ tu_age_class_juvenile }}.</v>
      </c>
      <c r="I3" t="str">
        <f t="shared" si="3"/>
        <v>Juvenile.</v>
      </c>
      <c r="J3" t="str">
        <f t="shared" si="4"/>
        <v>{{ tu_age_class_juvenile }}.</v>
      </c>
    </row>
    <row r="4" spans="1:10" ht="15">
      <c r="A4" s="6" t="s">
        <v>1745</v>
      </c>
      <c r="B4" s="38" t="s">
        <v>430</v>
      </c>
      <c r="C4" t="s">
        <v>1208</v>
      </c>
      <c r="D4" s="38" t="s">
        <v>243</v>
      </c>
      <c r="E4" s="8" t="s">
        <v>674</v>
      </c>
      <c r="F4" s="22" t="str">
        <f t="shared" si="0"/>
        <v>. Subadult</v>
      </c>
      <c r="G4" s="21" t="str">
        <f t="shared" si="1"/>
        <v>Subadult.</v>
      </c>
      <c r="H4" s="38" t="str">
        <f t="shared" si="2"/>
        <v>{{ tu_age_class_subadult }}.</v>
      </c>
      <c r="I4" t="str">
        <f t="shared" si="3"/>
        <v>Subadult.</v>
      </c>
      <c r="J4" t="str">
        <f t="shared" si="4"/>
        <v>{{ tu_age_class_subadult }}.</v>
      </c>
    </row>
    <row r="5" spans="1:10" ht="15">
      <c r="A5" s="6" t="s">
        <v>1745</v>
      </c>
      <c r="B5" s="38" t="s">
        <v>429</v>
      </c>
      <c r="C5" t="s">
        <v>1208</v>
      </c>
      <c r="D5" s="38" t="s">
        <v>300</v>
      </c>
      <c r="E5" s="8" t="s">
        <v>677</v>
      </c>
      <c r="F5" s="22" t="str">
        <f t="shared" si="0"/>
        <v>. Analyst</v>
      </c>
      <c r="G5" s="21" t="str">
        <f t="shared" si="1"/>
        <v>Analyst.</v>
      </c>
      <c r="H5" s="38" t="str">
        <f t="shared" si="2"/>
        <v>{{ tu_analyst }}.</v>
      </c>
      <c r="I5" t="str">
        <f t="shared" si="3"/>
        <v>Analyst.</v>
      </c>
      <c r="J5" t="str">
        <f t="shared" si="4"/>
        <v>{{ tu_analyst }}.</v>
      </c>
    </row>
    <row r="6" spans="1:10">
      <c r="A6" s="6" t="s">
        <v>1745</v>
      </c>
      <c r="B6" s="38" t="s">
        <v>0</v>
      </c>
      <c r="C6" s="38" t="s">
        <v>1207</v>
      </c>
      <c r="D6" s="38" t="s">
        <v>234</v>
      </c>
      <c r="E6" s="21" t="s">
        <v>903</v>
      </c>
      <c r="F6" s="22" t="str">
        <f t="shared" si="0"/>
        <v>. bait</v>
      </c>
      <c r="G6" s="21" t="str">
        <f t="shared" si="1"/>
        <v>bait.</v>
      </c>
      <c r="H6" s="38" t="str">
        <f t="shared" si="2"/>
        <v>{{ tl_baitlure_bait }}.</v>
      </c>
      <c r="I6" t="str">
        <f t="shared" si="3"/>
        <v>Bait.</v>
      </c>
      <c r="J6" t="str">
        <f t="shared" si="4"/>
        <v>{{ tu_baitlure_bait }}.</v>
      </c>
    </row>
    <row r="7" spans="1:10">
      <c r="A7" s="6" t="s">
        <v>1745</v>
      </c>
      <c r="B7" s="38" t="s">
        <v>0</v>
      </c>
      <c r="C7" t="s">
        <v>1208</v>
      </c>
      <c r="D7" s="38" t="s">
        <v>234</v>
      </c>
      <c r="E7" s="6" t="s">
        <v>235</v>
      </c>
      <c r="F7" s="22" t="str">
        <f t="shared" si="0"/>
        <v>. Bait</v>
      </c>
      <c r="G7" s="21" t="str">
        <f t="shared" si="1"/>
        <v>Bait.</v>
      </c>
      <c r="H7" s="38" t="str">
        <f t="shared" si="2"/>
        <v>{{ tu_baitlure_bait }}.</v>
      </c>
      <c r="I7" t="str">
        <f t="shared" si="3"/>
        <v>Bait.</v>
      </c>
      <c r="J7" t="str">
        <f t="shared" si="4"/>
        <v>{{ tu_baitlure_bait }}.</v>
      </c>
    </row>
    <row r="8" spans="1:10">
      <c r="A8" s="6" t="s">
        <v>1745</v>
      </c>
      <c r="B8" s="38" t="s">
        <v>0</v>
      </c>
      <c r="C8" s="38" t="s">
        <v>1207</v>
      </c>
      <c r="D8" s="38" t="s">
        <v>161</v>
      </c>
      <c r="E8" s="21" t="s">
        <v>935</v>
      </c>
      <c r="F8" s="22" t="str">
        <f t="shared" si="0"/>
        <v>. lure</v>
      </c>
      <c r="G8" s="21" t="str">
        <f t="shared" si="1"/>
        <v>lure.</v>
      </c>
      <c r="H8" s="38" t="str">
        <f t="shared" si="2"/>
        <v>{{ tl_baitlure_lure }}.</v>
      </c>
      <c r="I8" t="str">
        <f t="shared" si="3"/>
        <v>Lure.</v>
      </c>
      <c r="J8" t="str">
        <f t="shared" si="4"/>
        <v>{{ tu_baitlure_lure }}.</v>
      </c>
    </row>
    <row r="9" spans="1:10">
      <c r="A9" s="6" t="s">
        <v>1745</v>
      </c>
      <c r="B9" s="38" t="s">
        <v>0</v>
      </c>
      <c r="C9" t="s">
        <v>1208</v>
      </c>
      <c r="D9" s="38" t="s">
        <v>161</v>
      </c>
      <c r="E9" s="38" t="s">
        <v>162</v>
      </c>
      <c r="F9" s="22" t="str">
        <f t="shared" si="0"/>
        <v>. Lure</v>
      </c>
      <c r="G9" s="21" t="str">
        <f t="shared" si="1"/>
        <v>Lure.</v>
      </c>
      <c r="H9" s="38" t="str">
        <f t="shared" si="2"/>
        <v>{{ tu_baitlure_lure }}.</v>
      </c>
      <c r="I9" t="str">
        <f t="shared" si="3"/>
        <v>Lure.</v>
      </c>
      <c r="J9" t="str">
        <f t="shared" si="4"/>
        <v>{{ tu_baitlure_lure }}.</v>
      </c>
    </row>
    <row r="10" spans="1:10">
      <c r="A10" s="6" t="s">
        <v>1745</v>
      </c>
      <c r="B10" s="38" t="s">
        <v>429</v>
      </c>
      <c r="C10" s="38" t="s">
        <v>1207</v>
      </c>
      <c r="D10" s="38" t="s">
        <v>339</v>
      </c>
      <c r="E10" s="21" t="s">
        <v>339</v>
      </c>
      <c r="F10" s="22" t="str">
        <f t="shared" si="0"/>
        <v>. behaviour</v>
      </c>
      <c r="G10" s="21" t="str">
        <f t="shared" si="1"/>
        <v>behaviour.</v>
      </c>
      <c r="H10" s="38" t="str">
        <f t="shared" si="2"/>
        <v>{{ tl_behaviour }}.</v>
      </c>
      <c r="I10" t="str">
        <f t="shared" si="3"/>
        <v>Behaviour.</v>
      </c>
      <c r="J10" t="str">
        <f t="shared" si="4"/>
        <v>{{ tu_behaviour }}.</v>
      </c>
    </row>
    <row r="11" spans="1:10" ht="15">
      <c r="A11" s="6" t="s">
        <v>1745</v>
      </c>
      <c r="B11" s="38" t="s">
        <v>429</v>
      </c>
      <c r="C11" t="s">
        <v>1208</v>
      </c>
      <c r="D11" s="38" t="s">
        <v>339</v>
      </c>
      <c r="E11" s="25" t="s">
        <v>30</v>
      </c>
      <c r="F11" s="22" t="str">
        <f t="shared" si="0"/>
        <v>. Behaviour</v>
      </c>
      <c r="G11" s="21" t="str">
        <f t="shared" si="1"/>
        <v>Behaviour.</v>
      </c>
      <c r="H11" s="38" t="str">
        <f t="shared" si="2"/>
        <v>{{ tu_behaviour }}.</v>
      </c>
      <c r="I11" t="str">
        <f t="shared" si="3"/>
        <v>Behaviour.</v>
      </c>
      <c r="J11" t="str">
        <f t="shared" si="4"/>
        <v>{{ tu_behaviour }}.</v>
      </c>
    </row>
    <row r="12" spans="1:10">
      <c r="A12" s="6" t="s">
        <v>1745</v>
      </c>
      <c r="B12" s="38" t="s">
        <v>0</v>
      </c>
      <c r="C12" s="38" t="s">
        <v>1207</v>
      </c>
      <c r="D12" s="38" t="s">
        <v>220</v>
      </c>
      <c r="E12" s="21" t="s">
        <v>220</v>
      </c>
      <c r="F12" s="22" t="str">
        <f t="shared" si="0"/>
        <v>. crew</v>
      </c>
      <c r="G12" s="21" t="str">
        <f t="shared" si="1"/>
        <v>crew.</v>
      </c>
      <c r="H12" s="38" t="str">
        <f t="shared" si="2"/>
        <v>{{ tl_crew }}.</v>
      </c>
      <c r="I12" t="str">
        <f t="shared" si="3"/>
        <v>Crew.</v>
      </c>
      <c r="J12" t="str">
        <f t="shared" si="4"/>
        <v>{{ tu_crew }}.</v>
      </c>
    </row>
    <row r="13" spans="1:10">
      <c r="A13" s="6" t="s">
        <v>1745</v>
      </c>
      <c r="B13" s="38" t="s">
        <v>0</v>
      </c>
      <c r="C13" t="s">
        <v>1208</v>
      </c>
      <c r="D13" s="38" t="s">
        <v>220</v>
      </c>
      <c r="E13" s="38" t="s">
        <v>221</v>
      </c>
      <c r="F13" s="22" t="str">
        <f t="shared" si="0"/>
        <v>. Crew</v>
      </c>
      <c r="G13" s="21" t="str">
        <f t="shared" si="1"/>
        <v>Crew.</v>
      </c>
      <c r="H13" s="38" t="str">
        <f t="shared" si="2"/>
        <v>{{ tu_crew }}.</v>
      </c>
      <c r="I13" t="str">
        <f t="shared" si="3"/>
        <v>Crew.</v>
      </c>
      <c r="J13" t="str">
        <f t="shared" si="4"/>
        <v>{{ tu_crew }}.</v>
      </c>
    </row>
    <row r="14" spans="1:10">
      <c r="A14" s="6" t="s">
        <v>1745</v>
      </c>
      <c r="B14" s="38" t="s">
        <v>0</v>
      </c>
      <c r="C14" s="38" t="s">
        <v>1207</v>
      </c>
      <c r="D14" s="38" t="s">
        <v>518</v>
      </c>
      <c r="E14" s="22" t="s">
        <v>518</v>
      </c>
      <c r="F14" s="22" t="str">
        <f t="shared" si="0"/>
        <v>. density</v>
      </c>
      <c r="G14" s="21" t="str">
        <f t="shared" si="1"/>
        <v>density.</v>
      </c>
      <c r="H14" s="38" t="str">
        <f t="shared" si="2"/>
        <v>{{ tl_density }}.</v>
      </c>
      <c r="I14" t="str">
        <f t="shared" si="3"/>
        <v>Density.</v>
      </c>
      <c r="J14" t="str">
        <f t="shared" si="4"/>
        <v>{{ tu_density }}.</v>
      </c>
    </row>
    <row r="15" spans="1:10">
      <c r="A15" s="6" t="s">
        <v>1745</v>
      </c>
      <c r="B15" s="38" t="s">
        <v>0</v>
      </c>
      <c r="C15" t="s">
        <v>1208</v>
      </c>
      <c r="D15" s="38" t="s">
        <v>518</v>
      </c>
      <c r="E15" s="3" t="s">
        <v>527</v>
      </c>
      <c r="F15" s="22" t="str">
        <f t="shared" si="0"/>
        <v>. Density</v>
      </c>
      <c r="G15" s="21" t="str">
        <f t="shared" si="1"/>
        <v>Density.</v>
      </c>
      <c r="H15" s="38" t="str">
        <f t="shared" si="2"/>
        <v>{{ tu_density }}.</v>
      </c>
      <c r="I15" t="str">
        <f t="shared" si="3"/>
        <v>Density.</v>
      </c>
      <c r="J15" t="str">
        <f t="shared" si="4"/>
        <v>{{ tu_density }}.</v>
      </c>
    </row>
    <row r="16" spans="1:10">
      <c r="A16" s="6" t="s">
        <v>1745</v>
      </c>
      <c r="B16" s="38" t="s">
        <v>0</v>
      </c>
      <c r="C16" s="38" t="s">
        <v>1207</v>
      </c>
      <c r="D16" s="38" t="s">
        <v>216</v>
      </c>
      <c r="E16" s="21" t="s">
        <v>216</v>
      </c>
      <c r="F16" s="22" t="str">
        <f t="shared" si="0"/>
        <v>. deployment</v>
      </c>
      <c r="G16" s="21" t="str">
        <f t="shared" si="1"/>
        <v>deployment.</v>
      </c>
      <c r="H16" s="38" t="str">
        <f t="shared" si="2"/>
        <v>{{ tl_deployment }}.</v>
      </c>
      <c r="I16" t="str">
        <f t="shared" si="3"/>
        <v>Deployment.</v>
      </c>
      <c r="J16" t="str">
        <f t="shared" si="4"/>
        <v>{{ tu_deployment }}.</v>
      </c>
    </row>
    <row r="17" spans="1:10">
      <c r="A17" s="6" t="s">
        <v>1745</v>
      </c>
      <c r="B17" s="38" t="s">
        <v>0</v>
      </c>
      <c r="C17" t="s">
        <v>1208</v>
      </c>
      <c r="D17" s="38" t="s">
        <v>216</v>
      </c>
      <c r="E17" s="38" t="s">
        <v>217</v>
      </c>
      <c r="F17" s="22" t="str">
        <f t="shared" si="0"/>
        <v>. Deployment</v>
      </c>
      <c r="G17" s="21" t="str">
        <f t="shared" si="1"/>
        <v>Deployment.</v>
      </c>
      <c r="H17" s="38" t="str">
        <f t="shared" si="2"/>
        <v>{{ tu_deployment }}.</v>
      </c>
      <c r="I17" t="str">
        <f t="shared" si="3"/>
        <v>Deployment.</v>
      </c>
      <c r="J17" t="str">
        <f t="shared" si="4"/>
        <v>{{ tu_deployment }}.</v>
      </c>
    </row>
    <row r="18" spans="1:10">
      <c r="A18" s="6" t="s">
        <v>1745</v>
      </c>
      <c r="B18" s="38" t="s">
        <v>0</v>
      </c>
      <c r="C18" s="38" t="s">
        <v>1207</v>
      </c>
      <c r="D18" s="38" t="s">
        <v>66</v>
      </c>
      <c r="E18" s="21" t="s">
        <v>791</v>
      </c>
      <c r="F18" s="22" t="str">
        <f t="shared" si="0"/>
        <v>. viewshed</v>
      </c>
      <c r="G18" s="21" t="str">
        <f t="shared" si="1"/>
        <v>viewshed.</v>
      </c>
      <c r="H18" s="38" t="str">
        <f t="shared" si="2"/>
        <v>{{ tl_fov_viewshed }}.</v>
      </c>
      <c r="I18" t="str">
        <f t="shared" si="3"/>
        <v>Viewshed.</v>
      </c>
      <c r="J18" t="str">
        <f t="shared" si="4"/>
        <v>{{ tu_fov_viewshed }}.</v>
      </c>
    </row>
    <row r="19" spans="1:10">
      <c r="A19" s="6" t="s">
        <v>1745</v>
      </c>
      <c r="B19" s="38" t="s">
        <v>0</v>
      </c>
      <c r="C19" t="s">
        <v>1208</v>
      </c>
      <c r="D19" s="38" t="s">
        <v>66</v>
      </c>
      <c r="E19" s="6" t="s">
        <v>68</v>
      </c>
      <c r="F19" s="22" t="str">
        <f t="shared" si="0"/>
        <v>. Viewshed</v>
      </c>
      <c r="G19" s="21" t="str">
        <f t="shared" si="1"/>
        <v>Viewshed.</v>
      </c>
      <c r="H19" s="38" t="str">
        <f t="shared" si="2"/>
        <v>{{ tu_fov_viewshed }}.</v>
      </c>
      <c r="I19" t="str">
        <f t="shared" si="3"/>
        <v>Viewshed.</v>
      </c>
      <c r="J19" t="str">
        <f t="shared" si="4"/>
        <v>{{ tu_fov_viewshed }}.</v>
      </c>
    </row>
    <row r="20" spans="1:10">
      <c r="A20" s="6" t="s">
        <v>1745</v>
      </c>
      <c r="B20" s="38" t="s">
        <v>0</v>
      </c>
      <c r="C20" s="38" t="s">
        <v>1207</v>
      </c>
      <c r="D20" s="38" t="s">
        <v>183</v>
      </c>
      <c r="E20" s="21" t="s">
        <v>183</v>
      </c>
      <c r="F20" s="22" t="str">
        <f t="shared" si="0"/>
        <v>. image</v>
      </c>
      <c r="G20" s="21" t="str">
        <f t="shared" si="1"/>
        <v>image.</v>
      </c>
      <c r="H20" s="38" t="str">
        <f t="shared" si="2"/>
        <v>{{ tl_image }}.</v>
      </c>
      <c r="I20" t="str">
        <f t="shared" si="3"/>
        <v>Image.</v>
      </c>
      <c r="J20" t="str">
        <f t="shared" si="4"/>
        <v>{{ tu_image }}.</v>
      </c>
    </row>
    <row r="21" spans="1:10">
      <c r="A21" s="6" t="s">
        <v>1745</v>
      </c>
      <c r="B21" s="38" t="s">
        <v>0</v>
      </c>
      <c r="C21" t="s">
        <v>1208</v>
      </c>
      <c r="D21" s="38" t="s">
        <v>183</v>
      </c>
      <c r="E21" s="38" t="s">
        <v>184</v>
      </c>
      <c r="F21" s="22" t="str">
        <f t="shared" si="0"/>
        <v>. Image</v>
      </c>
      <c r="G21" s="21" t="str">
        <f t="shared" si="1"/>
        <v>Image.</v>
      </c>
      <c r="H21" s="38" t="str">
        <f t="shared" si="2"/>
        <v>{{ tu_image }}.</v>
      </c>
      <c r="I21" t="str">
        <f t="shared" si="3"/>
        <v>Image.</v>
      </c>
      <c r="J21" t="str">
        <f t="shared" si="4"/>
        <v>{{ tu_image }}.</v>
      </c>
    </row>
    <row r="22" spans="1:10">
      <c r="A22" s="6" t="s">
        <v>1745</v>
      </c>
      <c r="B22" s="38" t="s">
        <v>0</v>
      </c>
      <c r="C22" s="38" t="s">
        <v>1207</v>
      </c>
      <c r="D22" s="38" t="s">
        <v>155</v>
      </c>
      <c r="E22" s="21" t="s">
        <v>155</v>
      </c>
      <c r="F22" s="22" t="str">
        <f t="shared" si="0"/>
        <v>. metadata</v>
      </c>
      <c r="G22" s="21" t="str">
        <f t="shared" si="1"/>
        <v>metadata.</v>
      </c>
      <c r="H22" s="38" t="str">
        <f t="shared" si="2"/>
        <v>{{ tl_metadata }}.</v>
      </c>
    </row>
    <row r="23" spans="1:10">
      <c r="A23" s="6" t="s">
        <v>1745</v>
      </c>
      <c r="B23" s="38" t="s">
        <v>0</v>
      </c>
      <c r="C23" t="s">
        <v>1208</v>
      </c>
      <c r="D23" s="38" t="s">
        <v>155</v>
      </c>
      <c r="E23" s="38" t="s">
        <v>157</v>
      </c>
      <c r="F23" s="22" t="str">
        <f t="shared" si="0"/>
        <v>. Metadata</v>
      </c>
      <c r="G23" s="21" t="str">
        <f t="shared" si="1"/>
        <v>Metadata.</v>
      </c>
      <c r="H23" s="38" t="str">
        <f t="shared" si="2"/>
        <v>{{ tu_metadata }}.</v>
      </c>
    </row>
    <row r="24" spans="1:10">
      <c r="A24" s="6" t="s">
        <v>1745</v>
      </c>
      <c r="B24" s="38" t="s">
        <v>0</v>
      </c>
      <c r="C24" s="38" t="s">
        <v>1207</v>
      </c>
      <c r="D24" s="38" t="s">
        <v>38</v>
      </c>
      <c r="E24" s="21" t="s">
        <v>933</v>
      </c>
      <c r="F24" s="22" t="str">
        <f t="shared" si="0"/>
        <v>. inventory</v>
      </c>
      <c r="G24" s="21" t="str">
        <f t="shared" si="1"/>
        <v>inventory.</v>
      </c>
      <c r="H24" s="38" t="str">
        <f t="shared" si="2"/>
        <v>{{ tl_mod_inventory }}.</v>
      </c>
    </row>
    <row r="25" spans="1:10">
      <c r="A25" s="6" t="s">
        <v>1745</v>
      </c>
      <c r="B25" s="38" t="s">
        <v>0</v>
      </c>
      <c r="C25" t="s">
        <v>1208</v>
      </c>
      <c r="D25" s="38" t="s">
        <v>38</v>
      </c>
      <c r="E25" s="38" t="s">
        <v>163</v>
      </c>
      <c r="F25" s="22" t="str">
        <f t="shared" si="0"/>
        <v>. Inventory</v>
      </c>
      <c r="G25" s="21" t="str">
        <f t="shared" si="1"/>
        <v>Inventory.</v>
      </c>
      <c r="H25" s="38" t="str">
        <f t="shared" si="2"/>
        <v>{{ tu_mod_inventory }}.</v>
      </c>
    </row>
    <row r="26" spans="1:10">
      <c r="A26" s="6" t="s">
        <v>1745</v>
      </c>
      <c r="B26" s="38" t="s">
        <v>0</v>
      </c>
      <c r="C26" s="38" t="s">
        <v>1207</v>
      </c>
      <c r="D26" s="38" t="s">
        <v>460</v>
      </c>
      <c r="E26" s="21" t="s">
        <v>464</v>
      </c>
      <c r="F26" s="22" t="str">
        <f t="shared" si="0"/>
        <v>. overdispersion</v>
      </c>
      <c r="G26" s="21" t="str">
        <f t="shared" si="1"/>
        <v>overdispersion.</v>
      </c>
      <c r="H26" s="38" t="str">
        <f t="shared" si="2"/>
        <v>{{ tl_mod_overdispersion }}.</v>
      </c>
    </row>
    <row r="27" spans="1:10">
      <c r="A27" s="6" t="s">
        <v>1745</v>
      </c>
      <c r="B27" s="38" t="s">
        <v>0</v>
      </c>
      <c r="C27" t="s">
        <v>1208</v>
      </c>
      <c r="D27" s="38" t="s">
        <v>460</v>
      </c>
      <c r="E27" s="6" t="s">
        <v>146</v>
      </c>
      <c r="F27" s="22" t="str">
        <f t="shared" si="0"/>
        <v>. Overdispersion</v>
      </c>
      <c r="G27" s="21" t="str">
        <f t="shared" si="1"/>
        <v>Overdispersion.</v>
      </c>
      <c r="H27" s="38" t="str">
        <f t="shared" si="2"/>
        <v>{{ tu_mod_overdispersion }}.</v>
      </c>
    </row>
    <row r="28" spans="1:10">
      <c r="A28" s="6" t="s">
        <v>1745</v>
      </c>
      <c r="B28" s="38" t="s">
        <v>0</v>
      </c>
      <c r="C28" s="38" t="s">
        <v>1207</v>
      </c>
      <c r="D28" s="38" t="s">
        <v>47</v>
      </c>
      <c r="E28" s="21" t="s">
        <v>149</v>
      </c>
      <c r="F28" s="22" t="str">
        <f t="shared" si="0"/>
        <v>. occupancy</v>
      </c>
      <c r="G28" s="21" t="str">
        <f t="shared" si="1"/>
        <v>occupancy.</v>
      </c>
      <c r="H28" s="38" t="str">
        <f t="shared" si="2"/>
        <v>{{ tl_obj_occupancy }}.</v>
      </c>
    </row>
    <row r="29" spans="1:10">
      <c r="A29" s="6" t="s">
        <v>1745</v>
      </c>
      <c r="B29" s="38" t="s">
        <v>0</v>
      </c>
      <c r="C29" t="s">
        <v>1208</v>
      </c>
      <c r="D29" s="38" t="s">
        <v>47</v>
      </c>
      <c r="E29" s="38" t="s">
        <v>46</v>
      </c>
      <c r="F29" s="22" t="str">
        <f t="shared" si="0"/>
        <v>. Occupancy</v>
      </c>
      <c r="G29" s="21" t="str">
        <f t="shared" si="1"/>
        <v>Occupancy.</v>
      </c>
      <c r="H29" s="38" t="str">
        <f t="shared" si="2"/>
        <v>{{ tu_obj_occupancy }}.</v>
      </c>
    </row>
    <row r="30" spans="1:10">
      <c r="A30" s="6" t="s">
        <v>1745</v>
      </c>
      <c r="B30" s="38" t="s">
        <v>0</v>
      </c>
      <c r="C30" s="38" t="s">
        <v>1207</v>
      </c>
      <c r="D30" s="38" t="s">
        <v>139</v>
      </c>
      <c r="E30" s="21" t="s">
        <v>139</v>
      </c>
      <c r="F30" s="22" t="str">
        <f t="shared" si="0"/>
        <v>. project</v>
      </c>
      <c r="G30" s="21" t="str">
        <f t="shared" si="1"/>
        <v>project.</v>
      </c>
      <c r="H30" s="38" t="str">
        <f t="shared" si="2"/>
        <v>{{ tl_project }}.</v>
      </c>
    </row>
    <row r="31" spans="1:10">
      <c r="A31" s="6" t="s">
        <v>1745</v>
      </c>
      <c r="B31" s="38" t="s">
        <v>0</v>
      </c>
      <c r="C31" t="s">
        <v>1208</v>
      </c>
      <c r="D31" s="38" t="s">
        <v>139</v>
      </c>
      <c r="E31" s="38" t="s">
        <v>140</v>
      </c>
      <c r="F31" s="22" t="str">
        <f t="shared" si="0"/>
        <v>. Project</v>
      </c>
      <c r="G31" s="21" t="str">
        <f t="shared" si="1"/>
        <v>Project.</v>
      </c>
      <c r="H31" s="38" t="str">
        <f t="shared" si="2"/>
        <v>{{ tu_project }}.</v>
      </c>
    </row>
    <row r="32" spans="1:10">
      <c r="A32" s="6" t="s">
        <v>1745</v>
      </c>
      <c r="B32" s="38" t="s">
        <v>0</v>
      </c>
      <c r="C32" s="38" t="s">
        <v>1207</v>
      </c>
      <c r="D32" s="38" t="s">
        <v>136</v>
      </c>
      <c r="E32" s="21" t="s">
        <v>136</v>
      </c>
      <c r="F32" s="22" t="str">
        <f t="shared" si="0"/>
        <v>. pseudoreplication</v>
      </c>
      <c r="G32" s="21" t="str">
        <f t="shared" si="1"/>
        <v>pseudoreplication.</v>
      </c>
      <c r="H32" s="38" t="str">
        <f t="shared" si="2"/>
        <v>{{ tl_pseudoreplication }}.</v>
      </c>
    </row>
    <row r="33" spans="1:8">
      <c r="A33" s="6" t="s">
        <v>1745</v>
      </c>
      <c r="B33" s="38" t="s">
        <v>0</v>
      </c>
      <c r="C33" t="s">
        <v>1208</v>
      </c>
      <c r="D33" s="38" t="s">
        <v>136</v>
      </c>
      <c r="E33" s="38" t="s">
        <v>138</v>
      </c>
      <c r="F33" s="22" t="str">
        <f t="shared" si="0"/>
        <v>. Pseudoreplication</v>
      </c>
      <c r="G33" s="21" t="str">
        <f t="shared" si="1"/>
        <v>Pseudoreplication.</v>
      </c>
      <c r="H33" s="38" t="str">
        <f t="shared" si="2"/>
        <v>{{ tu_pseudoreplication }}.</v>
      </c>
    </row>
    <row r="34" spans="1:8" ht="15">
      <c r="A34" s="6" t="s">
        <v>1745</v>
      </c>
      <c r="B34" s="38" t="s">
        <v>429</v>
      </c>
      <c r="C34" t="s">
        <v>1208</v>
      </c>
      <c r="D34" s="38" t="s">
        <v>318</v>
      </c>
      <c r="E34" s="8" t="s">
        <v>756</v>
      </c>
      <c r="F34" s="22" t="str">
        <f t="shared" si="0"/>
        <v>. Security</v>
      </c>
      <c r="G34" s="21" t="str">
        <f t="shared" si="1"/>
        <v>Security.</v>
      </c>
      <c r="H34" s="38" t="str">
        <f t="shared" si="2"/>
        <v>{{ tu_security }}.</v>
      </c>
    </row>
    <row r="35" spans="1:8">
      <c r="A35" s="6" t="s">
        <v>1745</v>
      </c>
      <c r="B35" s="38" t="s">
        <v>0</v>
      </c>
      <c r="C35" s="38" t="s">
        <v>1207</v>
      </c>
      <c r="D35" s="38" t="s">
        <v>118</v>
      </c>
      <c r="E35" s="21" t="s">
        <v>118</v>
      </c>
      <c r="F35" s="22" t="str">
        <f t="shared" si="0"/>
        <v>. sequence</v>
      </c>
      <c r="G35" s="21" t="str">
        <f t="shared" si="1"/>
        <v>sequence.</v>
      </c>
      <c r="H35" s="38" t="str">
        <f t="shared" si="2"/>
        <v>{{ tl_sequence }}.</v>
      </c>
    </row>
    <row r="36" spans="1:8">
      <c r="A36" s="6" t="s">
        <v>1745</v>
      </c>
      <c r="B36" s="38" t="s">
        <v>0</v>
      </c>
      <c r="C36" t="s">
        <v>1208</v>
      </c>
      <c r="D36" s="38" t="s">
        <v>118</v>
      </c>
      <c r="E36" s="38" t="s">
        <v>119</v>
      </c>
      <c r="F36" s="22" t="str">
        <f t="shared" si="0"/>
        <v>. Sequence</v>
      </c>
      <c r="G36" s="21" t="str">
        <f t="shared" si="1"/>
        <v>Sequence.</v>
      </c>
      <c r="H36" s="38" t="str">
        <f t="shared" si="2"/>
        <v>{{ tu_sequence }}.</v>
      </c>
    </row>
    <row r="37" spans="1:8" ht="15">
      <c r="A37" s="6" t="s">
        <v>1745</v>
      </c>
      <c r="B37" s="38" t="s">
        <v>429</v>
      </c>
      <c r="C37" t="s">
        <v>1208</v>
      </c>
      <c r="D37" s="38" t="s">
        <v>253</v>
      </c>
      <c r="E37" s="8" t="s">
        <v>644</v>
      </c>
      <c r="F37" s="22" t="str">
        <f t="shared" si="0"/>
        <v>. Species</v>
      </c>
      <c r="G37" s="21" t="str">
        <f t="shared" si="1"/>
        <v>Species.</v>
      </c>
      <c r="H37" s="38" t="str">
        <f t="shared" si="2"/>
        <v>{{ tu_species }}.</v>
      </c>
    </row>
    <row r="38" spans="1:8">
      <c r="A38" s="6" t="s">
        <v>1745</v>
      </c>
      <c r="B38" s="38" t="s">
        <v>0</v>
      </c>
      <c r="C38" s="38" t="s">
        <v>1207</v>
      </c>
      <c r="D38" s="38" t="s">
        <v>765</v>
      </c>
      <c r="E38" s="21" t="s">
        <v>765</v>
      </c>
      <c r="F38" s="22" t="str">
        <f t="shared" si="0"/>
        <v>. strata</v>
      </c>
      <c r="G38" s="21" t="str">
        <f t="shared" si="1"/>
        <v>strata.</v>
      </c>
      <c r="H38" s="38" t="str">
        <f t="shared" si="2"/>
        <v>{{ tl_strata }}.</v>
      </c>
    </row>
    <row r="39" spans="1:8" ht="15">
      <c r="A39" s="6" t="s">
        <v>1745</v>
      </c>
      <c r="B39" s="38" t="s">
        <v>0</v>
      </c>
      <c r="C39" t="s">
        <v>1208</v>
      </c>
      <c r="D39" s="38" t="s">
        <v>765</v>
      </c>
      <c r="E39" s="8" t="s">
        <v>766</v>
      </c>
      <c r="F39" s="22" t="str">
        <f t="shared" si="0"/>
        <v>. Strata</v>
      </c>
      <c r="G39" s="21" t="str">
        <f t="shared" si="1"/>
        <v>Strata.</v>
      </c>
      <c r="H39" s="38" t="str">
        <f t="shared" si="2"/>
        <v>{{ tu_strata }}.</v>
      </c>
    </row>
    <row r="40" spans="1:8">
      <c r="A40" s="6" t="s">
        <v>1745</v>
      </c>
      <c r="B40" s="38" t="s">
        <v>0</v>
      </c>
      <c r="C40" s="38" t="s">
        <v>1207</v>
      </c>
      <c r="D40" s="38" t="s">
        <v>513</v>
      </c>
      <c r="E40" s="21" t="s">
        <v>513</v>
      </c>
      <c r="F40" s="22" t="str">
        <f t="shared" si="0"/>
        <v>. survey</v>
      </c>
      <c r="G40" s="21" t="str">
        <f t="shared" si="1"/>
        <v>survey.</v>
      </c>
      <c r="H40" s="38" t="str">
        <f t="shared" si="2"/>
        <v>{{ tl_survey }}.</v>
      </c>
    </row>
    <row r="41" spans="1:8">
      <c r="A41" s="6" t="s">
        <v>1745</v>
      </c>
      <c r="B41" s="38" t="s">
        <v>0</v>
      </c>
      <c r="C41" t="s">
        <v>1208</v>
      </c>
      <c r="D41" s="38" t="s">
        <v>513</v>
      </c>
      <c r="E41" s="38" t="s">
        <v>528</v>
      </c>
      <c r="F41" s="22" t="str">
        <f t="shared" si="0"/>
        <v>. Survey</v>
      </c>
      <c r="G41" s="21" t="str">
        <f t="shared" si="1"/>
        <v>Survey.</v>
      </c>
      <c r="H41" s="38" t="str">
        <f t="shared" si="2"/>
        <v>{{ tu_survey }}.</v>
      </c>
    </row>
    <row r="42" spans="1:8">
      <c r="A42" s="6" t="s">
        <v>1745</v>
      </c>
      <c r="B42" s="38" t="s">
        <v>429</v>
      </c>
      <c r="C42" s="38" t="s">
        <v>1207</v>
      </c>
      <c r="D42" s="38" t="s">
        <v>241</v>
      </c>
      <c r="E42" s="6" t="s">
        <v>241</v>
      </c>
      <c r="F42" s="22" t="str">
        <f t="shared" si="0"/>
        <v>. tag</v>
      </c>
      <c r="G42" s="21" t="str">
        <f t="shared" si="1"/>
        <v>tag.</v>
      </c>
      <c r="H42" s="38" t="str">
        <f t="shared" si="2"/>
        <v>{{ tl_tag }}.</v>
      </c>
    </row>
    <row r="43" spans="1:8" ht="15">
      <c r="A43" s="6" t="s">
        <v>1745</v>
      </c>
      <c r="B43" s="38" t="s">
        <v>429</v>
      </c>
      <c r="C43" t="s">
        <v>1208</v>
      </c>
      <c r="D43" s="38" t="s">
        <v>241</v>
      </c>
      <c r="E43" s="8" t="s">
        <v>728</v>
      </c>
      <c r="F43" s="22" t="str">
        <f t="shared" si="0"/>
        <v>. Tag</v>
      </c>
      <c r="G43" s="21" t="str">
        <f t="shared" si="1"/>
        <v>Tag.</v>
      </c>
      <c r="H43" s="38" t="str">
        <f t="shared" si="2"/>
        <v>{{ tu_tag }}.</v>
      </c>
    </row>
    <row r="44" spans="1:8">
      <c r="A44" s="6" t="s">
        <v>1745</v>
      </c>
      <c r="B44" s="38" t="s">
        <v>0</v>
      </c>
      <c r="C44" s="38" t="s">
        <v>1207</v>
      </c>
      <c r="D44" s="38" t="s">
        <v>63</v>
      </c>
      <c r="E44" s="21" t="s">
        <v>63</v>
      </c>
      <c r="F44" s="22" t="str">
        <f t="shared" si="0"/>
        <v>. visit</v>
      </c>
      <c r="G44" s="21" t="str">
        <f t="shared" si="1"/>
        <v>visit.</v>
      </c>
      <c r="H44" s="38" t="str">
        <f t="shared" si="2"/>
        <v>{{ tl_visit }}.</v>
      </c>
    </row>
    <row r="45" spans="1:8">
      <c r="A45" s="6" t="s">
        <v>1745</v>
      </c>
      <c r="B45" s="38" t="s">
        <v>0</v>
      </c>
      <c r="C45" t="s">
        <v>1208</v>
      </c>
      <c r="D45" s="38" t="s">
        <v>63</v>
      </c>
      <c r="E45" s="38" t="s">
        <v>65</v>
      </c>
      <c r="F45" s="22" t="str">
        <f t="shared" si="0"/>
        <v>. Visit</v>
      </c>
      <c r="G45" s="21" t="str">
        <f t="shared" si="1"/>
        <v>Visit.</v>
      </c>
      <c r="H45" s="38" t="str">
        <f t="shared" si="2"/>
        <v>{{ tu_visit }}.</v>
      </c>
    </row>
    <row r="46" spans="1:8">
      <c r="A46" s="6" t="s">
        <v>1745</v>
      </c>
      <c r="B46" s="38" t="s">
        <v>0</v>
      </c>
      <c r="C46" s="38" t="s">
        <v>1207</v>
      </c>
      <c r="D46" s="38" t="s">
        <v>56</v>
      </c>
      <c r="E46" s="21" t="s">
        <v>56</v>
      </c>
      <c r="F46" s="22" t="str">
        <f t="shared" si="0"/>
        <v>. walktest</v>
      </c>
      <c r="G46" s="21" t="str">
        <f t="shared" si="1"/>
        <v>walktest.</v>
      </c>
      <c r="H46" s="38" t="str">
        <f t="shared" si="2"/>
        <v>{{ tl_walktest }}.</v>
      </c>
    </row>
    <row r="47" spans="1:8">
      <c r="A47" s="6" t="s">
        <v>1745</v>
      </c>
      <c r="B47" s="38" t="s">
        <v>0</v>
      </c>
      <c r="C47" t="s">
        <v>1208</v>
      </c>
      <c r="D47" s="38" t="s">
        <v>56</v>
      </c>
      <c r="E47" s="38" t="s">
        <v>57</v>
      </c>
      <c r="F47" s="22" t="str">
        <f t="shared" si="0"/>
        <v>. Walktest</v>
      </c>
      <c r="G47" s="21" t="str">
        <f t="shared" si="1"/>
        <v>Walktest.</v>
      </c>
      <c r="H47" s="38" t="str">
        <f t="shared" si="2"/>
        <v>{{ tu_walktest }}.</v>
      </c>
    </row>
    <row r="48" spans="1:8">
      <c r="C48" s="38" t="s">
        <v>1207</v>
      </c>
      <c r="D48" s="19" t="s">
        <v>777</v>
      </c>
      <c r="E48" s="26" t="s">
        <v>777</v>
      </c>
    </row>
  </sheetData>
  <autoFilter ref="A1:H47" xr:uid="{6566AB39-DB87-419B-A2E5-3972991F2028}">
    <sortState xmlns:xlrd2="http://schemas.microsoft.com/office/spreadsheetml/2017/richdata2" ref="A2:H47">
      <sortCondition ref="D1:D47"/>
    </sortState>
  </autoFilter>
  <conditionalFormatting sqref="A1:B47">
    <cfRule type="containsText" dxfId="21" priority="3" operator="containsText" text="\">
      <formula>NOT(ISERROR(SEARCH("\",A1)))</formula>
    </cfRule>
    <cfRule type="containsText" dxfId="20" priority="4" operator="containsText" text="/">
      <formula>NOT(ISERROR(SEARCH("/",A1)))</formula>
    </cfRule>
  </conditionalFormatting>
  <conditionalFormatting sqref="B2:D47 C1:D1 E1:G47">
    <cfRule type="containsText" dxfId="19" priority="5" operator="containsText" text=" ">
      <formula>NOT(ISERROR(SEARCH(" ",B1)))</formula>
    </cfRule>
  </conditionalFormatting>
  <conditionalFormatting sqref="C48">
    <cfRule type="containsText" dxfId="18" priority="1" operator="containsText" text=" ">
      <formula>NOT(ISERROR(SEARCH(" ",C48)))</formula>
    </cfRule>
  </conditionalFormatting>
  <conditionalFormatting sqref="H1:H1048576">
    <cfRule type="duplicateValues" dxfId="17" priority="2"/>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5" tint="0.79998168889431442"/>
  </sheetPr>
  <dimension ref="A1:V501"/>
  <sheetViews>
    <sheetView tabSelected="1" zoomScale="95" zoomScaleNormal="95" workbookViewId="0">
      <pane ySplit="1" topLeftCell="A159" activePane="bottomLeft" state="frozen"/>
      <selection pane="bottomLeft" activeCell="H165" sqref="H165"/>
    </sheetView>
  </sheetViews>
  <sheetFormatPr defaultColWidth="9" defaultRowHeight="14.25"/>
  <cols>
    <col min="1" max="1" width="9" style="63"/>
    <col min="2" max="4" width="9" style="79" hidden="1" customWidth="1"/>
    <col min="5" max="5" width="16.125" style="63" customWidth="1"/>
    <col min="6" max="6" width="22.25" style="63" customWidth="1"/>
    <col min="7" max="7" width="32.625" style="63" customWidth="1"/>
    <col min="8" max="8" width="26.125" style="63" customWidth="1"/>
    <col min="9" max="9" width="9" style="63" customWidth="1"/>
    <col min="10" max="10" width="20.625" style="62" customWidth="1"/>
    <col min="11" max="11" width="4" style="81" customWidth="1"/>
    <col min="12" max="12" width="15.625" style="63" customWidth="1"/>
    <col min="13" max="13" width="25.125" style="63" customWidth="1"/>
    <col min="14" max="14" width="27.375" style="63" customWidth="1"/>
    <col min="15" max="15" width="20" style="63" customWidth="1"/>
    <col min="16" max="16" width="16.5" style="63" customWidth="1"/>
    <col min="17" max="17" width="30.625" style="63" customWidth="1"/>
    <col min="18" max="18" width="31.25" style="63" customWidth="1"/>
    <col min="19" max="19" width="59.75" style="63" customWidth="1"/>
    <col min="20" max="20" width="29" style="63" customWidth="1"/>
    <col min="21" max="21" width="34.375" style="63" customWidth="1"/>
    <col min="22" max="22" width="10.125" style="63" customWidth="1"/>
    <col min="23" max="16384" width="9" style="63"/>
  </cols>
  <sheetData>
    <row r="1" spans="1:22" s="1" customFormat="1" ht="15.75">
      <c r="A1" s="73" t="s">
        <v>3949</v>
      </c>
      <c r="B1" s="73" t="s">
        <v>512</v>
      </c>
      <c r="C1" s="73" t="s">
        <v>3948</v>
      </c>
      <c r="D1" s="73" t="s">
        <v>3947</v>
      </c>
      <c r="E1" s="73" t="s">
        <v>1210</v>
      </c>
      <c r="F1" s="73" t="s">
        <v>50</v>
      </c>
      <c r="G1" s="73" t="s">
        <v>3945</v>
      </c>
      <c r="H1" s="73" t="s">
        <v>3944</v>
      </c>
      <c r="I1" s="73" t="s">
        <v>3946</v>
      </c>
      <c r="J1" s="74" t="s">
        <v>3943</v>
      </c>
      <c r="K1" s="66" t="s">
        <v>3960</v>
      </c>
      <c r="L1" s="73" t="s">
        <v>3938</v>
      </c>
      <c r="M1" s="73" t="s">
        <v>6177</v>
      </c>
      <c r="N1" s="73" t="s">
        <v>4467</v>
      </c>
      <c r="O1" s="73" t="s">
        <v>3937</v>
      </c>
      <c r="P1" s="73" t="s">
        <v>511</v>
      </c>
      <c r="Q1" s="80" t="s">
        <v>3942</v>
      </c>
      <c r="R1" s="80" t="s">
        <v>3941</v>
      </c>
      <c r="S1" s="111" t="s">
        <v>4467</v>
      </c>
      <c r="T1" s="111" t="s">
        <v>3940</v>
      </c>
      <c r="U1" s="111" t="s">
        <v>3939</v>
      </c>
      <c r="V1" s="73" t="s">
        <v>3936</v>
      </c>
    </row>
    <row r="2" spans="1:22" ht="15.75">
      <c r="A2" s="64"/>
      <c r="B2" s="77"/>
      <c r="C2" s="77"/>
      <c r="D2" s="77"/>
      <c r="E2" s="64"/>
      <c r="F2" s="64" t="s">
        <v>2511</v>
      </c>
      <c r="G2" s="64" t="s">
        <v>2512</v>
      </c>
      <c r="H2" s="64"/>
      <c r="I2" s="64" t="b">
        <v>0</v>
      </c>
      <c r="J2" s="66" t="s">
        <v>984</v>
      </c>
      <c r="K2" s="66" t="s">
        <v>3960</v>
      </c>
      <c r="L2" s="66" t="s">
        <v>984</v>
      </c>
      <c r="M2" s="66" t="s">
        <v>984</v>
      </c>
      <c r="N2" s="65" t="s">
        <v>984</v>
      </c>
      <c r="O2" s="66" t="s">
        <v>984</v>
      </c>
      <c r="P2" s="64"/>
      <c r="Q2" s="64" t="str">
        <f t="shared" ref="Q2:Q65" si="0">"{{ rtxt_"&amp;F2&amp;" }}"</f>
        <v>{{ rtxt_rcsc_2024b }}</v>
      </c>
      <c r="R2" s="64" t="str">
        <f t="shared" ref="R2:R65" si="1">"{{ rbib_"&amp;F2&amp;" }}"</f>
        <v>{{ rbib_rcsc_2024b }}</v>
      </c>
      <c r="S2" s="63" t="str">
        <f t="shared" ref="S2:S16" si="2">M2&amp;IF(O2&lt;&gt;"-",("&lt;a href="&amp;""""&amp;O2&amp;""""&amp;" target="&amp;""""&amp;"_blank"&amp;""""&amp;"&gt;"&amp;O2&amp;"&lt;/a&gt;&lt;span style="&amp;""""&amp;"color:white"&amp;""""&amp;"&gt;[.]{#"&amp;F2&amp;"}&lt;/span&gt;&lt;br&gt;&lt;br&gt;"),"")</f>
        <v>-</v>
      </c>
      <c r="T2" s="64" t="str">
        <f>"    rtxt_"&amp;F2&amp;": "&amp;""""&amp;"&lt;a href=\"&amp;""""&amp;"/08_references.html#"&amp;F2&amp;"\"&amp;""""&amp;" target=\"&amp;""""&amp;"_blank\"&amp;""""&amp;"&gt;"&amp;G2&amp;"&lt;/a&gt;"&amp;""""</f>
        <v xml:space="preserve">    rtxt_rcsc_2024b: "&lt;a href=\"/08_references.html#rcsc_2024b\" target=\"_blank\"&gt;Alberta Remote Camera Steering Committee [RCSC], 2024b&lt;/a&gt;"</v>
      </c>
      <c r="U2" s="64" t="str">
        <f t="shared" ref="U2:U65" si="3">"    rbib_"&amp;F2&amp;": "&amp;""""&amp;J2&amp;""""</f>
        <v xml:space="preserve">    rbib_rcsc_2024b: "-"</v>
      </c>
      <c r="V2" s="66" t="s">
        <v>984</v>
      </c>
    </row>
    <row r="3" spans="1:22" ht="15.75">
      <c r="A3" s="64"/>
      <c r="B3" s="77" t="b">
        <v>0</v>
      </c>
      <c r="C3" s="77" t="b">
        <v>0</v>
      </c>
      <c r="D3" s="77" t="s">
        <v>1993</v>
      </c>
      <c r="E3" s="64" t="s">
        <v>1904</v>
      </c>
      <c r="F3" s="64" t="s">
        <v>3931</v>
      </c>
      <c r="G3" s="64" t="s">
        <v>3930</v>
      </c>
      <c r="H3" s="64" t="s">
        <v>3929</v>
      </c>
      <c r="I3" s="64" t="b">
        <v>1</v>
      </c>
      <c r="J3" s="66" t="s">
        <v>3928</v>
      </c>
      <c r="K3" s="66" t="s">
        <v>3960</v>
      </c>
      <c r="L3" s="64" t="s">
        <v>4308</v>
      </c>
      <c r="M3" s="64" t="s">
        <v>5876</v>
      </c>
      <c r="N3" s="65" t="str">
        <f t="shared" ref="N3:N34" si="4">"["&amp;L3&amp;"]{#"&amp;F3&amp;"}&lt;br&gt;&lt;br&gt;"</f>
        <v>[Abolaffio, M., Focardi, S., &amp; Santini, G. (2019). Avoiding misleading messages: Population assessment using camera trapping is not a simple task. &lt;i&gt;Journal of Animal Ecology, 88&lt;/i&gt;(12), 2011-2016. Medline. &lt;a target="_blank" href="https://doi.org/10.1111/1365-2656.13085"&gt;{https://doi.org/10.1111/1365-2656.13085}]{#abolaffio_et_al_2019}&lt;br&gt;&lt;br&gt;</v>
      </c>
      <c r="O3" s="64" t="s">
        <v>3927</v>
      </c>
      <c r="P3" s="64" t="s">
        <v>984</v>
      </c>
      <c r="Q3" s="64" t="str">
        <f t="shared" si="0"/>
        <v>{{ rtxt_abolaffio_et_al_2019 }}</v>
      </c>
      <c r="R3" s="64" t="str">
        <f t="shared" si="1"/>
        <v>{{ rbib_abolaffio_et_al_2019 }}</v>
      </c>
      <c r="S3" s="63" t="str">
        <f t="shared" si="2"/>
        <v>Abolaffio, M., Focardi, S., &amp; Santini, G. (2019). Avoiding misleading messages: Population assessment using camera trapping is not a simple task. &lt;i&gt;Journal of Animal Ecology, 88&lt;/i&gt;(12), 2011-2016. Medline.&lt;a href="https://doi.org/10.1111/1365-2656.13085" target="_blank"&gt;https://doi.org/10.1111/1365-2656.13085&lt;/a&gt;&lt;span style="color:white"&gt;[.]{#abolaffio_et_al_2019}&lt;/span&gt;&lt;br&gt;&lt;br&gt;</v>
      </c>
      <c r="T3" s="64" t="str">
        <f t="shared" ref="T3:T66" si="5">"    rtxt_"&amp;F3&amp;": "&amp;""""&amp;"&lt;a href=\"&amp;""""&amp;"/08_references.html#"&amp;F3&amp;"\"&amp;""""&amp;" target=\"&amp;""""&amp;"_blank\"&amp;""""&amp;"&gt;"&amp;G3&amp;"&lt;/a&gt;"&amp;""""</f>
        <v xml:space="preserve">    rtxt_abolaffio_et_al_2019: "&lt;a href=\"/08_references.html#abolaffio_et_al_2019\" target=\"_blank\"&gt;Abolaffio et al, 2019&lt;/a&gt;"</v>
      </c>
      <c r="U3" s="64" t="str">
        <f t="shared" si="3"/>
        <v xml:space="preserve">    rbib_abolaffio_et_al_2019: "Abolaffio, M., Focardi, S., &amp; Santini, G. (2019). Avoiding misleading messages: Population assessment using camera trapping is not a simple task. *Journal of Animal Ecology, 88*(12), 2011-2016. Medline. &lt;https://doi.org/10.1111/1365-2656.13085&gt;"</v>
      </c>
      <c r="V3" s="64"/>
    </row>
    <row r="4" spans="1:22" ht="15.75">
      <c r="A4" s="64"/>
      <c r="B4" s="77" t="b">
        <v>1</v>
      </c>
      <c r="C4" s="77" t="b">
        <v>1</v>
      </c>
      <c r="D4" s="77" t="b">
        <v>0</v>
      </c>
      <c r="E4" s="64" t="s">
        <v>1904</v>
      </c>
      <c r="F4" s="64" t="s">
        <v>3918</v>
      </c>
      <c r="G4" s="64" t="s">
        <v>3917</v>
      </c>
      <c r="H4" s="64" t="s">
        <v>3917</v>
      </c>
      <c r="I4" s="64" t="b">
        <v>1</v>
      </c>
      <c r="J4" s="66" t="s">
        <v>3916</v>
      </c>
      <c r="K4" s="66" t="s">
        <v>3960</v>
      </c>
      <c r="L4" s="64" t="s">
        <v>4309</v>
      </c>
      <c r="M4" s="64" t="s">
        <v>5840</v>
      </c>
      <c r="N4" s="65" t="str">
        <f t="shared" si="4"/>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href="https://doi.org/10.1017/s0376892919000298"&gt;{https://doi.org/10.1017/s0376892919000298}]{#ahumada_et_al_2019}&lt;br&gt;&lt;br&gt;</v>
      </c>
      <c r="O4" s="64" t="s">
        <v>3915</v>
      </c>
      <c r="P4" s="64" t="s">
        <v>984</v>
      </c>
      <c r="Q4" s="64" t="str">
        <f t="shared" si="0"/>
        <v>{{ rtxt_ahumada_et_al_2019 }}</v>
      </c>
      <c r="R4" s="64" t="str">
        <f t="shared" si="1"/>
        <v>{{ rbib_ahumada_et_al_2019 }}</v>
      </c>
      <c r="S4" s="63" t="str">
        <f t="shared" si="2"/>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1-6.&lt;a href="https://doi.org/10.1017/s0376892919000298" target="_blank"&gt;https://doi.org/10.1017/s0376892919000298&lt;/a&gt;&lt;span style="color:white"&gt;[.]{#ahumada_et_al_2019}&lt;/span&gt;&lt;br&gt;&lt;br&gt;</v>
      </c>
      <c r="T4" s="64" t="str">
        <f t="shared" si="5"/>
        <v xml:space="preserve">    rtxt_ahumada_et_al_2019: "&lt;a href=\"/08_references.html#ahumada_et_al_2019\" target=\"_blank\"&gt;Ahumada et al., 2019&lt;/a&gt;"</v>
      </c>
      <c r="U4" s="64" t="str">
        <f t="shared" si="3"/>
        <v xml:space="preserve">    rbib_ahumada_et_al_2019: "Ahumada,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v>
      </c>
      <c r="V4" s="64"/>
    </row>
    <row r="5" spans="1:22" ht="15.75">
      <c r="A5" s="64"/>
      <c r="B5" s="77" t="b">
        <v>1</v>
      </c>
      <c r="C5" s="77" t="b">
        <v>1</v>
      </c>
      <c r="D5" s="77" t="b">
        <v>1</v>
      </c>
      <c r="E5" s="64" t="s">
        <v>1904</v>
      </c>
      <c r="F5" s="64" t="s">
        <v>3922</v>
      </c>
      <c r="G5" s="64" t="s">
        <v>3921</v>
      </c>
      <c r="H5" s="64" t="s">
        <v>3921</v>
      </c>
      <c r="I5" s="64" t="b">
        <v>1</v>
      </c>
      <c r="J5" s="66" t="s">
        <v>3920</v>
      </c>
      <c r="K5" s="66" t="s">
        <v>3960</v>
      </c>
      <c r="L5" s="64" t="s">
        <v>4310</v>
      </c>
      <c r="M5" s="64" t="s">
        <v>5869</v>
      </c>
      <c r="N5" s="65" t="str">
        <f t="shared" si="4"/>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href="https://doi.org/10.1098/rstb.2011.0115"&gt;{https://doi.org/10.1098/rstb.2011.0115}]{#ahumada_et_al_2011}&lt;br&gt;&lt;br&gt;</v>
      </c>
      <c r="O5" s="64" t="s">
        <v>3919</v>
      </c>
      <c r="P5" s="64" t="s">
        <v>984</v>
      </c>
      <c r="Q5" s="64" t="str">
        <f t="shared" si="0"/>
        <v>{{ rtxt_ahumada_et_al_2011 }}</v>
      </c>
      <c r="R5" s="64" t="str">
        <f t="shared" si="1"/>
        <v>{{ rbib_ahumada_et_al_2011 }}</v>
      </c>
      <c r="S5" s="63" t="str">
        <f t="shared" si="2"/>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2703-2711.&lt;a href="https://doi.org/10.1098/rstb.2011.0115" target="_blank"&gt;https://doi.org/10.1098/rstb.2011.0115&lt;/a&gt;&lt;span style="color:white"&gt;[.]{#ahumada_et_al_2011}&lt;/span&gt;&lt;br&gt;&lt;br&gt;</v>
      </c>
      <c r="T5" s="64" t="str">
        <f t="shared" si="5"/>
        <v xml:space="preserve">    rtxt_ahumada_et_al_2011: "&lt;a href=\"/08_references.html#ahumada_et_al_2011\" target=\"_blank\"&gt;Ahumada et al., 2011&lt;/a&gt;"</v>
      </c>
      <c r="U5" s="64" t="str">
        <f t="shared" si="3"/>
        <v xml:space="preserve">    rbib_ahumada_et_al_2011: "Ahumada,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v>
      </c>
      <c r="V5" s="72"/>
    </row>
    <row r="6" spans="1:22" ht="15.75">
      <c r="A6" s="64"/>
      <c r="B6" s="77" t="b">
        <v>1</v>
      </c>
      <c r="C6" s="77" t="b">
        <v>0</v>
      </c>
      <c r="D6" s="77" t="b">
        <v>0</v>
      </c>
      <c r="E6" s="64" t="s">
        <v>2480</v>
      </c>
      <c r="F6" s="64" t="s">
        <v>3935</v>
      </c>
      <c r="G6" s="64" t="s">
        <v>3934</v>
      </c>
      <c r="H6" s="64" t="s">
        <v>3934</v>
      </c>
      <c r="I6" s="64" t="b">
        <v>1</v>
      </c>
      <c r="J6" s="66" t="s">
        <v>3933</v>
      </c>
      <c r="K6" s="66" t="s">
        <v>3960</v>
      </c>
      <c r="L6" s="64" t="s">
        <v>4311</v>
      </c>
      <c r="M6" s="64" t="s">
        <v>5688</v>
      </c>
      <c r="N6" s="65" t="str">
        <f t="shared" si="4"/>
        <v>[Alberta Biodiversity Monitoring Institute [ABMI] (2021). &lt;i&gt;Terrestrial ARU and Remote Camera Trap Protocols.&lt;/i&gt; Edmonton, Alberta. &lt;a target="_blank" href="https://abmi.ca/home/publications/551-600/599"&gt;{https://abmi.ca/home/publications/551-600/599}]{#abmi_2021}&lt;br&gt;&lt;br&gt;</v>
      </c>
      <c r="O6" s="64" t="s">
        <v>3932</v>
      </c>
      <c r="P6" s="64" t="s">
        <v>984</v>
      </c>
      <c r="Q6" s="64" t="str">
        <f t="shared" si="0"/>
        <v>{{ rtxt_abmi_2021 }}</v>
      </c>
      <c r="R6" s="64" t="str">
        <f t="shared" si="1"/>
        <v>{{ rbib_abmi_2021 }}</v>
      </c>
      <c r="S6" s="63" t="str">
        <f t="shared" si="2"/>
        <v>Alberta Biodiversity Monitoring Institute [ABMI] (2021). &lt;i&gt;Terrestrial ARU and Remote Camera Trap Protocols.&lt;/i&gt; Edmonton, Alberta.&lt;a href="https://abmi.ca/home/publications/551-600/599" target="_blank"&gt;https://abmi.ca/home/publications/551-600/599&lt;/a&gt;&lt;span style="color:white"&gt;[.]{#abmi_2021}&lt;/span&gt;&lt;br&gt;&lt;br&gt;</v>
      </c>
      <c r="T6" s="64" t="str">
        <f t="shared" si="5"/>
        <v xml:space="preserve">    rtxt_abmi_2021: "&lt;a href=\"/08_references.html#abmi_2021\" target=\"_blank\"&gt;Alberta Biodiversity Monitoring Institute [ABMI], 2021&lt;/a&gt;"</v>
      </c>
      <c r="U6" s="64" t="str">
        <f t="shared" si="3"/>
        <v xml:space="preserve">    rbib_abmi_2021: "Alberta Biodiversity Monitoring Institute [ABMI] (2021). *Terrestrial ARU and Remote Camera Trap Protocols.* Edmonton, Alberta. &lt;https://abmi.ca/home/publications/551-600/599&gt;"</v>
      </c>
      <c r="V6" s="64"/>
    </row>
    <row r="7" spans="1:22" ht="15.75">
      <c r="A7" s="64"/>
      <c r="B7" s="77"/>
      <c r="C7" s="77"/>
      <c r="D7" s="77"/>
      <c r="E7" s="64" t="s">
        <v>2480</v>
      </c>
      <c r="F7" s="64" t="s">
        <v>3926</v>
      </c>
      <c r="G7" s="64" t="s">
        <v>3925</v>
      </c>
      <c r="H7" s="64" t="s">
        <v>3925</v>
      </c>
      <c r="I7" s="64" t="b">
        <v>1</v>
      </c>
      <c r="J7" s="66" t="s">
        <v>3924</v>
      </c>
      <c r="K7" s="66" t="s">
        <v>3960</v>
      </c>
      <c r="L7" s="64" t="s">
        <v>4312</v>
      </c>
      <c r="M7" s="64" t="s">
        <v>6069</v>
      </c>
      <c r="N7" s="65" t="str">
        <f t="shared" si="4"/>
        <v>[Alberta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aep_2016}&lt;br&gt;&lt;br&gt;</v>
      </c>
      <c r="O7" s="64" t="s">
        <v>3923</v>
      </c>
      <c r="P7" s="64" t="s">
        <v>984</v>
      </c>
      <c r="Q7" s="64" t="str">
        <f t="shared" si="0"/>
        <v>{{ rtxt_aep_2016 }}</v>
      </c>
      <c r="R7" s="64" t="str">
        <f t="shared" si="1"/>
        <v>{{ rbib_aep_2016 }}</v>
      </c>
      <c r="S7" s="63" t="str">
        <f t="shared" si="2"/>
        <v>Alberta Environment and Parks. (2016). &lt;i&gt;Aerial Ungulate Surveys using Distance Sampling Techniques Protocol Manual.&lt;/i&gt;&lt;a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style="color:white"&gt;[.]{#aep_2016}&lt;/span&gt;&lt;br&gt;&lt;br&gt;</v>
      </c>
      <c r="T7" s="64" t="str">
        <f t="shared" si="5"/>
        <v xml:space="preserve">    rtxt_aep_2016: "&lt;a href=\"/08_references.html#aep_2016\" target=\"_blank\"&gt;Alberta Environment and Parks, 2016&lt;/a&gt;"</v>
      </c>
      <c r="U7" s="64" t="str">
        <f t="shared" si="3"/>
        <v xml:space="preserve">    rbib_aep_2016: "Alberta Environment and Parks. (2016). *Aerial Ungulate Surveys using Distance Sampling Techniques Protocol Manual.* &lt;https://open.alberta.ca/dataset/71c53d7b-0802-4800-9f95-0520b64b63c2/resource/ee933caa-bfc7-4334-a4d0-6085ebf198e7/download/aep-aerial-ungulate-surveys-using-distance-sampling-2016.pdf&gt;"</v>
      </c>
      <c r="V7" s="64"/>
    </row>
    <row r="8" spans="1:22" ht="15.75">
      <c r="A8" s="64"/>
      <c r="B8" s="77" t="b">
        <v>0</v>
      </c>
      <c r="C8" s="77" t="b">
        <v>1</v>
      </c>
      <c r="D8" s="77" t="b">
        <v>1</v>
      </c>
      <c r="E8" s="64" t="s">
        <v>2480</v>
      </c>
      <c r="F8" s="64" t="s">
        <v>2509</v>
      </c>
      <c r="G8" s="64" t="s">
        <v>2508</v>
      </c>
      <c r="H8" s="64" t="s">
        <v>2508</v>
      </c>
      <c r="I8" s="64" t="b">
        <v>1</v>
      </c>
      <c r="J8" s="66" t="s">
        <v>2507</v>
      </c>
      <c r="K8" s="66" t="s">
        <v>3960</v>
      </c>
      <c r="L8" s="64" t="s">
        <v>4313</v>
      </c>
      <c r="M8" s="64" t="s">
        <v>5690</v>
      </c>
      <c r="N8" s="65" t="str">
        <f t="shared" si="4"/>
        <v>[Alberta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rcsc_et_al_2024}&lt;br&gt;&lt;br&gt;</v>
      </c>
      <c r="O8" s="64" t="s">
        <v>2506</v>
      </c>
      <c r="P8" s="64" t="s">
        <v>984</v>
      </c>
      <c r="Q8" s="64" t="str">
        <f t="shared" si="0"/>
        <v>{{ rtxt_rcsc_et_al_2024 }}</v>
      </c>
      <c r="R8" s="64" t="str">
        <f t="shared" si="1"/>
        <v>{{ rbib_rcsc_et_al_2024 }}</v>
      </c>
      <c r="S8" s="63" t="str">
        <f t="shared" si="2"/>
        <v>Alberta Remote Camera Steering Committee [RCSC], Stevenson, C., Hubbs, A., &amp; Wildlife Cameras for Adaptive Management (WildCAM). (2024). &lt;i&gt;Remote Camera Survey Guidelines: Guidelines for Western Canada&lt;/i&gt;. Version 3.0. Edmonton, Alberta.&lt;a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style="color:white"&gt;[.]{#rcsc_et_al_2024}&lt;/span&gt;&lt;br&gt;&lt;br&gt;</v>
      </c>
      <c r="T8" s="64" t="str">
        <f t="shared" si="5"/>
        <v xml:space="preserve">    rtxt_rcsc_et_al_2024: "&lt;a href=\"/08_references.html#rcsc_et_al_2024\" target=\"_blank\"&gt;Alberta Remote Camera Steering Committee [RCSC] et al., 2024&lt;/a&gt;"</v>
      </c>
      <c r="U8" s="64" t="str">
        <f t="shared" si="3"/>
        <v xml:space="preserve">    rbib_rcsc_et_al_2024: "Alberta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v>
      </c>
      <c r="V8" s="64"/>
    </row>
    <row r="9" spans="1:22" ht="15.75">
      <c r="A9" s="64"/>
      <c r="B9" s="77" t="b">
        <v>1</v>
      </c>
      <c r="C9" s="77" t="b">
        <v>0</v>
      </c>
      <c r="D9" s="77" t="b">
        <v>1</v>
      </c>
      <c r="E9" s="64" t="s">
        <v>2480</v>
      </c>
      <c r="F9" s="64" t="s">
        <v>2517</v>
      </c>
      <c r="G9" s="64" t="s">
        <v>2516</v>
      </c>
      <c r="H9" s="64" t="s">
        <v>2515</v>
      </c>
      <c r="I9" s="64" t="b">
        <v>1</v>
      </c>
      <c r="J9" s="66" t="s">
        <v>2514</v>
      </c>
      <c r="K9" s="66" t="s">
        <v>3960</v>
      </c>
      <c r="L9" s="64" t="s">
        <v>4314</v>
      </c>
      <c r="M9" s="64" t="s">
        <v>5691</v>
      </c>
      <c r="N9" s="65" t="str">
        <f t="shared" si="4"/>
        <v>[Alberta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rcsc_2024a}&lt;br&gt;&lt;br&gt;</v>
      </c>
      <c r="O9" s="64" t="s">
        <v>2513</v>
      </c>
      <c r="P9" s="64" t="s">
        <v>984</v>
      </c>
      <c r="Q9" s="64" t="str">
        <f t="shared" si="0"/>
        <v>{{ rtxt_rcsc_2024a }}</v>
      </c>
      <c r="R9" s="64" t="str">
        <f t="shared" si="1"/>
        <v>{{ rbib_rcsc_2024a }}</v>
      </c>
      <c r="S9" s="63" t="str">
        <f t="shared" si="2"/>
        <v>Alberta Remote Camera Steering Committee [RCSC]. (2024). &lt;i&gt;Remote Camera Metadata Standards: Standards for Alberta&lt;/i&gt;. Version 2.0. Edmonton, Alberta.&lt;a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style="color:white"&gt;[.]{#rcsc_2024a}&lt;/span&gt;&lt;br&gt;&lt;br&gt;</v>
      </c>
      <c r="T9" s="64" t="str">
        <f t="shared" si="5"/>
        <v xml:space="preserve">    rtxt_rcsc_2024a: "&lt;a href=\"/08_references.html#rcsc_2024a\" target=\"_blank\"&gt;Alberta Remote Camera Steering Committee [RCSC], 2024a&lt;/a&gt;"</v>
      </c>
      <c r="U9" s="64" t="str">
        <f t="shared" si="3"/>
        <v xml:space="preserve">    rbib_rcsc_2024a: "Alberta Remote Camera Steering Committee [RCSC]. (2024a). *Remote Camera Metadata Standards: Standards for Alberta*. Version 2.0. Edmonton, Alberta. &lt;https://ab-rcsc.github.io/RCSC-WildCAM_Remote-Camera-Survey-Guidelines-and-Metadata-Standards/2_metadata-standards/2_0.1_Citation-and-Info.html&gt;"</v>
      </c>
      <c r="V9" s="64"/>
    </row>
    <row r="10" spans="1:22" ht="15.75">
      <c r="A10" s="64"/>
      <c r="B10" s="77" t="b">
        <v>1</v>
      </c>
      <c r="C10" s="77" t="b">
        <v>0</v>
      </c>
      <c r="D10" s="77" t="b">
        <v>0</v>
      </c>
      <c r="E10" s="64" t="s">
        <v>1904</v>
      </c>
      <c r="F10" s="64" t="s">
        <v>3914</v>
      </c>
      <c r="G10" s="64" t="s">
        <v>3913</v>
      </c>
      <c r="H10" s="64" t="s">
        <v>3913</v>
      </c>
      <c r="I10" s="64" t="b">
        <v>1</v>
      </c>
      <c r="J10" s="66" t="s">
        <v>3912</v>
      </c>
      <c r="K10" s="66" t="s">
        <v>3960</v>
      </c>
      <c r="L10" s="64" t="s">
        <v>4315</v>
      </c>
      <c r="M10" s="64" t="s">
        <v>5966</v>
      </c>
      <c r="N10" s="65" t="str">
        <f t="shared" si="4"/>
        <v>[Alonso,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href="https://doi.org/10.1371/journal.pone.0123032"&gt;{https://doi.org/10.1371/journal.pone.0123032}]{#alonso_et_al_2015}&lt;br&gt;&lt;br&gt;</v>
      </c>
      <c r="O10" s="64" t="s">
        <v>3911</v>
      </c>
      <c r="P10" s="64" t="s">
        <v>984</v>
      </c>
      <c r="Q10" s="64" t="str">
        <f t="shared" si="0"/>
        <v>{{ rtxt_alonso_et_al_2015 }}</v>
      </c>
      <c r="R10" s="64" t="str">
        <f t="shared" si="1"/>
        <v>{{ rbib_alonso_et_al_2015 }}</v>
      </c>
      <c r="S10" s="63" t="str">
        <f t="shared" si="2"/>
        <v>Alonso, R. S., McClintock, B. T., Lyren, L. M., Boydston, E. E., &amp; Crooks, K. R. (2015). Mark-recapture and Mark-resight Methods for Estimating Abundance with Remote Cameras: A Carnivore Case Study. &lt;i&gt;PLoS One, 10&lt;/i&gt;(3), e0123032.&lt;a href="https://doi.org/10.1371/journal.pone.0123032" target="_blank"&gt;https://doi.org/10.1371/journal.pone.0123032&lt;/a&gt;&lt;span style="color:white"&gt;[.]{#alonso_et_al_2015}&lt;/span&gt;&lt;br&gt;&lt;br&gt;</v>
      </c>
      <c r="T10" s="64" t="str">
        <f t="shared" si="5"/>
        <v xml:space="preserve">    rtxt_alonso_et_al_2015: "&lt;a href=\"/08_references.html#alonso_et_al_2015\" target=\"_blank\"&gt;Alonso et al., 2015&lt;/a&gt;"</v>
      </c>
      <c r="U10" s="64" t="str">
        <f t="shared" si="3"/>
        <v xml:space="preserve">    rbib_alonso_et_al_2015: "Alonso, R. S., McClintock, B. T., Lyren, L. M., Boydston, E. E., &amp; Crooks, K. R. (2015). Mark-recapture and Mark-resight Methods for Estimating Abundance with Remote Cameras: A Carnivore Case Study. *PLoS One, 10*(3), e0123032. &lt;https://doi.org/10.1371/journal.pone.0123032&gt;"</v>
      </c>
      <c r="V10" s="64"/>
    </row>
    <row r="11" spans="1:22" ht="15.75">
      <c r="A11" s="64"/>
      <c r="B11" s="77" t="b">
        <v>0</v>
      </c>
      <c r="C11" s="77" t="b">
        <v>0</v>
      </c>
      <c r="D11" s="77" t="s">
        <v>1993</v>
      </c>
      <c r="E11" s="64" t="s">
        <v>1904</v>
      </c>
      <c r="F11" s="64" t="s">
        <v>3910</v>
      </c>
      <c r="G11" s="64" t="s">
        <v>3909</v>
      </c>
      <c r="H11" s="64" t="s">
        <v>3909</v>
      </c>
      <c r="I11" s="64" t="b">
        <v>1</v>
      </c>
      <c r="J11" s="66" t="s">
        <v>3908</v>
      </c>
      <c r="K11" s="66" t="s">
        <v>3960</v>
      </c>
      <c r="L11" s="64" t="s">
        <v>4316</v>
      </c>
      <c r="M11" s="64" t="s">
        <v>5859</v>
      </c>
      <c r="N11" s="65" t="str">
        <f t="shared" si="4"/>
        <v>[Ames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href="https://doi.org/10.1093/conphys/coaa019"&gt;{https://doi.org/10.1093/conphys/coaa019}]{#ames_et_al_2011}&lt;br&gt;&lt;br&gt;</v>
      </c>
      <c r="O11" s="64" t="s">
        <v>3907</v>
      </c>
      <c r="P11" s="64" t="s">
        <v>984</v>
      </c>
      <c r="Q11" s="64" t="str">
        <f t="shared" si="0"/>
        <v>{{ rtxt_ames_et_al_2011 }}</v>
      </c>
      <c r="R11" s="64" t="str">
        <f t="shared" si="1"/>
        <v>{{ rbib_ames_et_al_2011 }}</v>
      </c>
      <c r="S11" s="63" t="str">
        <f t="shared" si="2"/>
        <v>Ames E. M., Gade M. R., Nieman C. L., Wright J. R, Tonra C. M., Marroquin C. M., Tutterow A. M, &amp; Gray S. M. (2020) Striving for population-level conservation: integrating physiology across the biological hierarchy. &lt;i&gt;Conservation Physiology, 8&lt;/i&gt;(1): coaa019.&lt;a href="https://doi.org/10.1093/conphys/coaa019" target="_blank"&gt;https://doi.org/10.1093/conphys/coaa019&lt;/a&gt;&lt;span style="color:white"&gt;[.]{#ames_et_al_2011}&lt;/span&gt;&lt;br&gt;&lt;br&gt;</v>
      </c>
      <c r="T11" s="64" t="str">
        <f t="shared" si="5"/>
        <v xml:space="preserve">    rtxt_ames_et_al_2011: "&lt;a href=\"/08_references.html#ames_et_al_2011\" target=\"_blank\"&gt;Ames et al., 2020&lt;/a&gt;"</v>
      </c>
      <c r="U11" s="64" t="str">
        <f t="shared" si="3"/>
        <v xml:space="preserve">    rbib_ames_et_al_2011: "Ames E. M., Gade M. R., Nieman C. L., Wright J. R, Tonra C. M., Marroquin C. M., Tutterow A. M, &amp; Gray S. M. (2020) Striving for population-level conservation: integrating physiology across the biological hierarchy. *Conservation Physiology, 8*(1): coaa019. &lt;https://doi.org/10.1093/conphys/coaa019&gt;"</v>
      </c>
      <c r="V11" s="64"/>
    </row>
    <row r="12" spans="1:22" ht="15.75">
      <c r="A12" s="64"/>
      <c r="B12" s="77"/>
      <c r="C12" s="77"/>
      <c r="D12" s="77"/>
      <c r="E12" s="64" t="s">
        <v>1904</v>
      </c>
      <c r="F12" s="64" t="s">
        <v>3906</v>
      </c>
      <c r="G12" s="64" t="s">
        <v>3905</v>
      </c>
      <c r="H12" s="64" t="s">
        <v>3905</v>
      </c>
      <c r="I12" s="64" t="b">
        <v>1</v>
      </c>
      <c r="J12" s="66" t="s">
        <v>3904</v>
      </c>
      <c r="K12" s="66" t="s">
        <v>3960</v>
      </c>
      <c r="L12" s="64" t="s">
        <v>4317</v>
      </c>
      <c r="M12" s="64" t="s">
        <v>6105</v>
      </c>
      <c r="N12" s="65" t="str">
        <f t="shared" si="4"/>
        <v>[Anderson, D. R. (2001). The Need to Get the Basics Right in Wildlife Field Studies. &lt;i&gt;Wildlife Society Bulletin, 29&lt;/i&gt;(4), 1294-1297. &lt;a target="_blank" href="https://www.jstor.org/stable/3784156"&gt;{https://www.jstor.org/stable/3784156}]{#anderson_2001}&lt;br&gt;&lt;br&gt;</v>
      </c>
      <c r="O12" s="64" t="s">
        <v>3903</v>
      </c>
      <c r="P12" s="64" t="s">
        <v>984</v>
      </c>
      <c r="Q12" s="64" t="str">
        <f t="shared" si="0"/>
        <v>{{ rtxt_anderson_2001 }}</v>
      </c>
      <c r="R12" s="64" t="str">
        <f t="shared" si="1"/>
        <v>{{ rbib_anderson_2001 }}</v>
      </c>
      <c r="S12" s="63" t="str">
        <f t="shared" si="2"/>
        <v>Anderson, D. R. (2001). The Need to Get the Basics Right in Wildlife Field Studies. &lt;i&gt;Wildlife Society Bulletin, 29&lt;/i&gt;(4), 1294-1297.&lt;a href="https://www.jstor.org/stable/3784156" target="_blank"&gt;https://www.jstor.org/stable/3784156&lt;/a&gt;&lt;span style="color:white"&gt;[.]{#anderson_2001}&lt;/span&gt;&lt;br&gt;&lt;br&gt;</v>
      </c>
      <c r="T12" s="64" t="str">
        <f t="shared" si="5"/>
        <v xml:space="preserve">    rtxt_anderson_2001: "&lt;a href=\"/08_references.html#anderson_2001\" target=\"_blank\"&gt;Anderson, 2001&lt;/a&gt;"</v>
      </c>
      <c r="U12" s="64" t="str">
        <f t="shared" si="3"/>
        <v xml:space="preserve">    rbib_anderson_2001: "Anderson, D. R. (2001). The Need to Get the Basics Right in Wildlife Field Studies. *Wildlife Society Bulletin, 29*(4), 1294-1297. &lt;https://www.jstor.org/stable/3784156&gt;"</v>
      </c>
      <c r="V12" s="64"/>
    </row>
    <row r="13" spans="1:22" ht="15.75">
      <c r="A13" s="64"/>
      <c r="B13" s="77" t="b">
        <v>1</v>
      </c>
      <c r="C13" s="77" t="b">
        <v>0</v>
      </c>
      <c r="D13" s="77" t="b">
        <v>1</v>
      </c>
      <c r="E13" s="64" t="s">
        <v>1904</v>
      </c>
      <c r="F13" s="64" t="s">
        <v>3902</v>
      </c>
      <c r="G13" s="64" t="s">
        <v>3901</v>
      </c>
      <c r="H13" s="64" t="s">
        <v>3901</v>
      </c>
      <c r="I13" s="64" t="b">
        <v>1</v>
      </c>
      <c r="J13" s="66" t="s">
        <v>3900</v>
      </c>
      <c r="K13" s="66" t="s">
        <v>3960</v>
      </c>
      <c r="L13" s="64" t="s">
        <v>4318</v>
      </c>
      <c r="M13" s="64" t="s">
        <v>5902</v>
      </c>
      <c r="N13" s="65" t="str">
        <f t="shared" si="4"/>
        <v>[Anile, S., &amp; Devillard, S. (2016). Study Design and Body Mass Influence RAIs from Camera Trap Studies: Evidence from the Felidae. &lt;i&gt;Animal Conservation, 19&lt;/i&gt;(1), 35-45. &lt;a target="_blank" href="https://doi.org/10.1111/acv.12214"&gt;{https://doi.org/10.1111/acv.12214}]{#anile_devillard_2016}&lt;br&gt;&lt;br&gt;</v>
      </c>
      <c r="O13" s="64" t="s">
        <v>3899</v>
      </c>
      <c r="P13" s="64" t="s">
        <v>984</v>
      </c>
      <c r="Q13" s="64" t="str">
        <f t="shared" si="0"/>
        <v>{{ rtxt_anile_devillard_2016 }}</v>
      </c>
      <c r="R13" s="64" t="str">
        <f t="shared" si="1"/>
        <v>{{ rbib_anile_devillard_2016 }}</v>
      </c>
      <c r="S13" s="63" t="str">
        <f t="shared" si="2"/>
        <v>Anile, S., &amp; Devillard, S. (2016). Study Design and Body Mass Influence RAIs from Camera Trap Studies: Evidence from the Felidae. &lt;i&gt;Animal Conservation, 19&lt;/i&gt;(1), 35-45.&lt;a href="https://doi.org/10.1111/acv.12214" target="_blank"&gt;https://doi.org/10.1111/acv.12214&lt;/a&gt;&lt;span style="color:white"&gt;[.]{#anile_devillard_2016}&lt;/span&gt;&lt;br&gt;&lt;br&gt;</v>
      </c>
      <c r="T13" s="64" t="str">
        <f t="shared" si="5"/>
        <v xml:space="preserve">    rtxt_anile_devillard_2016: "&lt;a href=\"/08_references.html#anile_devillard_2016\" target=\"_blank\"&gt;Anile &amp; Devillard, 2016&lt;/a&gt;"</v>
      </c>
      <c r="U13" s="64" t="str">
        <f t="shared" si="3"/>
        <v xml:space="preserve">    rbib_anile_devillard_2016: "Anile, S., &amp; Devillard, S. (2016). Study Design and Body Mass Influence RAIs from Camera Trap Studies: Evidence from the Felidae. *Animal Conservation, 19*(1), 35-45. &lt;https://doi.org/10.1111/acv.12214&gt;"</v>
      </c>
      <c r="V13" s="64"/>
    </row>
    <row r="14" spans="1:22" ht="15.75">
      <c r="A14" s="64"/>
      <c r="B14" s="77" t="b">
        <v>1</v>
      </c>
      <c r="C14" s="77" t="b">
        <v>0</v>
      </c>
      <c r="D14" s="77" t="b">
        <v>0</v>
      </c>
      <c r="E14" s="64" t="s">
        <v>1904</v>
      </c>
      <c r="F14" s="64" t="s">
        <v>3898</v>
      </c>
      <c r="G14" s="64" t="s">
        <v>3897</v>
      </c>
      <c r="H14" s="64" t="s">
        <v>3897</v>
      </c>
      <c r="I14" s="64" t="b">
        <v>1</v>
      </c>
      <c r="J14" s="66" t="s">
        <v>3896</v>
      </c>
      <c r="K14" s="66" t="s">
        <v>3960</v>
      </c>
      <c r="L14" s="64" t="s">
        <v>4319</v>
      </c>
      <c r="M14" s="64" t="s">
        <v>5904</v>
      </c>
      <c r="N14" s="65" t="str">
        <f t="shared" si="4"/>
        <v>[Apps, P. J., &amp; McNutt, J. W. (2018). How Camera Traps work and how to work them. &lt;i&gt;African Journal of Ecology, 56&lt;/i&gt;(4), 702-709. &lt;a target="_blank" href="https://doi.org/10.1111/aje.12563"&gt;{https://doi.org/10.1111/aje.12563}]{#apps_mcnutt_2018}&lt;br&gt;&lt;br&gt;</v>
      </c>
      <c r="O14" s="64" t="s">
        <v>3895</v>
      </c>
      <c r="P14" s="64" t="s">
        <v>984</v>
      </c>
      <c r="Q14" s="64" t="str">
        <f t="shared" si="0"/>
        <v>{{ rtxt_apps_mcnutt_2018 }}</v>
      </c>
      <c r="R14" s="64" t="str">
        <f t="shared" si="1"/>
        <v>{{ rbib_apps_mcnutt_2018 }}</v>
      </c>
      <c r="S14" s="63" t="str">
        <f t="shared" si="2"/>
        <v>Apps, P. J., &amp; McNutt, J. W. (2018). How Camera Traps work and how to work them. &lt;i&gt;African Journal of Ecology, 56&lt;/i&gt;(4), 702-709.&lt;a href="https://doi.org/10.1111/aje.12563" target="_blank"&gt;https://doi.org/10.1111/aje.12563&lt;/a&gt;&lt;span style="color:white"&gt;[.]{#apps_mcnutt_2018}&lt;/span&gt;&lt;br&gt;&lt;br&gt;</v>
      </c>
      <c r="T14" s="64" t="str">
        <f t="shared" si="5"/>
        <v xml:space="preserve">    rtxt_apps_mcnutt_2018: "&lt;a href=\"/08_references.html#apps_mcnutt_2018\" target=\"_blank\"&gt;Apps &amp; McNutt, 2018&lt;/a&gt;"</v>
      </c>
      <c r="U14" s="64" t="str">
        <f t="shared" si="3"/>
        <v xml:space="preserve">    rbib_apps_mcnutt_2018: "Apps, P. J., &amp; McNutt, J. W. (2018). How Camera Traps work and how to work them. *African Journal of Ecology, 56*(4), 702-709. &lt;https://doi.org/10.1111/aje.12563&gt;"</v>
      </c>
      <c r="V14" s="64"/>
    </row>
    <row r="15" spans="1:22" ht="15.75">
      <c r="A15" s="64"/>
      <c r="B15" s="77" t="b">
        <v>1</v>
      </c>
      <c r="C15" s="77" t="b">
        <v>0</v>
      </c>
      <c r="D15" s="77" t="b">
        <v>0</v>
      </c>
      <c r="E15" s="64" t="s">
        <v>1904</v>
      </c>
      <c r="F15" s="64" t="s">
        <v>3894</v>
      </c>
      <c r="G15" s="64" t="s">
        <v>3893</v>
      </c>
      <c r="H15" s="64" t="s">
        <v>3892</v>
      </c>
      <c r="I15" s="64" t="b">
        <v>1</v>
      </c>
      <c r="J15" s="66" t="s">
        <v>3891</v>
      </c>
      <c r="K15" s="66" t="s">
        <v>3960</v>
      </c>
      <c r="L15" s="64" t="s">
        <v>4320</v>
      </c>
      <c r="M15" s="64" t="s">
        <v>6010</v>
      </c>
      <c r="N15" s="65" t="str">
        <f t="shared" si="4"/>
        <v>[Arnason, A. N., Schwarz, C. J., &amp; Gerrard, J. M. (1991). Estimating Closed Population Size and Number of Marked Animals from Sighting Data. &lt;i&gt;Journal of Wildlife Management, 55&lt;/i&gt;(4), 716-730. &lt;a target="_blank" href="https://doi.org/10.2307/3809524"&gt;{https://doi.org/10.2307/3809524}]{#arnason_et_al_1991}&lt;br&gt;&lt;br&gt;</v>
      </c>
      <c r="O15" s="64" t="s">
        <v>3890</v>
      </c>
      <c r="P15" s="64" t="s">
        <v>984</v>
      </c>
      <c r="Q15" s="64" t="str">
        <f t="shared" si="0"/>
        <v>{{ rtxt_arnason_et_al_1991 }}</v>
      </c>
      <c r="R15" s="64" t="str">
        <f t="shared" si="1"/>
        <v>{{ rbib_arnason_et_al_1991 }}</v>
      </c>
      <c r="S15" s="63" t="str">
        <f t="shared" si="2"/>
        <v>Arnason, A. N., Schwarz, C. J., &amp; Gerrard, J. M. (1991). Estimating Closed Population Size and Number of Marked Animals from Sighting Data. &lt;i&gt;Journal of Wildlife Management, 55&lt;/i&gt;(4), 716-730.&lt;a href="https://doi.org/10.2307/3809524" target="_blank"&gt;https://doi.org/10.2307/3809524&lt;/a&gt;&lt;span style="color:white"&gt;[.]{#arnason_et_al_1991}&lt;/span&gt;&lt;br&gt;&lt;br&gt;</v>
      </c>
      <c r="T15" s="64" t="str">
        <f t="shared" si="5"/>
        <v xml:space="preserve">    rtxt_arnason_et_al_1991: "&lt;a href=\"/08_references.html#arnason_et_al_1991\" target=\"_blank\"&gt;Arnason et al., 1991&lt;/a&gt;"</v>
      </c>
      <c r="U15" s="64" t="str">
        <f t="shared" si="3"/>
        <v xml:space="preserve">    rbib_arnason_et_al_1991: "Arnason, A. N., Schwarz, C. J., &amp; Gerrard, J. M. (1991). Estimating Closed Population Size and Number of Marked Animals from Sighting Data. *Journal of Wildlife Management, 55*(4), 716-730. &lt;https://doi.org/10.2307/3809524&gt;"</v>
      </c>
      <c r="V15" s="64"/>
    </row>
    <row r="16" spans="1:22" ht="15.75">
      <c r="A16" s="64"/>
      <c r="B16" s="77" t="b">
        <v>1</v>
      </c>
      <c r="C16" s="77" t="b">
        <v>0</v>
      </c>
      <c r="D16" s="77" t="b">
        <v>0</v>
      </c>
      <c r="E16" s="64" t="s">
        <v>1904</v>
      </c>
      <c r="F16" s="64" t="s">
        <v>3889</v>
      </c>
      <c r="G16" s="64" t="s">
        <v>3888</v>
      </c>
      <c r="H16" s="64" t="s">
        <v>3884</v>
      </c>
      <c r="I16" s="64" t="b">
        <v>1</v>
      </c>
      <c r="J16" s="66" t="s">
        <v>3887</v>
      </c>
      <c r="K16" s="66" t="s">
        <v>3960</v>
      </c>
      <c r="L16" s="64" t="s">
        <v>4321</v>
      </c>
      <c r="M16" s="64" t="s">
        <v>5684</v>
      </c>
      <c r="N16" s="65" t="str">
        <f t="shared" si="4"/>
        <v>[Augustine, B. C., Royle, J. A., Kelly, M. J., Satter, C. B., Alonso, R. S., Boydston, E. E., &amp; Crooks, K. R. (2016). Spatial capture-recapture with partial identity: An application to camera traps. &lt;i&gt;bioRxiv.&lt;/i&gt; &lt;a target="_blank" href="http://dx.doi.org/10.1101/056804"&gt;{http://dx.doi.org/10.1101/056804}}]{#augustine_et_al_2016}&lt;br&gt;&lt;br&gt;</v>
      </c>
      <c r="O16" s="64" t="s">
        <v>3886</v>
      </c>
      <c r="P16" s="64" t="s">
        <v>984</v>
      </c>
      <c r="Q16" s="64" t="str">
        <f t="shared" si="0"/>
        <v>{{ rtxt_augustine_et_al_2016 }}</v>
      </c>
      <c r="R16" s="64" t="str">
        <f t="shared" si="1"/>
        <v>{{ rbib_augustine_et_al_2016 }}</v>
      </c>
      <c r="S16" s="63" t="str">
        <f t="shared" si="2"/>
        <v>Augustine, B. C., Royle, J. A., Kelly, M. J., Satter, C. B., Alonso, R. S., Boydston, E. E., &amp; Crooks, K. R. (2016). Spatial capture-recapture with partial identity: An application to camera traps. &lt;i&gt;bioRxiv.&lt;/i&gt;&lt;a href="http://dx.doi.org/10.1101/056804" target="_blank"&gt;http://dx.doi.org/10.1101/056804&lt;/a&gt;&lt;span style="color:white"&gt;[.]{#augustine_et_al_2016}&lt;/span&gt;&lt;br&gt;&lt;br&gt;</v>
      </c>
      <c r="T16" s="64" t="str">
        <f t="shared" si="5"/>
        <v xml:space="preserve">    rtxt_augustine_et_al_2016: "&lt;a href=\"/08_references.html#augustine_et_al_2016\" target=\"_blank\"&gt;Augustine et al., 2016&lt;/a&gt;"</v>
      </c>
      <c r="U16" s="64" t="str">
        <f t="shared" si="3"/>
        <v xml:space="preserve">    rbib_augustine_et_al_2016: "Augustine, B. C., Royle, J. A., Kelly, M. J., Satter, C. B., Alonso, R. S., Boydston, E. E., &amp; Crooks, K. R. (2016). Spatial capture-recapture with partial identity: An application to camera traps. *bioRxiv.* &lt;http://dx.doi.org/10.1101/056804&gt;"</v>
      </c>
      <c r="V16" s="64"/>
    </row>
    <row r="17" spans="1:22" ht="15.75">
      <c r="A17" s="64"/>
      <c r="B17" s="77" t="b">
        <v>1</v>
      </c>
      <c r="C17" s="77" t="b">
        <v>0</v>
      </c>
      <c r="D17" s="77" t="b">
        <v>0</v>
      </c>
      <c r="E17" s="64" t="s">
        <v>1904</v>
      </c>
      <c r="F17" s="64" t="s">
        <v>3885</v>
      </c>
      <c r="G17" s="64" t="s">
        <v>3884</v>
      </c>
      <c r="H17" s="64" t="s">
        <v>3884</v>
      </c>
      <c r="I17" s="64" t="b">
        <v>1</v>
      </c>
      <c r="J17" s="66" t="s">
        <v>3883</v>
      </c>
      <c r="K17" s="66" t="s">
        <v>3960</v>
      </c>
      <c r="L17" s="64" t="s">
        <v>4322</v>
      </c>
      <c r="M17" s="64" t="s">
        <v>5957</v>
      </c>
      <c r="N17" s="65" t="str">
        <f t="shared" si="4"/>
        <v>[Augustine,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href="https://doi.org/10.1214/17AOAS1091"&gt;{https://doi.org/10.1214/17AOAS1091}]{#augustine_et_al_2018}&lt;br&gt;&lt;br&gt;</v>
      </c>
      <c r="O17" s="64" t="s">
        <v>3882</v>
      </c>
      <c r="P17" s="64" t="s">
        <v>984</v>
      </c>
      <c r="Q17" s="64" t="str">
        <f t="shared" si="0"/>
        <v>{{ rtxt_augustine_et_al_2018 }}</v>
      </c>
      <c r="R17" s="64" t="str">
        <f t="shared" si="1"/>
        <v>{{ rbib_augustine_et_al_2018 }}</v>
      </c>
      <c r="S17" s="63" t="str">
        <f t="shared" ref="S17:S80" si="6">M17&amp;IF(O17&lt;&gt;"-",(" &lt;a href="&amp;""""&amp;O17&amp;""""&amp;" target="&amp;""""&amp;"_blank"&amp;""""&amp;"&gt;"&amp;O17&amp;"&lt;/a&gt;&lt;span style="&amp;""""&amp;"color:white"&amp;""""&amp;"&gt;[.]{#"&amp;F17&amp;"}&lt;/span&gt;&lt;br&gt;&lt;br&gt;"),"")</f>
        <v>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target="_blank"&gt;https://doi.org/10.1214/17AOAS1091&lt;/a&gt;&lt;span style="color:white"&gt;[.]{#augustine_et_al_2018}&lt;/span&gt;&lt;br&gt;&lt;br&gt;</v>
      </c>
      <c r="T17" s="64" t="str">
        <f t="shared" si="5"/>
        <v xml:space="preserve">    rtxt_augustine_et_al_2018: "&lt;a href=\"/08_references.html#augustine_et_al_2018\" target=\"_blank\"&gt;Augustine et al., 2018&lt;/a&gt;"</v>
      </c>
      <c r="U17" s="64" t="str">
        <f t="shared" si="3"/>
        <v xml:space="preserve">    rbib_augustine_et_al_2018: "Augustine, B. C., Royle, J. A., Kelly, M. J., Satter, C. B., Alonso, R. S., Boydston, E. E., &amp; Crooks, K. R. (2018). Spatial Capture-Recapture with Partial Identity: An Application to Camera Traps. *The Annals of Applied Statistics, 12*(1), 67-95. &lt;https://doi.org/10.1214/17AOAS1091&gt;"</v>
      </c>
      <c r="V17" s="64"/>
    </row>
    <row r="18" spans="1:22" ht="15.75">
      <c r="A18" s="64"/>
      <c r="B18" s="77" t="b">
        <v>1</v>
      </c>
      <c r="C18" s="77" t="b">
        <v>0</v>
      </c>
      <c r="D18" s="77" t="b">
        <v>0</v>
      </c>
      <c r="E18" s="64" t="s">
        <v>1904</v>
      </c>
      <c r="F18" s="64" t="s">
        <v>3881</v>
      </c>
      <c r="G18" s="64" t="s">
        <v>3880</v>
      </c>
      <c r="H18" s="64" t="s">
        <v>3880</v>
      </c>
      <c r="I18" s="64" t="b">
        <v>1</v>
      </c>
      <c r="J18" s="66" t="s">
        <v>3879</v>
      </c>
      <c r="K18" s="66" t="s">
        <v>3960</v>
      </c>
      <c r="L18" s="64" t="s">
        <v>4323</v>
      </c>
      <c r="M18" s="64" t="s">
        <v>5739</v>
      </c>
      <c r="N18" s="65" t="str">
        <f t="shared" si="4"/>
        <v>[Augustine,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href="https://doi.org/10.1002/ecs2.2627"&gt;{https://doi.org/10.1002/ecs2.2627}]{#augustine_et_al_2019}&lt;br&gt;&lt;br&gt;</v>
      </c>
      <c r="O18" s="64" t="s">
        <v>3878</v>
      </c>
      <c r="P18" s="64" t="s">
        <v>984</v>
      </c>
      <c r="Q18" s="64" t="str">
        <f t="shared" si="0"/>
        <v>{{ rtxt_augustine_et_al_2019 }}</v>
      </c>
      <c r="R18" s="64" t="str">
        <f t="shared" si="1"/>
        <v>{{ rbib_augustine_et_al_2019 }}</v>
      </c>
      <c r="S18" s="63" t="str">
        <f t="shared" si="6"/>
        <v>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target="_blank"&gt;https://doi.org/10.1002/ecs2.2627&lt;/a&gt;&lt;span style="color:white"&gt;[.]{#augustine_et_al_2019}&lt;/span&gt;&lt;br&gt;&lt;br&gt;</v>
      </c>
      <c r="T18" s="64" t="str">
        <f t="shared" si="5"/>
        <v xml:space="preserve">    rtxt_augustine_et_al_2019: "&lt;a href=\"/08_references.html#augustine_et_al_2019\" target=\"_blank\"&gt;Augustine et al., 2019&lt;/a&gt;"</v>
      </c>
      <c r="U18" s="64" t="str">
        <f t="shared" si="3"/>
        <v xml:space="preserve">    rbib_augustine_et_al_2019: "Augustine, B. C., Royle, J. A., Murphy, S. M., Chandler, R. B., Cox, J. J., &amp; Kelly, M. J. (2019). Spatial Capture-Recapture for Categorically Marked Populations with an Application to Genetic Capture-Recapture. *Ecosphere, 10*(4) e02627-n/a. &lt;https://doi.org/10.1002/ecs2.2627&gt;"</v>
      </c>
      <c r="V18" s="64"/>
    </row>
    <row r="19" spans="1:22" ht="15.75">
      <c r="A19" s="64"/>
      <c r="B19" s="77"/>
      <c r="C19" s="77"/>
      <c r="D19" s="77"/>
      <c r="E19" s="64" t="s">
        <v>1904</v>
      </c>
      <c r="F19" s="64" t="s">
        <v>3877</v>
      </c>
      <c r="G19" s="64" t="s">
        <v>3876</v>
      </c>
      <c r="H19" s="64" t="s">
        <v>3876</v>
      </c>
      <c r="I19" s="64" t="b">
        <v>1</v>
      </c>
      <c r="J19" s="66" t="s">
        <v>3963</v>
      </c>
      <c r="K19" s="66" t="s">
        <v>3960</v>
      </c>
      <c r="L19" s="64" t="s">
        <v>4324</v>
      </c>
      <c r="M19" s="64" t="s">
        <v>5743</v>
      </c>
      <c r="N19" s="65" t="str">
        <f t="shared" si="4"/>
        <v>[Ausband, D. E., Lukacs, P. M., Hurley, M., Roberts, S., Strickfaden, K., &amp; Moeller, A. K. (2022). Estimating Wolf Abundance from Cameras. &lt;i&gt;Ecosphere, 13&lt;/i&gt;(2), e3933. &lt;a target="_blank" href="https://doi.org/10.1002/ecs2.3933"&gt;{https://doi.org/10.1002/ecs2.3933}]{#ausband_et_al_2022}&lt;br&gt;&lt;br&gt;</v>
      </c>
      <c r="O19" s="64" t="s">
        <v>3875</v>
      </c>
      <c r="P19" s="64" t="s">
        <v>984</v>
      </c>
      <c r="Q19" s="64" t="str">
        <f t="shared" si="0"/>
        <v>{{ rtxt_ausband_et_al_2022 }}</v>
      </c>
      <c r="R19" s="64" t="str">
        <f t="shared" si="1"/>
        <v>{{ rbib_ausband_et_al_2022 }}</v>
      </c>
      <c r="S19" s="63" t="str">
        <f t="shared" si="6"/>
        <v>Ausband, D. E., Lukacs, P. M., Hurley, M., Roberts, S., Strickfaden, K., &amp; Moeller, A. K. (2022). Estimating Wolf Abundance from Cameras. &lt;i&gt;Ecosphere, 13&lt;/i&gt;(2), e3933. &lt;a href="https://doi.org/10.1002/ecs2.3933" target="_blank"&gt;https://doi.org/10.1002/ecs2.3933&lt;/a&gt;&lt;span style="color:white"&gt;[.]{#ausband_et_al_2022}&lt;/span&gt;&lt;br&gt;&lt;br&gt;</v>
      </c>
      <c r="T19" s="64" t="str">
        <f t="shared" si="5"/>
        <v xml:space="preserve">    rtxt_ausband_et_al_2022: "&lt;a href=\"/08_references.html#ausband_et_al_2022\" target=\"_blank\"&gt;Ausband et al., 2022&lt;/a&gt;"</v>
      </c>
      <c r="U19" s="64" t="str">
        <f t="shared" si="3"/>
        <v xml:space="preserve">    rbib_ausband_et_al_2022: "Ausband, D. E., Lukacs, P. M., Hurley, M., Roberts, S., Strickfaden, K., &amp; Moeller, A. K. (2022). Estimating Wolf Abundance from Cameras. *Ecosphere, 13*(2), e3933. &lt;https://doi.org/10.1002/ecs2.3933&gt;"</v>
      </c>
      <c r="V19" s="64"/>
    </row>
    <row r="20" spans="1:22" ht="15.75">
      <c r="A20" s="64"/>
      <c r="B20" s="77"/>
      <c r="C20" s="77"/>
      <c r="D20" s="77"/>
      <c r="E20" s="64"/>
      <c r="F20" s="64" t="s">
        <v>3874</v>
      </c>
      <c r="G20" s="64" t="s">
        <v>3873</v>
      </c>
      <c r="H20" s="64"/>
      <c r="I20" s="64"/>
      <c r="J20" s="65" t="s">
        <v>3872</v>
      </c>
      <c r="K20" s="66" t="s">
        <v>3960</v>
      </c>
      <c r="L20" s="64" t="s">
        <v>4304</v>
      </c>
      <c r="M20" s="64" t="s">
        <v>6040</v>
      </c>
      <c r="N20" s="65" t="str">
        <f t="shared" si="4"/>
        <v>[Babu, A. (N.D.). &lt;i&gt;Alpha, Beta and Gamma Diversity: Biodiversity at different scales&lt;/i&gt;. &lt;a target="_blank" href="https://eco-intelligent.com/2016/10/14/alpha-beta-gamma-diversity"&gt;{https://eco-intelligent.com/2016/10/14/alpha-beta-gamma-diversity}]{#babu_nd}&lt;br&gt;&lt;br&gt;</v>
      </c>
      <c r="O20" s="64" t="s">
        <v>4299</v>
      </c>
      <c r="P20" s="64" t="s">
        <v>984</v>
      </c>
      <c r="Q20" s="64" t="str">
        <f t="shared" si="0"/>
        <v>{{ rtxt_babu_nd }}</v>
      </c>
      <c r="R20" s="64" t="str">
        <f t="shared" si="1"/>
        <v>{{ rbib_babu_nd }}</v>
      </c>
      <c r="S20" s="63" t="str">
        <f t="shared" si="6"/>
        <v>Babu, A. (N.D.). &lt;i&gt;Alpha, Beta and Gamma Diversity: Biodiversity at different scales&lt;/i&gt;. &lt;a href="https://eco-intelligent.com/2016/10/14/alpha-beta-gamma-diversity" target="_blank"&gt;https://eco-intelligent.com/2016/10/14/alpha-beta-gamma-diversity&lt;/a&gt;&lt;span style="color:white"&gt;[.]{#babu_nd}&lt;/span&gt;&lt;br&gt;&lt;br&gt;</v>
      </c>
      <c r="T20" s="64" t="str">
        <f t="shared" si="5"/>
        <v xml:space="preserve">    rtxt_babu_nd: "&lt;a href=\"/08_references.html#babu_nd\" target=\"_blank\"&gt;Babu, N.D.&lt;/a&gt;"</v>
      </c>
      <c r="U20" s="64" t="str">
        <f t="shared" si="3"/>
        <v xml:space="preserve">    rbib_babu_nd: "Babu, A. (N.D.). *Alpha, Beta and Gamma Diversity: Biodiversity at different scales*. &lt;https://eco-intelligent.com/2016/10/14/alpha-beta-gamma-diversity&gt;"</v>
      </c>
      <c r="V20" s="64"/>
    </row>
    <row r="21" spans="1:22" ht="15.75">
      <c r="A21" s="64"/>
      <c r="B21" s="77"/>
      <c r="C21" s="77"/>
      <c r="D21" s="77"/>
      <c r="E21" s="64" t="s">
        <v>984</v>
      </c>
      <c r="F21" s="64" t="s">
        <v>3871</v>
      </c>
      <c r="G21" s="64" t="s">
        <v>3870</v>
      </c>
      <c r="H21" s="64" t="s">
        <v>3870</v>
      </c>
      <c r="I21" s="64" t="b">
        <v>1</v>
      </c>
      <c r="J21" s="66" t="s">
        <v>3869</v>
      </c>
      <c r="K21" s="66" t="s">
        <v>3960</v>
      </c>
      <c r="L21" s="64" t="s">
        <v>4358</v>
      </c>
      <c r="M21" s="64" t="s">
        <v>6119</v>
      </c>
      <c r="N21" s="65" t="str">
        <f t="shared" si="4"/>
        <v>[Baddeley,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baddeley_nd}&lt;br&gt;&lt;br&gt;</v>
      </c>
      <c r="O21" s="64" t="s">
        <v>3868</v>
      </c>
      <c r="P21" s="64" t="s">
        <v>984</v>
      </c>
      <c r="Q21" s="64" t="str">
        <f t="shared" si="0"/>
        <v>{{ rtxt_baddeley_nd }}</v>
      </c>
      <c r="R21" s="64" t="str">
        <f t="shared" si="1"/>
        <v>{{ rbib_baddeley_nd }}</v>
      </c>
      <c r="S21" s="63" t="str">
        <f t="shared" si="6"/>
        <v>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style="color:white"&gt;[.]{#baddeley_nd}&lt;/span&gt;&lt;br&gt;&lt;br&gt;</v>
      </c>
      <c r="T21" s="64" t="str">
        <f t="shared" si="5"/>
        <v xml:space="preserve">    rtxt_baddeley_nd: "&lt;a href=\"/08_references.html#baddeley_nd\" target=\"_blank\"&gt;Baddeley, n.d.&lt;/a&gt;"</v>
      </c>
      <c r="U21" s="64" t="str">
        <f t="shared" si="3"/>
        <v xml:space="preserve">    rbib_baddeley_nd: "Baddeley,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v>
      </c>
      <c r="V21" s="64"/>
    </row>
    <row r="22" spans="1:22" ht="15.75">
      <c r="A22" s="64"/>
      <c r="B22" s="77"/>
      <c r="C22" s="77"/>
      <c r="D22" s="77"/>
      <c r="E22" s="64" t="s">
        <v>1904</v>
      </c>
      <c r="F22" s="64" t="s">
        <v>3867</v>
      </c>
      <c r="G22" s="64" t="s">
        <v>3866</v>
      </c>
      <c r="H22" s="64" t="s">
        <v>3866</v>
      </c>
      <c r="I22" s="64" t="b">
        <v>1</v>
      </c>
      <c r="J22" s="66" t="s">
        <v>3865</v>
      </c>
      <c r="K22" s="66" t="s">
        <v>3960</v>
      </c>
      <c r="L22" s="64" t="s">
        <v>4325</v>
      </c>
      <c r="M22" s="64" t="s">
        <v>6106</v>
      </c>
      <c r="N22" s="65" t="str">
        <f t="shared" si="4"/>
        <v>[Bailey, L. L., Hines, J. E., Nichols, J. D., &amp; MacKenzie, D. I. (2007). Sampling Design Trade-Offs in Occupancy Studies with Imperfect Detection\: Examples and Software. &lt;i&gt;Ecological Applications, 17&lt;/i&gt;(1), 281-290. &lt;a target="_blank" href="https://www.jstor.org/stable/40061993"&gt;{https://www.jstor.org/stable/40061993}]{#bailey_et_al_2007}&lt;br&gt;&lt;br&gt;</v>
      </c>
      <c r="O22" s="64" t="s">
        <v>3864</v>
      </c>
      <c r="P22" s="64" t="s">
        <v>984</v>
      </c>
      <c r="Q22" s="64" t="str">
        <f t="shared" si="0"/>
        <v>{{ rtxt_bailey_et_al_2007 }}</v>
      </c>
      <c r="R22" s="64" t="str">
        <f t="shared" si="1"/>
        <v>{{ rbib_bailey_et_al_2007 }}</v>
      </c>
      <c r="S22" s="63" t="str">
        <f t="shared" si="6"/>
        <v>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target="_blank"&gt;https://www.jstor.org/stable/40061993&lt;/a&gt;&lt;span style="color:white"&gt;[.]{#bailey_et_al_2007}&lt;/span&gt;&lt;br&gt;&lt;br&gt;</v>
      </c>
      <c r="T22" s="64" t="str">
        <f t="shared" si="5"/>
        <v xml:space="preserve">    rtxt_bailey_et_al_2007: "&lt;a href=\"/08_references.html#bailey_et_al_2007\" target=\"_blank\"&gt;Bailey et al., 2007&lt;/a&gt;"</v>
      </c>
      <c r="U22" s="64" t="str">
        <f t="shared" si="3"/>
        <v xml:space="preserve">    rbib_bailey_et_al_2007: "Bailey, L. L., Hines, J. E., Nichols, J. D., &amp; MacKenzie, D. I. (2007). Sampling Design Trade-Offs in Occupancy Studies with Imperfect Detection: Examples and Software. *Ecological Applications, 17*(1), 281-290. &lt;https://www.jstor.org/stable/40061993&gt;"</v>
      </c>
      <c r="V22" s="64"/>
    </row>
    <row r="23" spans="1:22" ht="15.75">
      <c r="A23" s="64"/>
      <c r="B23" s="77"/>
      <c r="C23" s="77"/>
      <c r="D23" s="77"/>
      <c r="E23" s="64" t="s">
        <v>1904</v>
      </c>
      <c r="F23" s="64" t="s">
        <v>3863</v>
      </c>
      <c r="G23" s="64" t="s">
        <v>3862</v>
      </c>
      <c r="H23" s="64" t="s">
        <v>3862</v>
      </c>
      <c r="I23" s="64" t="b">
        <v>1</v>
      </c>
      <c r="J23" s="66" t="s">
        <v>3861</v>
      </c>
      <c r="K23" s="66" t="s">
        <v>3960</v>
      </c>
      <c r="L23" s="64" t="s">
        <v>4326</v>
      </c>
      <c r="M23" s="64" t="s">
        <v>5836</v>
      </c>
      <c r="N23" s="65" t="str">
        <f t="shared" si="4"/>
        <v>[Balestrieri,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href="https://doi.org/10.1016/j.mambio.2016.05.005"&gt;{https://doi.org/10.1016/j.mambio.2016.05.005}]{#balestrieri_et_al_2016}&lt;br&gt;&lt;br&gt;</v>
      </c>
      <c r="O23" s="64" t="s">
        <v>3860</v>
      </c>
      <c r="P23" s="64" t="s">
        <v>984</v>
      </c>
      <c r="Q23" s="64" t="str">
        <f t="shared" si="0"/>
        <v>{{ rtxt_balestrieri_et_al_2016 }}</v>
      </c>
      <c r="R23" s="64" t="str">
        <f t="shared" si="1"/>
        <v>{{ rbib_balestrieri_et_al_2016 }}</v>
      </c>
      <c r="S23" s="63" t="str">
        <f t="shared" si="6"/>
        <v>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target="_blank"&gt;https://doi.org/10.1016/j.mambio.2016.05.005&lt;/a&gt;&lt;span style="color:white"&gt;[.]{#balestrieri_et_al_2016}&lt;/span&gt;&lt;br&gt;&lt;br&gt;</v>
      </c>
      <c r="T23" s="64" t="str">
        <f t="shared" si="5"/>
        <v xml:space="preserve">    rtxt_balestrieri_et_al_2016: "&lt;a href=\"/08_references.html#balestrieri_et_al_2016\" target=\"_blank\"&gt;Balestrieri et al., 2016&lt;/a&gt;"</v>
      </c>
      <c r="U23" s="64" t="str">
        <f t="shared" si="3"/>
        <v xml:space="preserve">    rbib_balestrieri_et_al_2016: "Balestrieri, A., Ruiz-González, A., Vergara, M., Capelli, E., Tirozzi, P., Alfino, S., Minuti, G., Prigioni, C., &amp; Saino, N. (2016). Pine marten density in lowland riparian woods: A test of the Random Encounter Model based on genetic data. *Mammalian Biology, 81*(5), 439-446. &lt;https://doi.org/10.1016/j.mambio.2016.05.005&gt;"</v>
      </c>
      <c r="V23" s="64"/>
    </row>
    <row r="24" spans="1:22" ht="15.75">
      <c r="A24" s="64"/>
      <c r="B24" s="77"/>
      <c r="C24" s="77"/>
      <c r="D24" s="77"/>
      <c r="E24" s="64" t="s">
        <v>1904</v>
      </c>
      <c r="F24" s="64" t="s">
        <v>3859</v>
      </c>
      <c r="G24" s="64" t="s">
        <v>3858</v>
      </c>
      <c r="H24" s="64" t="s">
        <v>3858</v>
      </c>
      <c r="I24" s="64" t="b">
        <v>1</v>
      </c>
      <c r="J24" s="66" t="s">
        <v>3857</v>
      </c>
      <c r="K24" s="66" t="s">
        <v>3960</v>
      </c>
      <c r="L24" s="64" t="s">
        <v>4327</v>
      </c>
      <c r="M24" s="64" t="s">
        <v>5880</v>
      </c>
      <c r="N24" s="65" t="str">
        <f t="shared" si="4"/>
        <v>[Banks‐Leite,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href="https://doi.org/10.1111/1365-2664.12272"&gt;{https://doi.org/10.1111/1365-2664.12272}]{#banksleite_2014}&lt;br&gt;&lt;br&gt;</v>
      </c>
      <c r="O24" s="64" t="s">
        <v>3856</v>
      </c>
      <c r="P24" s="64" t="s">
        <v>984</v>
      </c>
      <c r="Q24" s="64" t="str">
        <f t="shared" si="0"/>
        <v>{{ rtxt_banksleite_2014 }}</v>
      </c>
      <c r="R24" s="64" t="str">
        <f t="shared" si="1"/>
        <v>{{ rbib_banksleite_2014 }}</v>
      </c>
      <c r="S24" s="63" t="str">
        <f t="shared" si="6"/>
        <v>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target="_blank"&gt;https://doi.org/10.1111/1365-2664.12272&lt;/a&gt;&lt;span style="color:white"&gt;[.]{#banksleite_2014}&lt;/span&gt;&lt;br&gt;&lt;br&gt;</v>
      </c>
      <c r="T24" s="64" t="str">
        <f t="shared" si="5"/>
        <v xml:space="preserve">    rtxt_banksleite_2014: "&lt;a href=\"/08_references.html#banksleite_2014\" target=\"_blank\"&gt;Banks‐Leite et al., 2014&lt;/a&gt;"</v>
      </c>
      <c r="U24" s="64" t="str">
        <f t="shared" si="3"/>
        <v xml:space="preserve">    rbib_banksleite_2014: "Banks‐Leite, C., Pardini, R., Boscolo, D., Cassano, C. R., Püttker, T., Barros, C. S., &amp; Barlow, J. (2014). Assessing the utility of statistical adjustments for imperfect detection in tropical conservation science. *Journal of Applied Ecology, 51*(4), 849-859. &lt;https://doi.org/10.1111/1365-2664.12272&gt;"</v>
      </c>
      <c r="V24" s="64"/>
    </row>
    <row r="25" spans="1:22" ht="15.75">
      <c r="A25" s="64"/>
      <c r="B25" s="77" t="b">
        <v>0</v>
      </c>
      <c r="C25" s="77" t="b">
        <v>0</v>
      </c>
      <c r="D25" s="77"/>
      <c r="E25" s="64" t="s">
        <v>1945</v>
      </c>
      <c r="F25" s="64" t="s">
        <v>3855</v>
      </c>
      <c r="G25" s="64" t="s">
        <v>3854</v>
      </c>
      <c r="H25" s="64" t="s">
        <v>3854</v>
      </c>
      <c r="I25" s="64" t="b">
        <v>1</v>
      </c>
      <c r="J25" s="66" t="s">
        <v>3853</v>
      </c>
      <c r="K25" s="66" t="s">
        <v>3960</v>
      </c>
      <c r="L25" s="64" t="s">
        <v>4328</v>
      </c>
      <c r="M25" s="64" t="s">
        <v>6162</v>
      </c>
      <c r="N25" s="65" t="str">
        <f t="shared" si="4"/>
        <v>[Baylor Tutoring Center. (2021, July 31). &lt;i&gt;Species Diversity and Species Richness&lt;/i&gt; [Video]. YouTube. &lt;a target="_blank" href="https://www.youtube.com/watch?v=UXJ0r4hjbqI"&gt;{https://www.youtube.com/watch?v=UXJ0r4hjbqI}]{#baylor_tutoring_center_2021}&lt;br&gt;&lt;br&gt;</v>
      </c>
      <c r="O25" s="64" t="s">
        <v>3852</v>
      </c>
      <c r="P25" s="64" t="s">
        <v>984</v>
      </c>
      <c r="Q25" s="64" t="str">
        <f t="shared" si="0"/>
        <v>{{ rtxt_baylor_tutoring_center_2021 }}</v>
      </c>
      <c r="R25" s="64" t="str">
        <f t="shared" si="1"/>
        <v>{{ rbib_baylor_tutoring_center_2021 }}</v>
      </c>
      <c r="S25" s="63" t="str">
        <f t="shared" si="6"/>
        <v>Baylor Tutoring Center. (2021, July 31). &lt;i&gt;Species Diversity and Species Richness&lt;/i&gt; [Video]. YouTube. &lt;a href="https://www.youtube.com/watch?v=UXJ0r4hjbqI" target="_blank"&gt;https://www.youtube.com/watch?v=UXJ0r4hjbqI&lt;/a&gt;&lt;span style="color:white"&gt;[.]{#baylor_tutoring_center_2021}&lt;/span&gt;&lt;br&gt;&lt;br&gt;</v>
      </c>
      <c r="T25" s="64" t="str">
        <f t="shared" si="5"/>
        <v xml:space="preserve">    rtxt_baylor_tutoring_center_2021: "&lt;a href=\"/08_references.html#baylor_tutoring_center_2021\" target=\"_blank\"&gt;Baylor Tutoring Center, 2021&lt;/a&gt;"</v>
      </c>
      <c r="U25" s="64" t="str">
        <f t="shared" si="3"/>
        <v xml:space="preserve">    rbib_baylor_tutoring_center_2021: "Baylor Tutoring Center. (2021, July 31). *Species Diversity and Species Richness* [Video]. YouTube. &lt;https://www.youtube.com/watch?v=UXJ0r4hjbqI&gt;"</v>
      </c>
      <c r="V25" s="64"/>
    </row>
    <row r="26" spans="1:22" ht="15.75">
      <c r="A26" s="64"/>
      <c r="B26" s="77" t="b">
        <v>1</v>
      </c>
      <c r="C26" s="77" t="b">
        <v>0</v>
      </c>
      <c r="D26" s="77" t="b">
        <v>0</v>
      </c>
      <c r="E26" s="64" t="s">
        <v>3215</v>
      </c>
      <c r="F26" s="64" t="s">
        <v>3851</v>
      </c>
      <c r="G26" s="64" t="s">
        <v>3850</v>
      </c>
      <c r="H26" s="64" t="s">
        <v>3850</v>
      </c>
      <c r="I26" s="64" t="b">
        <v>1</v>
      </c>
      <c r="J26" s="66" t="s">
        <v>3849</v>
      </c>
      <c r="K26" s="66" t="s">
        <v>3960</v>
      </c>
      <c r="L26" s="64" t="s">
        <v>4329</v>
      </c>
      <c r="M26" s="64" t="s">
        <v>6071</v>
      </c>
      <c r="N26" s="65" t="str">
        <f t="shared" si="4"/>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href="https://open.alberta.ca/publications/9781460151341"&gt;{https://open.alberta.ca/publications/9781460151341}]{#bayne_et_al_2021}&lt;br&gt;&lt;br&gt;</v>
      </c>
      <c r="O26" s="64" t="s">
        <v>3848</v>
      </c>
      <c r="P26" s="64" t="s">
        <v>984</v>
      </c>
      <c r="Q26" s="64" t="str">
        <f t="shared" si="0"/>
        <v>{{ rtxt_bayne_et_al_2021 }}</v>
      </c>
      <c r="R26" s="64" t="str">
        <f t="shared" si="1"/>
        <v>{{ rbib_bayne_et_al_2021 }}</v>
      </c>
      <c r="S26" s="63" t="str">
        <f t="shared" si="6"/>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target="_blank"&gt;https://open.alberta.ca/publications/9781460151341&lt;/a&gt;&lt;span style="color:white"&gt;[.]{#bayne_et_al_2021}&lt;/span&gt;&lt;br&gt;&lt;br&gt;</v>
      </c>
      <c r="T26" s="64" t="str">
        <f t="shared" si="5"/>
        <v xml:space="preserve">    rtxt_bayne_et_al_2021: "&lt;a href=\"/08_references.html#bayne_et_al_2021\" target=\"_blank\"&gt;Bayne et al., 2021&lt;/a&gt;"</v>
      </c>
      <c r="U26" s="64" t="str">
        <f t="shared" si="3"/>
        <v xml:space="preserve">    rbib_bayne_et_al_2021: "Bayne,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v>
      </c>
      <c r="V26" s="64"/>
    </row>
    <row r="27" spans="1:22" ht="15.75">
      <c r="A27" s="64"/>
      <c r="B27" s="77"/>
      <c r="C27" s="77"/>
      <c r="D27" s="77"/>
      <c r="E27" s="64" t="s">
        <v>2929</v>
      </c>
      <c r="F27" s="64" t="s">
        <v>3847</v>
      </c>
      <c r="G27" s="64" t="s">
        <v>3846</v>
      </c>
      <c r="H27" s="64" t="s">
        <v>3846</v>
      </c>
      <c r="I27" s="64" t="b">
        <v>1</v>
      </c>
      <c r="J27" s="66" t="s">
        <v>3845</v>
      </c>
      <c r="K27" s="66" t="s">
        <v>3960</v>
      </c>
      <c r="L27" s="64" t="s">
        <v>4330</v>
      </c>
      <c r="M27" s="64" t="s">
        <v>5689</v>
      </c>
      <c r="N27" s="65" t="str">
        <f t="shared" si="4"/>
        <v>[Becker,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href="https://ab-rcsc.github.io/GOA_Ungulate-monitoring-methods-workshop/1_pages/3_Speaker-Bios.html"&gt;{https://ab-rcsc.github.io/GOA_Ungulate-monitoring-methods-workshop/1_pages/3_Speaker-Bios.html}]{#becker_2024}&lt;br&gt;&lt;br&gt;</v>
      </c>
      <c r="O27" s="64" t="s">
        <v>3844</v>
      </c>
      <c r="P27" s="64" t="s">
        <v>984</v>
      </c>
      <c r="Q27" s="64" t="str">
        <f t="shared" si="0"/>
        <v>{{ rtxt_becker_2024 }}</v>
      </c>
      <c r="R27" s="64" t="str">
        <f t="shared" si="1"/>
        <v>{{ rbib_becker_2024 }}</v>
      </c>
      <c r="S27" s="63" t="str">
        <f t="shared" si="6"/>
        <v>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target="_blank"&gt;https://ab-rcsc.github.io/GOA_Ungulate-monitoring-methods-workshop/1_pages/3_Speaker-Bios.html&lt;/a&gt;&lt;span style="color:white"&gt;[.]{#becker_2024}&lt;/span&gt;&lt;br&gt;&lt;br&gt;</v>
      </c>
      <c r="T27" s="64" t="str">
        <f t="shared" si="5"/>
        <v xml:space="preserve">    rtxt_becker_2024: "&lt;a href=\"/08_references.html#becker_2024\" target=\"_blank\"&gt;Becker, 2024&lt;/a&gt;"</v>
      </c>
      <c r="U27" s="64" t="str">
        <f t="shared" si="3"/>
        <v xml:space="preserve">    rbib_becker_2024: "Becker,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v>
      </c>
      <c r="V27" s="64"/>
    </row>
    <row r="28" spans="1:22" ht="15.75">
      <c r="A28" s="64"/>
      <c r="B28" s="77"/>
      <c r="C28" s="77"/>
      <c r="D28" s="77"/>
      <c r="E28" s="64" t="s">
        <v>2246</v>
      </c>
      <c r="F28" s="64" t="s">
        <v>3843</v>
      </c>
      <c r="G28" s="64" t="s">
        <v>3839</v>
      </c>
      <c r="H28" s="64"/>
      <c r="I28" s="64" t="b">
        <v>1</v>
      </c>
      <c r="J28" s="66" t="s">
        <v>3842</v>
      </c>
      <c r="K28" s="66" t="s">
        <v>3960</v>
      </c>
      <c r="L28" s="65" t="s">
        <v>4331</v>
      </c>
      <c r="M28" s="65" t="s">
        <v>6061</v>
      </c>
      <c r="N28" s="65" t="str">
        <f t="shared" si="4"/>
        <v>[Becker, M. Huggard, D. J., &amp; Alberta Biodiversity Monitoring Institute [ABMI]. (2020). &lt;i&gt;abmi.camera.extras.&lt;/i&gt; R package version 0.0.1. &lt;a target="_blank" href="https://mabecker89.github.io/abmi.camera.extras"&gt;{https://mabecker89.github.io/abmi.camera.extras}]{#becker_et_al_2020}&lt;br&gt;&lt;br&gt;</v>
      </c>
      <c r="O28" s="65" t="s">
        <v>3841</v>
      </c>
      <c r="P28" s="64" t="s">
        <v>984</v>
      </c>
      <c r="Q28" s="64" t="str">
        <f t="shared" si="0"/>
        <v>{{ rtxt_becker_et_al_2020 }}</v>
      </c>
      <c r="R28" s="64" t="str">
        <f t="shared" si="1"/>
        <v>{{ rbib_becker_et_al_2020 }}</v>
      </c>
      <c r="S28" s="63" t="str">
        <f t="shared" si="6"/>
        <v>Becker, M. Huggard, D. J., &amp; Alberta Biodiversity Monitoring Institute [ABMI]. (2020). &lt;i&gt;abmi.camera.extras.&lt;/i&gt; R package version 0.0.1. &lt;a href="https://mabecker89.github.io/abmi.camera.extras" target="_blank"&gt;https://mabecker89.github.io/abmi.camera.extras&lt;/a&gt;&lt;span style="color:white"&gt;[.]{#becker_et_al_2020}&lt;/span&gt;&lt;br&gt;&lt;br&gt;</v>
      </c>
      <c r="T28" s="64" t="str">
        <f t="shared" si="5"/>
        <v xml:space="preserve">    rtxt_becker_et_al_2020: "&lt;a href=\"/08_references.html#becker_et_al_2020\" target=\"_blank\"&gt;Becker et al., 2021&lt;/a&gt;"</v>
      </c>
      <c r="U28" s="64" t="str">
        <f t="shared" si="3"/>
        <v xml:space="preserve">    rbib_becker_et_al_2020: "Becker, M. Huggard, D. J., &amp; Alberta Biodiversity Monitoring Institute [ABMI]. (2020). *abmi.camera.extras.* R package version 0.0.1. &lt;https://mabecker89.github.io/abmi.camera.extras&gt;"</v>
      </c>
      <c r="V28" s="65"/>
    </row>
    <row r="29" spans="1:22" s="38" customFormat="1" ht="15.75">
      <c r="A29" s="64"/>
      <c r="B29" s="77"/>
      <c r="C29" s="77"/>
      <c r="D29" s="77"/>
      <c r="E29" s="64" t="s">
        <v>1950</v>
      </c>
      <c r="F29" s="64" t="s">
        <v>3840</v>
      </c>
      <c r="G29" s="64" t="s">
        <v>3839</v>
      </c>
      <c r="H29" s="64"/>
      <c r="I29" s="64" t="b">
        <v>1</v>
      </c>
      <c r="J29" s="66" t="s">
        <v>3838</v>
      </c>
      <c r="K29" s="66" t="s">
        <v>3960</v>
      </c>
      <c r="L29" s="65" t="s">
        <v>4332</v>
      </c>
      <c r="M29" s="65" t="s">
        <v>6044</v>
      </c>
      <c r="N29" s="65" t="str">
        <f t="shared" si="4"/>
        <v>[Becker, M. Huggard, D. J., &amp; Alberta Biodiversity Monitoring Institute [ABMI]. (2021).&lt;i&gt;Estimating animal density using TIFC (Time In Front of Camera).&lt;/i&gt; &lt;a target="_blank" href="https://github.com/mabecker89/tifc-method"&gt;{https://github.com/mabecker89/tifc-method}]{#becker_et_al_2021}&lt;br&gt;&lt;br&gt;</v>
      </c>
      <c r="O29" s="65" t="s">
        <v>3837</v>
      </c>
      <c r="P29" s="64" t="s">
        <v>984</v>
      </c>
      <c r="Q29" s="64" t="str">
        <f t="shared" si="0"/>
        <v>{{ rtxt_becker_et_al_2021 }}</v>
      </c>
      <c r="R29" s="64" t="str">
        <f t="shared" si="1"/>
        <v>{{ rbib_becker_et_al_2021 }}</v>
      </c>
      <c r="S29" s="63" t="str">
        <f t="shared" si="6"/>
        <v>Becker, M. Huggard, D. J., &amp; Alberta Biodiversity Monitoring Institute [ABMI]. (2021).&lt;i&gt;Estimating animal density using TIFC (Time In Front of Camera).&lt;/i&gt; &lt;a href="https://github.com/mabecker89/tifc-method" target="_blank"&gt;https://github.com/mabecker89/tifc-method&lt;/a&gt;&lt;span style="color:white"&gt;[.]{#becker_et_al_2021}&lt;/span&gt;&lt;br&gt;&lt;br&gt;</v>
      </c>
      <c r="T29" s="64" t="str">
        <f t="shared" si="5"/>
        <v xml:space="preserve">    rtxt_becker_et_al_2021: "&lt;a href=\"/08_references.html#becker_et_al_2021\" target=\"_blank\"&gt;Becker et al., 2021&lt;/a&gt;"</v>
      </c>
      <c r="U29" s="64" t="str">
        <f t="shared" si="3"/>
        <v xml:space="preserve">    rbib_becker_et_al_2021: "Becker, M. Huggard, D. J., &amp; Alberta Biodiversity Monitoring Institute [ABMI]. (2021).*Estimating animal density using TIFC (Time In Front of Camera).* &lt;https://github.com/mabecker89/tifc-method&gt;"</v>
      </c>
      <c r="V29" s="65"/>
    </row>
    <row r="30" spans="1:22" s="38" customFormat="1" ht="15.75">
      <c r="A30" s="64"/>
      <c r="B30" s="77" t="b">
        <v>1</v>
      </c>
      <c r="C30" s="77" t="b">
        <v>1</v>
      </c>
      <c r="D30" s="77" t="b">
        <v>0</v>
      </c>
      <c r="E30" s="64" t="s">
        <v>1904</v>
      </c>
      <c r="F30" s="64" t="s">
        <v>3836</v>
      </c>
      <c r="G30" s="64" t="s">
        <v>3835</v>
      </c>
      <c r="H30" s="64" t="s">
        <v>3835</v>
      </c>
      <c r="I30" s="64" t="b">
        <v>1</v>
      </c>
      <c r="J30" s="66" t="s">
        <v>3834</v>
      </c>
      <c r="K30" s="66" t="s">
        <v>3960</v>
      </c>
      <c r="L30" s="65" t="s">
        <v>4333</v>
      </c>
      <c r="M30" s="65" t="s">
        <v>5744</v>
      </c>
      <c r="N30" s="65" t="str">
        <f t="shared" si="4"/>
        <v>[Becker,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href="https://doi.org/10.1002/ecs2.4005"&gt;{https://doi.org/10.1002/ecs2.4005}]{#becker_et_al_2022}&lt;br&gt;&lt;br&gt;</v>
      </c>
      <c r="O30" s="65" t="s">
        <v>3833</v>
      </c>
      <c r="P30" s="64" t="s">
        <v>984</v>
      </c>
      <c r="Q30" s="64" t="str">
        <f t="shared" si="0"/>
        <v>{{ rtxt_becker_et_al_2022 }}</v>
      </c>
      <c r="R30" s="64" t="str">
        <f t="shared" si="1"/>
        <v>{{ rbib_becker_et_al_2022 }}</v>
      </c>
      <c r="S30" s="63" t="str">
        <f t="shared" si="6"/>
        <v>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target="_blank"&gt;https://doi.org/10.1002/ecs2.4005&lt;/a&gt;&lt;span style="color:white"&gt;[.]{#becker_et_al_2022}&lt;/span&gt;&lt;br&gt;&lt;br&gt;</v>
      </c>
      <c r="T30" s="64" t="str">
        <f t="shared" si="5"/>
        <v xml:space="preserve">    rtxt_becker_et_al_2022: "&lt;a href=\"/08_references.html#becker_et_al_2022\" target=\"_blank\"&gt;Becker et al., 2022&lt;/a&gt;"</v>
      </c>
      <c r="U30" s="64" t="str">
        <f t="shared" si="3"/>
        <v xml:space="preserve">    rbib_becker_et_al_2022: "Becker, M., Huggard, D. J., Dickie, M., Warbington, C., Schieck, J., Herdman, E., Serrouya, R., &amp; Boutin, S. (2022). Applying and Testing a Novel Method to Estimate Animal Density from Motion-Triggered Cameras. *Ecosphere, 13*(4), 1-14. &lt;https://doi.org/10.1002/ecs2.4005&gt;"</v>
      </c>
      <c r="V30" s="65"/>
    </row>
    <row r="31" spans="1:22" s="38" customFormat="1" ht="15.75">
      <c r="A31" s="64"/>
      <c r="B31" s="77" t="b">
        <v>1</v>
      </c>
      <c r="C31" s="77" t="b">
        <v>0</v>
      </c>
      <c r="D31" s="77" t="b">
        <v>0</v>
      </c>
      <c r="E31" s="64" t="s">
        <v>1904</v>
      </c>
      <c r="F31" s="64" t="s">
        <v>3832</v>
      </c>
      <c r="G31" s="64" t="s">
        <v>3831</v>
      </c>
      <c r="H31" s="64" t="s">
        <v>3830</v>
      </c>
      <c r="I31" s="64" t="b">
        <v>1</v>
      </c>
      <c r="J31" s="66" t="s">
        <v>3829</v>
      </c>
      <c r="K31" s="66" t="s">
        <v>3960</v>
      </c>
      <c r="L31" s="64" t="s">
        <v>4334</v>
      </c>
      <c r="M31" s="64" t="s">
        <v>6027</v>
      </c>
      <c r="N31" s="65" t="str">
        <f t="shared" si="4"/>
        <v>[Beery, S., Morris, D., &amp; Yang, S. (2019). Efficient Pipeline for Camera Trap Image Review. &lt;i&gt;Microsoft AI for Earth&lt;/i&gt;. &lt;a target="_blank" href="https://doi.org/10.48550/arXiv.1907.06772"&gt;{https://doi.org/10.48550/arXiv.1907.06772}]{#beery_et_al_2019}&lt;br&gt;&lt;br&gt;</v>
      </c>
      <c r="O31" s="64" t="s">
        <v>3828</v>
      </c>
      <c r="P31" s="64" t="s">
        <v>984</v>
      </c>
      <c r="Q31" s="64" t="str">
        <f t="shared" si="0"/>
        <v>{{ rtxt_beery_et_al_2019 }}</v>
      </c>
      <c r="R31" s="64" t="str">
        <f t="shared" si="1"/>
        <v>{{ rbib_beery_et_al_2019 }}</v>
      </c>
      <c r="S31" s="63" t="str">
        <f t="shared" si="6"/>
        <v>Beery, S., Morris, D., &amp; Yang, S. (2019). Efficient Pipeline for Camera Trap Image Review. &lt;i&gt;Microsoft AI for Earth&lt;/i&gt;. &lt;a href="https://doi.org/10.48550/arXiv.1907.06772" target="_blank"&gt;https://doi.org/10.48550/arXiv.1907.06772&lt;/a&gt;&lt;span style="color:white"&gt;[.]{#beery_et_al_2019}&lt;/span&gt;&lt;br&gt;&lt;br&gt;</v>
      </c>
      <c r="T31" s="64" t="str">
        <f t="shared" si="5"/>
        <v xml:space="preserve">    rtxt_beery_et_al_2019: "&lt;a href=\"/08_references.html#beery_et_al_2019\" target=\"_blank\"&gt;Beery et al., 2019&lt;/a&gt;"</v>
      </c>
      <c r="U31" s="64" t="str">
        <f t="shared" si="3"/>
        <v xml:space="preserve">    rbib_beery_et_al_2019: "Beery, S., Morris, D., &amp; Yang, S. (2019). Efficient Pipeline for Camera Trap Image Review. *Microsoft AI for Earth*. &lt;https://doi.org/10.48550/arXiv.1907.06772&gt;"</v>
      </c>
      <c r="V31" s="64"/>
    </row>
    <row r="32" spans="1:22" ht="15.75">
      <c r="A32" s="64"/>
      <c r="B32" s="77"/>
      <c r="C32" s="77"/>
      <c r="D32" s="77"/>
      <c r="E32" s="64" t="s">
        <v>2138</v>
      </c>
      <c r="F32" s="64" t="s">
        <v>3827</v>
      </c>
      <c r="G32" s="64" t="s">
        <v>3826</v>
      </c>
      <c r="H32" s="64"/>
      <c r="I32" s="64" t="b">
        <v>1</v>
      </c>
      <c r="J32" s="65" t="s">
        <v>3825</v>
      </c>
      <c r="K32" s="66" t="s">
        <v>3960</v>
      </c>
      <c r="L32" s="64" t="s">
        <v>4335</v>
      </c>
      <c r="M32" s="64" t="s">
        <v>6086</v>
      </c>
      <c r="N32" s="65" t="str">
        <f t="shared" si="4"/>
        <v>[Benedetti, A. (2024). &lt;i&gt;Visualizing Biodiversity in [U.S.] National Parks.&lt;/i&gt; &lt;a target="_blank" href="https://shiny.posit.co/r/gallery/life-sciences/biodiversity-national-parks"&gt;{https://shiny.posit.co/r/gallery/life-sciences/biodiversity-national-parks}]{#benedetti_2024}&lt;br&gt;&lt;br&gt;</v>
      </c>
      <c r="O32" s="64" t="s">
        <v>3824</v>
      </c>
      <c r="P32" s="64" t="s">
        <v>984</v>
      </c>
      <c r="Q32" s="64" t="str">
        <f t="shared" si="0"/>
        <v>{{ rtxt_benedetti_2024 }}</v>
      </c>
      <c r="R32" s="64" t="str">
        <f t="shared" si="1"/>
        <v>{{ rbib_benedetti_2024 }}</v>
      </c>
      <c r="S32" s="63" t="str">
        <f t="shared" si="6"/>
        <v>Benedetti, A. (2024). &lt;i&gt;Visualizing Biodiversity in [U.S.] National Parks.&lt;/i&gt; &lt;a href="https://shiny.posit.co/r/gallery/life-sciences/biodiversity-national-parks" target="_blank"&gt;https://shiny.posit.co/r/gallery/life-sciences/biodiversity-national-parks&lt;/a&gt;&lt;span style="color:white"&gt;[.]{#benedetti_2024}&lt;/span&gt;&lt;br&gt;&lt;br&gt;</v>
      </c>
      <c r="T32" s="64" t="str">
        <f t="shared" si="5"/>
        <v xml:space="preserve">    rtxt_benedetti_2024: "&lt;a href=\"/08_references.html#benedetti_2024\" target=\"_blank\"&gt;Benedetti, 2024&lt;/a&gt;"</v>
      </c>
      <c r="U32" s="64" t="str">
        <f t="shared" si="3"/>
        <v xml:space="preserve">    rbib_benedetti_2024: "Benedetti, A. (2024). *Visualizing Biodiversity in [U.S.] National Parks.* &lt;https://shiny.posit.co/r/gallery/life-sciences/biodiversity-national-parks&gt;"</v>
      </c>
      <c r="V32" s="64"/>
    </row>
    <row r="33" spans="1:22" ht="15.75">
      <c r="A33" s="64"/>
      <c r="B33" s="77" t="b">
        <v>1</v>
      </c>
      <c r="C33" s="77" t="b">
        <v>0</v>
      </c>
      <c r="D33" s="77" t="b">
        <v>0</v>
      </c>
      <c r="E33" s="64" t="s">
        <v>1904</v>
      </c>
      <c r="F33" s="64" t="s">
        <v>3823</v>
      </c>
      <c r="G33" s="64" t="s">
        <v>3822</v>
      </c>
      <c r="H33" s="64" t="s">
        <v>3822</v>
      </c>
      <c r="I33" s="64" t="b">
        <v>1</v>
      </c>
      <c r="J33" s="66" t="s">
        <v>3821</v>
      </c>
      <c r="K33" s="66" t="s">
        <v>3960</v>
      </c>
      <c r="L33" s="64" t="s">
        <v>4336</v>
      </c>
      <c r="M33" s="64" t="s">
        <v>5886</v>
      </c>
      <c r="N33" s="65" t="str">
        <f t="shared" si="4"/>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href="https://doi.org/10.1111/1365-2664.13602"&gt;{https://doi.org/10.1111/1365-2664.13602}]{#bessone_et_al_2020}&lt;br&gt;&lt;br&gt;</v>
      </c>
      <c r="O33" s="64" t="s">
        <v>3820</v>
      </c>
      <c r="P33" s="64" t="s">
        <v>984</v>
      </c>
      <c r="Q33" s="64" t="str">
        <f t="shared" si="0"/>
        <v>{{ rtxt_bessone_et_al_2020 }}</v>
      </c>
      <c r="R33" s="64" t="str">
        <f t="shared" si="1"/>
        <v>{{ rbib_bessone_et_al_2020 }}</v>
      </c>
      <c r="S33" s="63" t="str">
        <f t="shared" si="6"/>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target="_blank"&gt;https://doi.org/10.1111/1365-2664.13602&lt;/a&gt;&lt;span style="color:white"&gt;[.]{#bessone_et_al_2020}&lt;/span&gt;&lt;br&gt;&lt;br&gt;</v>
      </c>
      <c r="T33" s="64" t="str">
        <f t="shared" si="5"/>
        <v xml:space="preserve">    rtxt_bessone_et_al_2020: "&lt;a href=\"/08_references.html#bessone_et_al_2020\" target=\"_blank\"&gt;Bessone et al., 2020&lt;/a&gt;"</v>
      </c>
      <c r="U33" s="64" t="str">
        <f t="shared" si="3"/>
        <v xml:space="preserve">    rbib_bessone_et_al_2020: "Bessone,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v>
      </c>
      <c r="V33" s="64"/>
    </row>
    <row r="34" spans="1:22" ht="15.75">
      <c r="A34" s="64"/>
      <c r="B34" s="77"/>
      <c r="C34" s="77"/>
      <c r="D34" s="77"/>
      <c r="E34" s="64" t="s">
        <v>1950</v>
      </c>
      <c r="F34" s="64" t="s">
        <v>3819</v>
      </c>
      <c r="G34" s="64" t="s">
        <v>3818</v>
      </c>
      <c r="H34" s="64"/>
      <c r="I34" s="64" t="b">
        <v>1</v>
      </c>
      <c r="J34" s="66" t="s">
        <v>3817</v>
      </c>
      <c r="K34" s="66" t="s">
        <v>3960</v>
      </c>
      <c r="L34" s="64" t="s">
        <v>4337</v>
      </c>
      <c r="M34" s="64" t="s">
        <v>6066</v>
      </c>
      <c r="N34" s="65" t="str">
        <f t="shared" si="4"/>
        <v>[Bioninja (N.D.). &lt;i&gt;Biodiversity&lt;/i&gt;. &lt;a target="_blank" href="https://old-ib.bioninja.com.au/options/option-c-ecology-and-conser/c4-conservation-of-biodiver/biodiversity.html"&gt;{https://old-ib.bioninja.com.au/options/option-c-ecology-and-conser/c4-conservation-of-biodiver/biodiversity.html}]{#bioninja_nd}&lt;br&gt;&lt;br&gt;</v>
      </c>
      <c r="O34" s="64" t="s">
        <v>3816</v>
      </c>
      <c r="P34" s="64" t="s">
        <v>984</v>
      </c>
      <c r="Q34" s="64" t="str">
        <f t="shared" si="0"/>
        <v>{{ rtxt_bioninja_nd }}</v>
      </c>
      <c r="R34" s="64" t="str">
        <f t="shared" si="1"/>
        <v>{{ rbib_bioninja_nd }}</v>
      </c>
      <c r="S34" s="63" t="str">
        <f t="shared" si="6"/>
        <v>Bioninja (N.D.). &lt;i&gt;Biodiversity&lt;/i&gt;. &lt;a href="https://old-ib.bioninja.com.au/options/option-c-ecology-and-conser/c4-conservation-of-biodiver/biodiversity.html" target="_blank"&gt;https://old-ib.bioninja.com.au/options/option-c-ecology-and-conser/c4-conservation-of-biodiver/biodiversity.html&lt;/a&gt;&lt;span style="color:white"&gt;[.]{#bioninja_nd}&lt;/span&gt;&lt;br&gt;&lt;br&gt;</v>
      </c>
      <c r="T34" s="64" t="str">
        <f t="shared" si="5"/>
        <v xml:space="preserve">    rtxt_bioninja_nd: "&lt;a href=\"/08_references.html#bioninja_nd\" target=\"_blank\"&gt;Bioninja, N.D.&lt;/a&gt;"</v>
      </c>
      <c r="U34" s="64" t="str">
        <f t="shared" si="3"/>
        <v xml:space="preserve">    rbib_bioninja_nd: "Bioninja (N.D.). *Biodiversity.* &lt;https://old-ib.bioninja.com.au/options/option-c-ecology-and-conser/c4-conservation-of-biodiver/biodiversity.html&gt;"</v>
      </c>
      <c r="V34" s="64"/>
    </row>
    <row r="35" spans="1:22" ht="15.75">
      <c r="A35" s="64"/>
      <c r="B35" s="77" t="b">
        <v>1</v>
      </c>
      <c r="C35" s="77" t="b">
        <v>0</v>
      </c>
      <c r="D35" s="77" t="b">
        <v>0</v>
      </c>
      <c r="E35" s="64" t="s">
        <v>1904</v>
      </c>
      <c r="F35" s="64" t="s">
        <v>3815</v>
      </c>
      <c r="G35" s="64" t="s">
        <v>3814</v>
      </c>
      <c r="H35" s="64" t="s">
        <v>3814</v>
      </c>
      <c r="I35" s="64" t="b">
        <v>1</v>
      </c>
      <c r="J35" s="66" t="s">
        <v>3813</v>
      </c>
      <c r="K35" s="66" t="s">
        <v>3960</v>
      </c>
      <c r="L35" s="64" t="s">
        <v>4338</v>
      </c>
      <c r="M35" s="64" t="s">
        <v>6012</v>
      </c>
      <c r="N35" s="65" t="str">
        <f t="shared" ref="N35:N67" si="7">"["&amp;L35&amp;"]{#"&amp;F35&amp;"}&lt;br&gt;&lt;br&gt;"</f>
        <v>[Bischof, R., Dupont, P., Milleret, C., ChipperfIeld, J., &amp; Royle, J. A. (2020). Consequences of Ignoring Group Association in Spatial Capture-Recapture Analysis. &lt;i&gt;Wildlife Biology, 2020&lt;/i&gt;(1). &lt;a target="_blank" href="https://doi.org/10.2981/wlb.00649"&gt;{https://doi.org/10.2981/wlb.00649}]{#bischof_et_al_2020}&lt;br&gt;&lt;br&gt;</v>
      </c>
      <c r="O35" s="64" t="s">
        <v>3812</v>
      </c>
      <c r="P35" s="64" t="s">
        <v>984</v>
      </c>
      <c r="Q35" s="64" t="str">
        <f t="shared" si="0"/>
        <v>{{ rtxt_bischof_et_al_2020 }}</v>
      </c>
      <c r="R35" s="64" t="str">
        <f t="shared" si="1"/>
        <v>{{ rbib_bischof_et_al_2020 }}</v>
      </c>
      <c r="S35" s="63" t="str">
        <f t="shared" si="6"/>
        <v>Bischof, R., Dupont, P., Milleret, C., ChipperfIeld, J., &amp; Royle, J. A. (2020). Consequences of Ignoring Group Association in Spatial Capture-Recapture Analysis. &lt;i&gt;Wildlife Biology, 2020&lt;/i&gt;(1). &lt;a href="https://doi.org/10.2981/wlb.00649" target="_blank"&gt;https://doi.org/10.2981/wlb.00649&lt;/a&gt;&lt;span style="color:white"&gt;[.]{#bischof_et_al_2020}&lt;/span&gt;&lt;br&gt;&lt;br&gt;</v>
      </c>
      <c r="T35" s="64" t="str">
        <f t="shared" si="5"/>
        <v xml:space="preserve">    rtxt_bischof_et_al_2020: "&lt;a href=\"/08_references.html#bischof_et_al_2020\" target=\"_blank\"&gt;Bischof et al., 2020&lt;/a&gt;"</v>
      </c>
      <c r="U35" s="64" t="str">
        <f t="shared" si="3"/>
        <v xml:space="preserve">    rbib_bischof_et_al_2020: "Bischof, R., Dupont, P., Milleret, C., ChipperfIeld, J., &amp; Royle, J. A. (2020). Consequences of Ignoring Group Association in Spatial Capture-Recapture Analysis. *Wildlife Biology, 2020*(1). &lt;https://doi.org/10.2981/wlb.00649&gt;"</v>
      </c>
      <c r="V35" s="64"/>
    </row>
    <row r="36" spans="1:22" ht="15.75">
      <c r="A36" s="64"/>
      <c r="B36" s="77"/>
      <c r="C36" s="77"/>
      <c r="D36" s="77"/>
      <c r="E36" s="64" t="s">
        <v>1904</v>
      </c>
      <c r="F36" s="64" t="s">
        <v>3811</v>
      </c>
      <c r="G36" s="64" t="s">
        <v>3810</v>
      </c>
      <c r="H36" s="64" t="s">
        <v>3810</v>
      </c>
      <c r="I36" s="64" t="b">
        <v>1</v>
      </c>
      <c r="J36" s="66" t="s">
        <v>3809</v>
      </c>
      <c r="K36" s="66" t="s">
        <v>3960</v>
      </c>
      <c r="L36" s="64" t="s">
        <v>4339</v>
      </c>
      <c r="M36" s="64" t="s">
        <v>5838</v>
      </c>
      <c r="N36" s="65" t="str">
        <f t="shared" si="7"/>
        <v>[Blackburn,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href="https://doi.org/10.1016/S0065-2504(08)60033-1"&gt;{https://doi.org/10.1016/S0065-2504(08)60033-1}]{#blackburn_gaston_1999}&lt;br&gt;&lt;br&gt;</v>
      </c>
      <c r="O36" s="64" t="s">
        <v>3808</v>
      </c>
      <c r="P36" s="64" t="s">
        <v>984</v>
      </c>
      <c r="Q36" s="64" t="str">
        <f t="shared" si="0"/>
        <v>{{ rtxt_blackburn_gaston_1999 }}</v>
      </c>
      <c r="R36" s="64" t="str">
        <f t="shared" si="1"/>
        <v>{{ rbib_blackburn_gaston_1999 }}</v>
      </c>
      <c r="S36" s="63" t="str">
        <f t="shared" si="6"/>
        <v>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target="_blank"&gt;https://doi.org/10.1016/S0065-2504(08)60033-1&lt;/a&gt;&lt;span style="color:white"&gt;[.]{#blackburn_gaston_1999}&lt;/span&gt;&lt;br&gt;&lt;br&gt;</v>
      </c>
      <c r="T36" s="64" t="str">
        <f t="shared" si="5"/>
        <v xml:space="preserve">    rtxt_blackburn_gaston_1999: "&lt;a href=\"/08_references.html#blackburn_gaston_1999\" target=\"_blank\"&gt;Blackburn &amp; Gaston, 1999&lt;/a&gt;"</v>
      </c>
      <c r="U36" s="64" t="str">
        <f t="shared" si="3"/>
        <v xml:space="preserve">    rbib_blackburn_gaston_1999: "Blackburn, T., &amp; Gaston, K. (1999). The relationship between animal abundance and body size: A review of the mechanisms. In *A. Fitter &amp; D. Raffaelli (Eds.), Advances In Ecological Research, Vol 28*, 181-210. &lt;https://doi.org/10.1016/S0065-2504(08)60033-1&gt;"</v>
      </c>
      <c r="V36" s="64"/>
    </row>
    <row r="37" spans="1:22" ht="15.75">
      <c r="A37" s="64"/>
      <c r="B37" s="77" t="b">
        <v>1</v>
      </c>
      <c r="C37" s="77" t="b">
        <v>0</v>
      </c>
      <c r="D37" s="77" t="b">
        <v>0</v>
      </c>
      <c r="E37" s="64" t="s">
        <v>1904</v>
      </c>
      <c r="F37" s="64" t="s">
        <v>3807</v>
      </c>
      <c r="G37" s="64" t="s">
        <v>3806</v>
      </c>
      <c r="H37" s="64" t="s">
        <v>3806</v>
      </c>
      <c r="I37" s="64" t="b">
        <v>1</v>
      </c>
      <c r="J37" s="66" t="s">
        <v>3805</v>
      </c>
      <c r="K37" s="66" t="s">
        <v>3960</v>
      </c>
      <c r="L37" s="64" t="s">
        <v>4340</v>
      </c>
      <c r="M37" s="64" t="s">
        <v>5754</v>
      </c>
      <c r="N37" s="65" t="str">
        <f t="shared" si="7"/>
        <v>[Blanc,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href="https://doi.org/10.1002/jwmg.453"&gt;{https://doi.org/10.1002/jwmg.453}]{#blanc_et_al_2013}&lt;br&gt;&lt;br&gt;</v>
      </c>
      <c r="O37" s="64" t="s">
        <v>3804</v>
      </c>
      <c r="P37" s="64" t="s">
        <v>984</v>
      </c>
      <c r="Q37" s="64" t="str">
        <f t="shared" si="0"/>
        <v>{{ rtxt_blanc_et_al_2013 }}</v>
      </c>
      <c r="R37" s="64" t="str">
        <f t="shared" si="1"/>
        <v>{{ rbib_blanc_et_al_2013 }}</v>
      </c>
      <c r="S37" s="63" t="str">
        <f t="shared" si="6"/>
        <v>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target="_blank"&gt;https://doi.org/10.1002/jwmg.453&lt;/a&gt;&lt;span style="color:white"&gt;[.]{#blanc_et_al_2013}&lt;/span&gt;&lt;br&gt;&lt;br&gt;</v>
      </c>
      <c r="T37" s="64" t="str">
        <f t="shared" si="5"/>
        <v xml:space="preserve">    rtxt_blanc_et_al_2013: "&lt;a href=\"/08_references.html#blanc_et_al_2013\" target=\"_blank\"&gt;Blanc et al., 2013&lt;/a&gt;"</v>
      </c>
      <c r="U37" s="64" t="str">
        <f t="shared" si="3"/>
        <v xml:space="preserve">    rbib_blanc_et_al_2013: "Blanc, L., Marboutin, E., Gatti, S., &amp; Gimenez, O. (2013). Abundance of Rare and Elusive Species: Empirical Investigation of Closed versus Spatially Explicit Capture-Recapture Models with Lynx as a Case Study. *Journal of Wildlife Management, 77*(2), 372-78. &lt;https://doi.org/10.1002/jwmg.453&gt;"</v>
      </c>
      <c r="V37" s="64"/>
    </row>
    <row r="38" spans="1:22" ht="15.75">
      <c r="A38" s="64"/>
      <c r="B38" s="77" t="b">
        <v>1</v>
      </c>
      <c r="C38" s="77" t="b">
        <v>0</v>
      </c>
      <c r="D38" s="77" t="b">
        <v>1</v>
      </c>
      <c r="E38" s="64" t="s">
        <v>1904</v>
      </c>
      <c r="F38" s="64" t="s">
        <v>3803</v>
      </c>
      <c r="G38" s="64" t="s">
        <v>3802</v>
      </c>
      <c r="H38" s="64" t="s">
        <v>3801</v>
      </c>
      <c r="I38" s="64" t="b">
        <v>1</v>
      </c>
      <c r="J38" s="66" t="s">
        <v>3800</v>
      </c>
      <c r="K38" s="66" t="s">
        <v>3960</v>
      </c>
      <c r="L38" s="64" t="s">
        <v>4341</v>
      </c>
      <c r="M38" s="64" t="s">
        <v>5894</v>
      </c>
      <c r="N38" s="65" t="str">
        <f t="shared" si="7"/>
        <v>[Blasco‐Moreno,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href="https://doi.org/10.1111/2041-210x.13185"&gt;{https://doi.org/10.1111/2041-210x.13185}]{#blasco_moreno_et_al_2019}&lt;br&gt;&lt;br&gt;</v>
      </c>
      <c r="O38" s="64" t="s">
        <v>3799</v>
      </c>
      <c r="P38" s="64" t="s">
        <v>984</v>
      </c>
      <c r="Q38" s="64" t="str">
        <f t="shared" si="0"/>
        <v>{{ rtxt_blasco_moreno_et_al_2019 }}</v>
      </c>
      <c r="R38" s="64" t="str">
        <f t="shared" si="1"/>
        <v>{{ rbib_blasco_moreno_et_al_2019 }}</v>
      </c>
      <c r="S38" s="63" t="str">
        <f t="shared" si="6"/>
        <v>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target="_blank"&gt;https://doi.org/10.1111/2041-210x.13185&lt;/a&gt;&lt;span style="color:white"&gt;[.]{#blasco_moreno_et_al_2019}&lt;/span&gt;&lt;br&gt;&lt;br&gt;</v>
      </c>
      <c r="T38" s="64" t="str">
        <f t="shared" si="5"/>
        <v xml:space="preserve">    rtxt_blasco_moreno_et_al_2019: "&lt;a href=\"/08_references.html#blasco_moreno_et_al_2019\" target=\"_blank\"&gt;Blasco-Moreno et al., 2019&lt;/a&gt;"</v>
      </c>
      <c r="U38" s="64" t="str">
        <f t="shared" si="3"/>
        <v xml:space="preserve">    rbib_blasco_moreno_et_al_2019: "Blasco‐Moreno, A., Pérez‐Casany, M., Puig, P., Morante, M., Castells, E., &amp; O'Hara, R. B. (2019). What Does a Zero Mean? Understanding False, Random and Structural Zeros in Ecology. *Methods in Ecology and Evolution, 10*(7), 949-959. &lt;https://doi.org/10.1111/2041-210x.13185&gt;"</v>
      </c>
      <c r="V38" s="64"/>
    </row>
    <row r="39" spans="1:22" ht="15.75">
      <c r="A39" s="64"/>
      <c r="B39" s="77" t="b">
        <v>1</v>
      </c>
      <c r="C39" s="77" t="b">
        <v>0</v>
      </c>
      <c r="D39" s="77" t="b">
        <v>0</v>
      </c>
      <c r="E39" s="64" t="s">
        <v>1904</v>
      </c>
      <c r="F39" s="64" t="s">
        <v>3798</v>
      </c>
      <c r="G39" s="64" t="s">
        <v>3797</v>
      </c>
      <c r="H39" s="64" t="s">
        <v>3797</v>
      </c>
      <c r="I39" s="64" t="b">
        <v>1</v>
      </c>
      <c r="J39" s="66" t="s">
        <v>3796</v>
      </c>
      <c r="K39" s="66" t="s">
        <v>3960</v>
      </c>
      <c r="L39" s="64" t="s">
        <v>4342</v>
      </c>
      <c r="M39" s="64" t="s">
        <v>6008</v>
      </c>
      <c r="N39" s="65" t="str">
        <f t="shared" si="7"/>
        <v>[Bliss, C. I., &amp; Fisher, R. A. (1953). Fitting the Negative Binomial Distribution to Biological Data. &lt;i&gt;Biometrics, 9&lt;/i&gt;(2), 176-200. &lt;a target="_blank" href="https://doi.org/10.2307/3001850"&gt;{https://doi.org/10.2307/3001850}]{#bliss_fisher_1953}&lt;br&gt;&lt;br&gt;</v>
      </c>
      <c r="O39" s="64" t="s">
        <v>3795</v>
      </c>
      <c r="P39" s="64" t="s">
        <v>984</v>
      </c>
      <c r="Q39" s="64" t="str">
        <f t="shared" si="0"/>
        <v>{{ rtxt_bliss_fisher_1953 }}</v>
      </c>
      <c r="R39" s="64" t="str">
        <f t="shared" si="1"/>
        <v>{{ rbib_bliss_fisher_1953 }}</v>
      </c>
      <c r="S39" s="63" t="str">
        <f t="shared" si="6"/>
        <v>Bliss, C. I., &amp; Fisher, R. A. (1953). Fitting the Negative Binomial Distribution to Biological Data. &lt;i&gt;Biometrics, 9&lt;/i&gt;(2), 176-200. &lt;a href="https://doi.org/10.2307/3001850" target="_blank"&gt;https://doi.org/10.2307/3001850&lt;/a&gt;&lt;span style="color:white"&gt;[.]{#bliss_fisher_1953}&lt;/span&gt;&lt;br&gt;&lt;br&gt;</v>
      </c>
      <c r="T39" s="64" t="str">
        <f t="shared" si="5"/>
        <v xml:space="preserve">    rtxt_bliss_fisher_1953: "&lt;a href=\"/08_references.html#bliss_fisher_1953\" target=\"_blank\"&gt;Bliss &amp; Fisher, 1953&lt;/a&gt;"</v>
      </c>
      <c r="U39" s="64" t="str">
        <f t="shared" si="3"/>
        <v xml:space="preserve">    rbib_bliss_fisher_1953: "Bliss, C. I., &amp; Fisher, R. A. (1953). Fitting the Negative Binomial Distribution to Biological Data. *Biometrics, 9*(2), 176-200. &lt;https://doi.org/10.2307/3001850&gt;"</v>
      </c>
      <c r="V39" s="64"/>
    </row>
    <row r="40" spans="1:22" ht="15.75">
      <c r="A40" s="64"/>
      <c r="B40" s="77" t="b">
        <v>1</v>
      </c>
      <c r="C40" s="77" t="b">
        <v>0</v>
      </c>
      <c r="D40" s="77" t="b">
        <v>0</v>
      </c>
      <c r="E40" s="64" t="s">
        <v>1904</v>
      </c>
      <c r="F40" s="64" t="s">
        <v>3794</v>
      </c>
      <c r="G40" s="64" t="s">
        <v>3793</v>
      </c>
      <c r="H40" s="64" t="s">
        <v>3793</v>
      </c>
      <c r="I40" s="64" t="b">
        <v>1</v>
      </c>
      <c r="J40" s="66" t="s">
        <v>3792</v>
      </c>
      <c r="K40" s="66" t="s">
        <v>3960</v>
      </c>
      <c r="L40" s="64" t="s">
        <v>4343</v>
      </c>
      <c r="M40" s="64" t="s">
        <v>6059</v>
      </c>
      <c r="N40" s="65" t="str">
        <f t="shared" si="7"/>
        <v>[Borcher, D. L., &amp; Marques, T. A. (2017). From Distance Sampling to Spatial Capture-Recapture. &lt;i&gt;Asta Advances In Statistical Analysis, 101&lt;/i&gt;, 475-494. &lt;a target="_blank" href="https://link.springer.com/article/10.1007/s10182-016-0287-7"&gt;{https://link.springer.com/article/10.1007/s10182-016-0287-7}]{#borcher_marques_2017}&lt;br&gt;&lt;br&gt;</v>
      </c>
      <c r="O40" s="64" t="s">
        <v>3791</v>
      </c>
      <c r="P40" s="64" t="s">
        <v>984</v>
      </c>
      <c r="Q40" s="64" t="str">
        <f t="shared" si="0"/>
        <v>{{ rtxt_borcher_marques_2017 }}</v>
      </c>
      <c r="R40" s="64" t="str">
        <f t="shared" si="1"/>
        <v>{{ rbib_borcher_marques_2017 }}</v>
      </c>
      <c r="S40" s="63" t="str">
        <f t="shared" si="6"/>
        <v>Borcher, D. L., &amp; Marques, T. A. (2017). From Distance Sampling to Spatial Capture-Recapture. &lt;i&gt;Asta Advances In Statistical Analysis, 101&lt;/i&gt;, 475-494. &lt;a href="https://link.springer.com/article/10.1007/s10182-016-0287-7" target="_blank"&gt;https://link.springer.com/article/10.1007/s10182-016-0287-7&lt;/a&gt;&lt;span style="color:white"&gt;[.]{#borcher_marques_2017}&lt;/span&gt;&lt;br&gt;&lt;br&gt;</v>
      </c>
      <c r="T40" s="64" t="str">
        <f t="shared" si="5"/>
        <v xml:space="preserve">    rtxt_borcher_marques_2017: "&lt;a href=\"/08_references.html#borcher_marques_2017\" target=\"_blank\"&gt;Borcher &amp; Marques, 2017&lt;/a&gt;"</v>
      </c>
      <c r="U40" s="64" t="str">
        <f t="shared" si="3"/>
        <v xml:space="preserve">    rbib_borcher_marques_2017: "Borcher, D. L., &amp; Marques, T. A. (2017). From Distance Sampling to Spatial Capture-Recapture. *Asta Advances In Statistical Analysis, 101*, 475-494. &lt;https://link.springer.com/article/10.1007/s10182-016-0287-7&gt;"</v>
      </c>
      <c r="V40" s="64"/>
    </row>
    <row r="41" spans="1:22" ht="15.75">
      <c r="A41" s="64"/>
      <c r="B41" s="77" t="b">
        <v>0</v>
      </c>
      <c r="C41" s="77" t="b">
        <v>0</v>
      </c>
      <c r="D41" s="77"/>
      <c r="E41" s="64" t="s">
        <v>1904</v>
      </c>
      <c r="F41" s="64" t="s">
        <v>3790</v>
      </c>
      <c r="G41" s="64" t="s">
        <v>3789</v>
      </c>
      <c r="H41" s="64" t="s">
        <v>3789</v>
      </c>
      <c r="I41" s="64" t="b">
        <v>1</v>
      </c>
      <c r="J41" s="66" t="s">
        <v>3788</v>
      </c>
      <c r="K41" s="66" t="s">
        <v>3960</v>
      </c>
      <c r="L41" s="64" t="s">
        <v>4344</v>
      </c>
      <c r="M41" s="64" t="s">
        <v>5792</v>
      </c>
      <c r="N41" s="65" t="str">
        <f t="shared" si="7"/>
        <v>[Borchers, D. (2012). A non-technical overview of spatially explicit capture-recapture models. &lt;i&gt;Journal of Ornithology, 152&lt;/i&gt;(S2), 435-444. &lt;a target="_blank" href="https://doi.org/10.1007/s10336-010-0583-z"&gt;{https://doi.org/10.1007/s10336-010-0583-z}]{#borchers_2012}&lt;br&gt;&lt;br&gt;</v>
      </c>
      <c r="O41" s="64" t="s">
        <v>3787</v>
      </c>
      <c r="P41" s="64" t="s">
        <v>984</v>
      </c>
      <c r="Q41" s="64" t="str">
        <f t="shared" si="0"/>
        <v>{{ rtxt_borchers_2012 }}</v>
      </c>
      <c r="R41" s="64" t="str">
        <f t="shared" si="1"/>
        <v>{{ rbib_borchers_2012 }}</v>
      </c>
      <c r="S41" s="63" t="str">
        <f t="shared" si="6"/>
        <v>Borchers, D. (2012). A non-technical overview of spatially explicit capture-recapture models. &lt;i&gt;Journal of Ornithology, 152&lt;/i&gt;(S2), 435-444. &lt;a href="https://doi.org/10.1007/s10336-010-0583-z" target="_blank"&gt;https://doi.org/10.1007/s10336-010-0583-z&lt;/a&gt;&lt;span style="color:white"&gt;[.]{#borchers_2012}&lt;/span&gt;&lt;br&gt;&lt;br&gt;</v>
      </c>
      <c r="T41" s="64" t="str">
        <f t="shared" si="5"/>
        <v xml:space="preserve">    rtxt_borchers_2012: "&lt;a href=\"/08_references.html#borchers_2012\" target=\"_blank\"&gt;Borchers, 2012&lt;/a&gt;"</v>
      </c>
      <c r="U41" s="64" t="str">
        <f t="shared" si="3"/>
        <v xml:space="preserve">    rbib_borchers_2012: "Borchers, D. (2012). A non-technical overview of spatially explicit capture-recapture models. *Journal of Ornithology, 152*(S2), 435-444. &lt;https://doi.org/10.1007/s10336-010-0583-z&gt;"</v>
      </c>
      <c r="V41" s="64"/>
    </row>
    <row r="42" spans="1:22" ht="15.75">
      <c r="A42" s="64"/>
      <c r="B42" s="77" t="b">
        <v>1</v>
      </c>
      <c r="C42" s="77" t="b">
        <v>0</v>
      </c>
      <c r="D42" s="77" t="b">
        <v>0</v>
      </c>
      <c r="E42" s="64" t="s">
        <v>1904</v>
      </c>
      <c r="F42" s="64" t="s">
        <v>3786</v>
      </c>
      <c r="G42" s="64" t="s">
        <v>3785</v>
      </c>
      <c r="H42" s="64" t="s">
        <v>3785</v>
      </c>
      <c r="I42" s="64" t="b">
        <v>1</v>
      </c>
      <c r="J42" s="66" t="s">
        <v>3784</v>
      </c>
      <c r="K42" s="66" t="s">
        <v>3960</v>
      </c>
      <c r="L42" s="64" t="s">
        <v>4345</v>
      </c>
      <c r="M42" s="64" t="s">
        <v>5936</v>
      </c>
      <c r="N42" s="65" t="str">
        <f t="shared" si="7"/>
        <v>[Borchers, D. L., &amp; Efford, M. G. (2008). Spatially Explicit Maximum Likelihood Methods for Capture-Recapture Studies. &lt;i&gt;Biometrics, 64&lt;/i&gt;(2), 377-385. &lt;a target="_blank" href="https://doi.org/10.1111/j.1541-0420.2007.00927.x"&gt;{https://doi.org/10.1111/j.1541-0420.2007.00927.x}]{#borchers_efford_2008}&lt;br&gt;&lt;br&gt;</v>
      </c>
      <c r="O42" s="64" t="s">
        <v>3783</v>
      </c>
      <c r="P42" s="64" t="s">
        <v>984</v>
      </c>
      <c r="Q42" s="64" t="str">
        <f t="shared" si="0"/>
        <v>{{ rtxt_borchers_efford_2008 }}</v>
      </c>
      <c r="R42" s="64" t="str">
        <f t="shared" si="1"/>
        <v>{{ rbib_borchers_efford_2008 }}</v>
      </c>
      <c r="S42" s="63" t="str">
        <f t="shared" si="6"/>
        <v>Borchers, D. L., &amp; Efford, M. G. (2008). Spatially Explicit Maximum Likelihood Methods for Capture-Recapture Studies. &lt;i&gt;Biometrics, 64&lt;/i&gt;(2), 377-385. &lt;a href="https://doi.org/10.1111/j.1541-0420.2007.00927.x" target="_blank"&gt;https://doi.org/10.1111/j.1541-0420.2007.00927.x&lt;/a&gt;&lt;span style="color:white"&gt;[.]{#borchers_efford_2008}&lt;/span&gt;&lt;br&gt;&lt;br&gt;</v>
      </c>
      <c r="T42" s="64" t="str">
        <f t="shared" si="5"/>
        <v xml:space="preserve">    rtxt_borchers_efford_2008: "&lt;a href=\"/08_references.html#borchers_efford_2008\" target=\"_blank\"&gt;Borchers &amp; Efford, 2008&lt;/a&gt;"</v>
      </c>
      <c r="U42" s="64" t="str">
        <f t="shared" si="3"/>
        <v xml:space="preserve">    rbib_borchers_efford_2008: "Borchers, D. L., &amp; Efford, M. G. (2008). Spatially Explicit Maximum Likelihood Methods for Capture-Recapture Studies. *Biometrics, 64*(2), 377-385. &lt;https://doi.org/10.1111/j.1541-0420.2007.00927.x&gt;"</v>
      </c>
      <c r="V42" s="64"/>
    </row>
    <row r="43" spans="1:22" ht="15.75">
      <c r="A43" s="64"/>
      <c r="B43" s="77" t="b">
        <v>0</v>
      </c>
      <c r="C43" s="77" t="b">
        <v>0</v>
      </c>
      <c r="D43" s="77"/>
      <c r="E43" s="64" t="s">
        <v>1904</v>
      </c>
      <c r="F43" s="64" t="s">
        <v>3782</v>
      </c>
      <c r="G43" s="64" t="s">
        <v>3781</v>
      </c>
      <c r="H43" s="64" t="s">
        <v>3781</v>
      </c>
      <c r="I43" s="64" t="b">
        <v>1</v>
      </c>
      <c r="J43" s="66" t="s">
        <v>3780</v>
      </c>
      <c r="K43" s="66" t="s">
        <v>3960</v>
      </c>
      <c r="L43" s="64" t="s">
        <v>4346</v>
      </c>
      <c r="M43" s="64" t="s">
        <v>5857</v>
      </c>
      <c r="N43" s="65" t="str">
        <f t="shared" si="7"/>
        <v>[Borchers,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href="https://doi.org/10.1080/01621459.2014.893884"&gt;{https://doi.org/10.1080/01621459.2014.893884}]{#borchers_et_al_2015}&lt;br&gt;&lt;br&gt;</v>
      </c>
      <c r="O43" s="64" t="s">
        <v>3779</v>
      </c>
      <c r="P43" s="64" t="s">
        <v>984</v>
      </c>
      <c r="Q43" s="64" t="str">
        <f t="shared" si="0"/>
        <v>{{ rtxt_borchers_et_al_2015 }}</v>
      </c>
      <c r="R43" s="64" t="str">
        <f t="shared" si="1"/>
        <v>{{ rbib_borchers_et_al_2015 }}</v>
      </c>
      <c r="S43" s="63" t="str">
        <f t="shared" si="6"/>
        <v>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target="_blank"&gt;https://doi.org/10.1080/01621459.2014.893884&lt;/a&gt;&lt;span style="color:white"&gt;[.]{#borchers_et_al_2015}&lt;/span&gt;&lt;br&gt;&lt;br&gt;</v>
      </c>
      <c r="T43" s="64" t="str">
        <f t="shared" si="5"/>
        <v xml:space="preserve">    rtxt_borchers_et_al_2015: "&lt;a href=\"/08_references.html#borchers_et_al_2015\" target=\"_blank\"&gt;Borchers et al., 2015&lt;/a&gt;"</v>
      </c>
      <c r="U43" s="64" t="str">
        <f t="shared" si="3"/>
        <v xml:space="preserve">    rbib_borchers_et_al_2015: "Borchers, D. L., Stevenson, B. C., Kidney, D., Thomas, L., &amp; Marques, T. A. (2015). A Unifying Model for Capture-Recapture and Distance Sampling Surveys of Wildlife Populations. *Journal of the American Statistical Association, 110*(509), 195-204. &lt;https://doi.org/10.1080/01621459.2014.893884&gt;"</v>
      </c>
      <c r="V43" s="64"/>
    </row>
    <row r="44" spans="1:22" ht="15.75">
      <c r="A44" s="64"/>
      <c r="B44" s="77" t="b">
        <v>1</v>
      </c>
      <c r="C44" s="77" t="b">
        <v>1</v>
      </c>
      <c r="D44" s="77" t="b">
        <v>0</v>
      </c>
      <c r="E44" s="64" t="s">
        <v>1904</v>
      </c>
      <c r="F44" s="64" t="s">
        <v>3778</v>
      </c>
      <c r="G44" s="64" t="s">
        <v>3777</v>
      </c>
      <c r="H44" s="64" t="s">
        <v>3776</v>
      </c>
      <c r="I44" s="64" t="b">
        <v>1</v>
      </c>
      <c r="J44" s="66" t="s">
        <v>3775</v>
      </c>
      <c r="K44" s="66" t="s">
        <v>3960</v>
      </c>
      <c r="L44" s="64" t="s">
        <v>4347</v>
      </c>
      <c r="M44" s="64" t="s">
        <v>5921</v>
      </c>
      <c r="N44" s="65" t="str">
        <f t="shared" si="7"/>
        <v>[Bowkett,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href="https://doi.org/10.1111/j.1365-2028.2007.00881.x"&gt;{https://doi.org/10.1111/j.1365-2028.2007.00881.x}]{#bowkett_et_al_2008}&lt;br&gt;&lt;br&gt;</v>
      </c>
      <c r="O44" s="64" t="s">
        <v>3774</v>
      </c>
      <c r="P44" s="64" t="s">
        <v>984</v>
      </c>
      <c r="Q44" s="64" t="str">
        <f t="shared" si="0"/>
        <v>{{ rtxt_bowkett_et_al_2008 }}</v>
      </c>
      <c r="R44" s="64" t="str">
        <f t="shared" si="1"/>
        <v>{{ rbib_bowkett_et_al_2008 }}</v>
      </c>
      <c r="S44" s="63" t="str">
        <f t="shared" si="6"/>
        <v>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target="_blank"&gt;https://doi.org/10.1111/j.1365-2028.2007.00881.x&lt;/a&gt;&lt;span style="color:white"&gt;[.]{#bowkett_et_al_2008}&lt;/span&gt;&lt;br&gt;&lt;br&gt;</v>
      </c>
      <c r="T44" s="64" t="str">
        <f t="shared" si="5"/>
        <v xml:space="preserve">    rtxt_bowkett_et_al_2008: "&lt;a href=\"/08_references.html#bowkett_et_al_2008\" target=\"_blank\"&gt;Bowkett et al., 2008&lt;/a&gt;"</v>
      </c>
      <c r="U44" s="64" t="str">
        <f t="shared" si="3"/>
        <v xml:space="preserve">    rbib_bowkett_et_al_2008: "Bowkett, A. E., Rovero, F., &amp; Marshall, A. R. (2008). The use of camera-trap data to model habitat use by antelope species in the udzungwa mountain forests, tanzania. *African Journal of Ecology, 46*(4), 479-487. &lt;https://doi.org/10.1111/j.1365-2028.2007.00881.x&gt;"</v>
      </c>
      <c r="V44" s="64"/>
    </row>
    <row r="45" spans="1:22" ht="15.75">
      <c r="A45" s="64"/>
      <c r="B45" s="77"/>
      <c r="C45" s="77"/>
      <c r="D45" s="77"/>
      <c r="E45" s="64" t="s">
        <v>1939</v>
      </c>
      <c r="F45" s="64" t="s">
        <v>3773</v>
      </c>
      <c r="G45" s="64" t="s">
        <v>3772</v>
      </c>
      <c r="H45" s="64" t="s">
        <v>3772</v>
      </c>
      <c r="I45" s="64" t="b">
        <v>1</v>
      </c>
      <c r="J45" s="66" t="s">
        <v>3771</v>
      </c>
      <c r="K45" s="66" t="s">
        <v>3960</v>
      </c>
      <c r="L45" s="64" t="s">
        <v>4348</v>
      </c>
      <c r="M45" s="64" t="s">
        <v>6116</v>
      </c>
      <c r="N45" s="65" t="str">
        <f t="shared" si="7"/>
        <v>[Brennan, L. A. (2019). &lt;i&gt;Quantitative Analyses in Wildlife Science&lt;/i&gt;. Johns Hopkins University Press, Baltimore. &lt;a target="_blank" href="https://www.press.jhu.edu/books/title/11858/quantitative-analyses-wildlife-science"&gt;{https://www.press.jhu.edu/books/title/11858/quantitative-analyses-wildlife-science}]{#brennan_2019}&lt;br&gt;&lt;br&gt;</v>
      </c>
      <c r="O45" s="64" t="s">
        <v>3770</v>
      </c>
      <c r="P45" s="64" t="s">
        <v>984</v>
      </c>
      <c r="Q45" s="64" t="str">
        <f t="shared" si="0"/>
        <v>{{ rtxt_brennan_2019 }}</v>
      </c>
      <c r="R45" s="64" t="str">
        <f t="shared" si="1"/>
        <v>{{ rbib_brennan_2019 }}</v>
      </c>
      <c r="S45" s="63" t="str">
        <f t="shared" si="6"/>
        <v>Brennan, L. A. (2019). &lt;i&gt;Quantitative Analyses in Wildlife Science&lt;/i&gt;. Johns Hopkins University Press, Baltimore. &lt;a href="https://www.press.jhu.edu/books/title/11858/quantitative-analyses-wildlife-science" target="_blank"&gt;https://www.press.jhu.edu/books/title/11858/quantitative-analyses-wildlife-science&lt;/a&gt;&lt;span style="color:white"&gt;[.]{#brennan_2019}&lt;/span&gt;&lt;br&gt;&lt;br&gt;</v>
      </c>
      <c r="T45" s="64" t="str">
        <f t="shared" si="5"/>
        <v xml:space="preserve">    rtxt_brennan_2019: "&lt;a href=\"/08_references.html#brennan_2019\" target=\"_blank\"&gt;Brennan, 2019&lt;/a&gt;"</v>
      </c>
      <c r="U45" s="64" t="str">
        <f t="shared" si="3"/>
        <v xml:space="preserve">    rbib_brennan_2019: "Brennan, L. A. (2019). *Quantitative Analyses in Wildlife Science*. Johns Hopkins University Press, Baltimore. &lt;https://www.press.jhu.edu/books/title/11858/quantitative-analyses-wildlife-science&gt;"</v>
      </c>
      <c r="V45" s="64"/>
    </row>
    <row r="46" spans="1:22" ht="15.75">
      <c r="A46" s="64"/>
      <c r="B46" s="77" t="b">
        <v>1</v>
      </c>
      <c r="C46" s="77" t="b">
        <v>0</v>
      </c>
      <c r="D46" s="77" t="b">
        <v>0</v>
      </c>
      <c r="E46" s="64" t="s">
        <v>1904</v>
      </c>
      <c r="F46" s="64" t="s">
        <v>3769</v>
      </c>
      <c r="G46" s="64" t="s">
        <v>3768</v>
      </c>
      <c r="H46" s="64" t="s">
        <v>3768</v>
      </c>
      <c r="I46" s="64" t="b">
        <v>1</v>
      </c>
      <c r="J46" s="66" t="s">
        <v>3767</v>
      </c>
      <c r="K46" s="66" t="s">
        <v>3960</v>
      </c>
      <c r="L46" s="64" t="s">
        <v>4349</v>
      </c>
      <c r="M46" s="64" t="s">
        <v>5781</v>
      </c>
      <c r="N46" s="65" t="str">
        <f t="shared" si="7"/>
        <v>[Bridges, A. S., &amp; Noss, A. J. (2011). Behavior and Activity Patterns. In A. F. O'Connell, J. D. Nichols, &amp; K. U. Karanth (Eds.), &lt;i&gt;Camera Traps In Animal Ecology: Methods and Analyses&lt;/i&gt; (pp. 57-70). Springer. &lt;a target="_blank" href="https://doi.org/10.1007/978-4-431-99495-4"&gt;{https://doi.org/10.1007/978-4-431-99495-4}]{#bridges_noss_2011}&lt;br&gt;&lt;br&gt;</v>
      </c>
      <c r="O46" s="64" t="s">
        <v>2652</v>
      </c>
      <c r="P46" s="64" t="s">
        <v>984</v>
      </c>
      <c r="Q46" s="64" t="str">
        <f t="shared" si="0"/>
        <v>{{ rtxt_bridges_noss_2011 }}</v>
      </c>
      <c r="R46" s="64" t="str">
        <f t="shared" si="1"/>
        <v>{{ rbib_bridges_noss_2011 }}</v>
      </c>
      <c r="S46" s="63" t="str">
        <f t="shared" si="6"/>
        <v>Bridges, A. S., &amp; Noss, A. J. (2011). Behavior and Activity Patterns. In A. F. O'Connell, J. D. Nichols, &amp; K. U. Karanth (Eds.), &lt;i&gt;Camera Traps In Animal Ecology: Methods and Analyses&lt;/i&gt; (pp. 57-70). Springer. &lt;a href="https://doi.org/10.1007/978-4-431-99495-4" target="_blank"&gt;https://doi.org/10.1007/978-4-431-99495-4&lt;/a&gt;&lt;span style="color:white"&gt;[.]{#bridges_noss_2011}&lt;/span&gt;&lt;br&gt;&lt;br&gt;</v>
      </c>
      <c r="T46" s="64" t="str">
        <f t="shared" si="5"/>
        <v xml:space="preserve">    rtxt_bridges_noss_2011: "&lt;a href=\"/08_references.html#bridges_noss_2011\" target=\"_blank\"&gt;Bridges &amp; Noss, 2011&lt;/a&gt;"</v>
      </c>
      <c r="U46" s="64" t="str">
        <f t="shared" si="3"/>
        <v xml:space="preserve">    rbib_bridges_noss_2011: "Bridges, A. S., &amp; Noss, A. J. (2011). Behavior and Activity Patterns. In A. F. O'Connell, J. D. Nichols, &amp; K. U. Karanth (Eds.), *Camera Traps In Animal Ecology: Methods and Analyses* (pp. 57-70). Springer. &lt;https://doi.org/10.1007/978-4-431-99495-4&gt;"</v>
      </c>
      <c r="V46" s="64"/>
    </row>
    <row r="47" spans="1:22" ht="15.75">
      <c r="A47" s="64"/>
      <c r="B47" s="77"/>
      <c r="C47" s="77"/>
      <c r="D47" s="77"/>
      <c r="E47" s="64" t="s">
        <v>1904</v>
      </c>
      <c r="F47" s="64" t="s">
        <v>3766</v>
      </c>
      <c r="G47" s="64" t="s">
        <v>3765</v>
      </c>
      <c r="H47" s="64"/>
      <c r="I47" s="64" t="b">
        <v>1</v>
      </c>
      <c r="J47" s="66" t="s">
        <v>3764</v>
      </c>
      <c r="K47" s="66" t="s">
        <v>3960</v>
      </c>
      <c r="L47" s="64" t="s">
        <v>4350</v>
      </c>
      <c r="M47" s="64" t="s">
        <v>5730</v>
      </c>
      <c r="N47" s="65" t="str">
        <f t="shared" si="7"/>
        <v>[Broadley, K., Burton, A. C., Avgar, T., &amp; Boutin, S. (2019). Density‐dependent space use affects interpretation of camera trap detection rates. &lt;i&gt;Ecology and Evolution, 9&lt;/i&gt;(24), 14031-14041. &lt;a target="_blank" href="https://doi.org/10.1002/ece3.5840."&gt;{https://doi.org/10.1002/ece3.5840.}]{#broadley_et_al_2019}&lt;br&gt;&lt;br&gt;</v>
      </c>
      <c r="O47" s="64" t="s">
        <v>3763</v>
      </c>
      <c r="P47" s="64" t="s">
        <v>984</v>
      </c>
      <c r="Q47" s="64" t="str">
        <f t="shared" si="0"/>
        <v>{{ rtxt_broadley_et_al_2019 }}</v>
      </c>
      <c r="R47" s="64" t="str">
        <f t="shared" si="1"/>
        <v>{{ rbib_broadley_et_al_2019 }}</v>
      </c>
      <c r="S47" s="63" t="str">
        <f t="shared" si="6"/>
        <v>Broadley, K., Burton, A. C., Avgar, T., &amp; Boutin, S. (2019). Density‐dependent space use affects interpretation of camera trap detection rates. &lt;i&gt;Ecology and Evolution, 9&lt;/i&gt;(24), 14031-14041. &lt;a href="https://doi.org/10.1002/ece3.5840." target="_blank"&gt;https://doi.org/10.1002/ece3.5840.&lt;/a&gt;&lt;span style="color:white"&gt;[.]{#broadley_et_al_2019}&lt;/span&gt;&lt;br&gt;&lt;br&gt;</v>
      </c>
      <c r="T47" s="64" t="str">
        <f t="shared" si="5"/>
        <v xml:space="preserve">    rtxt_broadley_et_al_2019: "&lt;a href=\"/08_references.html#broadley_et_al_2019\" target=\"_blank\"&gt;Broadley et al., 2019&lt;/a&gt;"</v>
      </c>
      <c r="U47" s="64" t="str">
        <f t="shared" si="3"/>
        <v xml:space="preserve">    rbib_broadley_et_al_2019: "Broadley, K., Burton, A. C., Avgar, T., &amp; Boutin, S. (2019). Density‐dependent space use affects interpretation of camera trap detection rates. *Ecology and Evolution, 9*(24), 14031-14041. &lt;https://doi.org/10.1002/ece3.5840&gt;."</v>
      </c>
      <c r="V47" s="64"/>
    </row>
    <row r="48" spans="1:22" ht="15.75">
      <c r="A48" s="64"/>
      <c r="B48" s="77" t="b">
        <v>0</v>
      </c>
      <c r="C48" s="77" t="b">
        <v>0</v>
      </c>
      <c r="D48" s="77" t="b">
        <v>1</v>
      </c>
      <c r="E48" s="64" t="s">
        <v>1904</v>
      </c>
      <c r="F48" s="64" t="s">
        <v>3762</v>
      </c>
      <c r="G48" s="64" t="s">
        <v>3761</v>
      </c>
      <c r="H48" s="64" t="s">
        <v>3761</v>
      </c>
      <c r="I48" s="64" t="b">
        <v>1</v>
      </c>
      <c r="J48" s="66" t="s">
        <v>3760</v>
      </c>
      <c r="K48" s="66" t="s">
        <v>3960</v>
      </c>
      <c r="L48" s="64" t="s">
        <v>4351</v>
      </c>
      <c r="M48" s="64" t="s">
        <v>5909</v>
      </c>
      <c r="N48" s="65" t="str">
        <f t="shared" si="7"/>
        <v>[Brodie,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href="https://doi.org/10.1111/cobi.12389"&gt;{https://doi.org/10.1111/cobi.12389}]{#brodie_et_al_2015}&lt;br&gt;&lt;br&gt;</v>
      </c>
      <c r="O48" s="64" t="s">
        <v>3759</v>
      </c>
      <c r="P48" s="64" t="s">
        <v>984</v>
      </c>
      <c r="Q48" s="64" t="str">
        <f t="shared" si="0"/>
        <v>{{ rtxt_brodie_et_al_2015 }}</v>
      </c>
      <c r="R48" s="64" t="str">
        <f t="shared" si="1"/>
        <v>{{ rbib_brodie_et_al_2015 }}</v>
      </c>
      <c r="S48" s="63" t="str">
        <f t="shared" si="6"/>
        <v>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target="_blank"&gt;https://doi.org/10.1111/cobi.12389&lt;/a&gt;&lt;span style="color:white"&gt;[.]{#brodie_et_al_2015}&lt;/span&gt;&lt;br&gt;&lt;br&gt;</v>
      </c>
      <c r="T48" s="64" t="str">
        <f t="shared" si="5"/>
        <v xml:space="preserve">    rtxt_brodie_et_al_2015: "&lt;a href=\"/08_references.html#brodie_et_al_2015\" target=\"_blank\"&gt;Brodie et al., 2015&lt;/a&gt;"</v>
      </c>
      <c r="U48" s="64" t="str">
        <f t="shared" si="3"/>
        <v xml:space="preserve">    rbib_brodie_et_al_2015: "Brodie, J. F., Giordano, A. J., Zipkin, E. F., Bernard, H., Mohd‐Azlan, J., &amp; Ambu, L. (2015). Correlation and persistence of hunting and logging impacts on tropical rainforest mammals. *Conservation Biology, 29*(1), 110-121. &lt;https://doi.org/10.1111/cobi.12389&gt;"</v>
      </c>
      <c r="V48" s="64"/>
    </row>
    <row r="49" spans="1:22" ht="15.75">
      <c r="A49" s="64"/>
      <c r="B49" s="77" t="b">
        <v>0</v>
      </c>
      <c r="C49" s="77" t="b">
        <v>0</v>
      </c>
      <c r="D49" s="77" t="b">
        <v>1</v>
      </c>
      <c r="E49" s="64" t="s">
        <v>1904</v>
      </c>
      <c r="F49" s="64" t="s">
        <v>3758</v>
      </c>
      <c r="G49" s="64" t="s">
        <v>3757</v>
      </c>
      <c r="H49" s="64" t="s">
        <v>3757</v>
      </c>
      <c r="I49" s="64" t="b">
        <v>1</v>
      </c>
      <c r="J49" s="66" t="s">
        <v>3756</v>
      </c>
      <c r="K49" s="66" t="s">
        <v>3960</v>
      </c>
      <c r="L49" s="64" t="s">
        <v>4352</v>
      </c>
      <c r="M49" s="64" t="s">
        <v>5918</v>
      </c>
      <c r="N49" s="65" t="str">
        <f t="shared" si="7"/>
        <v>[Broekman,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href="https://doi.org/10.1111/geb.13625"&gt;{https://doi.org/10.1111/geb.13625}]{#broekman_et_al_2022}&lt;br&gt;&lt;br&gt;</v>
      </c>
      <c r="O49" s="64" t="s">
        <v>3755</v>
      </c>
      <c r="P49" s="64" t="s">
        <v>984</v>
      </c>
      <c r="Q49" s="64" t="str">
        <f t="shared" si="0"/>
        <v>{{ rtxt_broekman_et_al_2022 }}</v>
      </c>
      <c r="R49" s="64" t="str">
        <f t="shared" si="1"/>
        <v>{{ rbib_broekman_et_al_2022 }}</v>
      </c>
      <c r="S49" s="63" t="str">
        <f t="shared" si="6"/>
        <v>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target="_blank"&gt;https://doi.org/10.1111/geb.13625&lt;/a&gt;&lt;span style="color:white"&gt;[.]{#broekman_et_al_2022}&lt;/span&gt;&lt;br&gt;&lt;br&gt;</v>
      </c>
      <c r="T49" s="64" t="str">
        <f t="shared" si="5"/>
        <v xml:space="preserve">    rtxt_broekman_et_al_2022: "&lt;a href=\"/08_references.html#broekman_et_al_2022\" target=\"_blank\"&gt;Broekman et al., 2022&lt;/a&gt;"</v>
      </c>
      <c r="U49" s="64" t="str">
        <f t="shared" si="3"/>
        <v xml:space="preserve">    rbib_broekman_et_al_2022: "Broekman, M. J. E., Hoeks, S., Freriks, R., Langendoen, M. M., Runge, K. M., Savenco, E., Ter Harmsel, R., Huijbregts, M. A. J., &amp; Tucker, M. A. (2023). HomeRange: A global database of mammalian home ranges. *Global Ecology and Biogeography, 32*(2), 198-205. &lt;https://doi.org/10.1111/geb.13625&gt;"</v>
      </c>
      <c r="V49" s="64"/>
    </row>
    <row r="50" spans="1:22" ht="15.75" customHeight="1">
      <c r="A50" s="64"/>
      <c r="B50" s="77"/>
      <c r="C50" s="77"/>
      <c r="D50" s="77"/>
      <c r="E50" s="64"/>
      <c r="F50" s="12" t="s">
        <v>1897</v>
      </c>
      <c r="G50" s="64" t="s">
        <v>3951</v>
      </c>
      <c r="H50" s="64"/>
      <c r="I50" s="64"/>
      <c r="J50" s="75" t="s">
        <v>3950</v>
      </c>
      <c r="K50" s="66" t="s">
        <v>3960</v>
      </c>
      <c r="L50" s="75" t="s">
        <v>4353</v>
      </c>
      <c r="M50" s="75" t="s">
        <v>6016</v>
      </c>
      <c r="N50" s="65" t="str">
        <f t="shared" si="7"/>
        <v>[Brooks,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href="https://doi.org/10.32614/CRAN.package.glmmTMB"&gt;{https://doi.org/10.32614/CRAN.package.glmmTMB}}]{#brooks_et_al_2017}&lt;br&gt;&lt;br&gt;</v>
      </c>
      <c r="O50" t="s">
        <v>5366</v>
      </c>
      <c r="P50" s="64" t="s">
        <v>984</v>
      </c>
      <c r="Q50" s="64" t="str">
        <f t="shared" si="0"/>
        <v>{{ rtxt_brooks_et_al_2017 }}</v>
      </c>
      <c r="R50" s="64" t="str">
        <f t="shared" si="1"/>
        <v>{{ rbib_brooks_et_al_2017 }}</v>
      </c>
      <c r="S50" s="63" t="str">
        <f t="shared" si="6"/>
        <v>Brooks, M., Bolker, B., Kristensen, K., Maechler, M., Magnusson, A., Skaug, H., Nielsen, A., Berg, C., &amp; Van Bentham, K. (2017).*glmmTMB: Generalized Linear Mixed Models using Template Model Builder.* R package version 1.1.10. &lt;a href="https://doi.org/10.32614/CRAN.package.glmmTMB" target="_blank"&gt;https://doi.org/10.32614/CRAN.package.glmmTMB&lt;/a&gt;&lt;span style="color:white"&gt;[.]{#brooks_et_al_2017}&lt;/span&gt;&lt;br&gt;&lt;br&gt;</v>
      </c>
      <c r="T50" s="64" t="str">
        <f t="shared" si="5"/>
        <v xml:space="preserve">    rtxt_brooks_et_al_2017: "&lt;a href=\"/08_references.html#brooks_et_al_2017\" target=\"_blank\"&gt;Brooks et al., 2017&lt;/a&gt;"</v>
      </c>
      <c r="U50" s="64" t="str">
        <f t="shared" si="3"/>
        <v xml:space="preserve">    rbib_brooks_et_al_2017: "Brooks, M., Bolker, B., Kristensen, K., Maechler, M., Magnusson, A., Skaug, H., Nielsen, A., Berg, C., &amp; Van Bentham, K. (2017).*glmmTMB: Generalized Linear Mixed Models using Template Model Builder.* R package version 1.1.10. &lt;https://doi.org/10.32614/CRAN.package.glmmTMB&gt;"</v>
      </c>
      <c r="V50" s="64"/>
    </row>
    <row r="51" spans="1:22" ht="15.75">
      <c r="A51" s="64"/>
      <c r="B51" s="77" t="b">
        <v>0</v>
      </c>
      <c r="C51" s="77" t="b">
        <v>0</v>
      </c>
      <c r="D51" s="77"/>
      <c r="E51" s="64" t="s">
        <v>1904</v>
      </c>
      <c r="F51" s="64" t="s">
        <v>3754</v>
      </c>
      <c r="G51" s="64" t="s">
        <v>3753</v>
      </c>
      <c r="H51" s="64" t="s">
        <v>3752</v>
      </c>
      <c r="I51" s="64" t="b">
        <v>1</v>
      </c>
      <c r="J51" s="66" t="s">
        <v>3751</v>
      </c>
      <c r="K51" s="66" t="s">
        <v>3960</v>
      </c>
      <c r="L51" s="64" t="s">
        <v>4354</v>
      </c>
      <c r="M51" s="64" t="s">
        <v>5905</v>
      </c>
      <c r="N51" s="65" t="str">
        <f t="shared" si="7"/>
        <v>[Brownlee, M., Warbington, C., &amp; Boyce., M. (2022). Monitoring Sitatunga (&lt;i&gt;Tragelaphus Spekii&lt;i&gt;) Populations Using Camera Traps. &lt;i&gt;African Journal of Ecology, 60&lt;/i&gt;(3), 377. &lt;a target="_blank" href="https://doi.org/10.1111/aje.12972"&gt;{https://doi.org/10.1111/aje.12972}]{#brownlee_et_al_2022}&lt;br&gt;&lt;br&gt;</v>
      </c>
      <c r="O51" s="64" t="s">
        <v>3750</v>
      </c>
      <c r="P51" s="64" t="s">
        <v>984</v>
      </c>
      <c r="Q51" s="64" t="str">
        <f t="shared" si="0"/>
        <v>{{ rtxt_brownlee_et_al_2022 }}</v>
      </c>
      <c r="R51" s="64" t="str">
        <f t="shared" si="1"/>
        <v>{{ rbib_brownlee_et_al_2022 }}</v>
      </c>
      <c r="S51" s="63" t="str">
        <f t="shared" si="6"/>
        <v>Brownlee, M., Warbington, C., &amp; Boyce., M. (2022). Monitoring Sitatunga (&lt;i&gt;Tragelaphus Spekii&lt;i&gt;) Populations Using Camera Traps. &lt;i&gt;African Journal of Ecology, 60&lt;/i&gt;(3), 377. &lt;a href="https://doi.org/10.1111/aje.12972" target="_blank"&gt;https://doi.org/10.1111/aje.12972&lt;/a&gt;&lt;span style="color:white"&gt;[.]{#brownlee_et_al_2022}&lt;/span&gt;&lt;br&gt;&lt;br&gt;</v>
      </c>
      <c r="T51" s="64" t="str">
        <f t="shared" si="5"/>
        <v xml:space="preserve">    rtxt_brownlee_et_al_2022: "&lt;a href=\"/08_references.html#brownlee_et_al_2022\" target=\"_blank\"&gt;Brownlee et al., 2022&lt;/a&gt;"</v>
      </c>
      <c r="U51" s="64" t="str">
        <f t="shared" si="3"/>
        <v xml:space="preserve">    rbib_brownlee_et_al_2022: "Brownlee, M., Warbington, C., &amp; Boyce., M. (2022). Monitoring Sitatunga (*Tragelaphus Spekii*) Populations Using Camera Traps. *African Journal of Ecology, 60*(3), 377. &lt;https://doi.org/10.1111/aje.12972&gt;"</v>
      </c>
      <c r="V51" s="64"/>
    </row>
    <row r="52" spans="1:22" ht="15.75">
      <c r="A52" s="64"/>
      <c r="B52" s="77"/>
      <c r="C52" s="77"/>
      <c r="D52" s="77"/>
      <c r="E52" s="64" t="s">
        <v>1904</v>
      </c>
      <c r="F52" s="64" t="s">
        <v>3749</v>
      </c>
      <c r="G52" s="65" t="s">
        <v>3748</v>
      </c>
      <c r="H52" s="65" t="s">
        <v>3748</v>
      </c>
      <c r="I52" s="64" t="b">
        <v>1</v>
      </c>
      <c r="J52" s="66" t="s">
        <v>3747</v>
      </c>
      <c r="K52" s="66" t="s">
        <v>3960</v>
      </c>
      <c r="L52" s="64" t="s">
        <v>4355</v>
      </c>
      <c r="M52" s="64" t="s">
        <v>5978</v>
      </c>
      <c r="N52" s="65" t="str">
        <f t="shared" si="7"/>
        <v>[Buckland, S. T. (2006). Point-Transect Surveys for Songbirds: Robust Methodologies. &lt;i&gt;The American Ornithologists’ Union, 123&lt;/i&gt;(2), 345-357. &lt;a target="_blank" href="https://doi.org/10.1642/0004-8038(2006)123[345:PSFSRM]2.0.CO;2"&gt;{https://doi.org/10.1642/0004-8038(2006)123[345:PSFSRM]2.0.CO;2}]{#buckland_2006}&lt;br&gt;&lt;br&gt;</v>
      </c>
      <c r="O52" s="64" t="s">
        <v>3746</v>
      </c>
      <c r="P52" s="64" t="s">
        <v>984</v>
      </c>
      <c r="Q52" s="64" t="str">
        <f t="shared" si="0"/>
        <v>{{ rtxt_buckland_2006 }}</v>
      </c>
      <c r="R52" s="64" t="str">
        <f t="shared" si="1"/>
        <v>{{ rbib_buckland_2006 }}</v>
      </c>
      <c r="S52" s="63" t="str">
        <f t="shared" si="6"/>
        <v>Buckland, S. T. (2006). Point-Transect Surveys for Songbirds: Robust Methodologies. &lt;i&gt;The American Ornithologists’ Union, 123&lt;/i&gt;(2), 345-357. &lt;a href="https://doi.org/10.1642/0004-8038(2006)123[345:PSFSRM]2.0.CO;2" target="_blank"&gt;https://doi.org/10.1642/0004-8038(2006)123[345:PSFSRM]2.0.CO;2&lt;/a&gt;&lt;span style="color:white"&gt;[.]{#buckland_2006}&lt;/span&gt;&lt;br&gt;&lt;br&gt;</v>
      </c>
      <c r="T52" s="64" t="str">
        <f t="shared" si="5"/>
        <v xml:space="preserve">    rtxt_buckland_2006: "&lt;a href=\"/08_references.html#buckland_2006\" target=\"_blank\"&gt;Buckland, 2006&lt;/a&gt;"</v>
      </c>
      <c r="U52" s="64" t="str">
        <f t="shared" si="3"/>
        <v xml:space="preserve">    rbib_buckland_2006: "Buckland, S. T. (2006). Point-Transect Surveys for Songbirds: Robust Methodologies. *The American Ornithologists’ Union, 123*(2), 345-357. &lt;https://doi.org/10.1642/0004-8038(2006)123[345:PSFSRM]2.0.CO;2&gt;"</v>
      </c>
      <c r="V52" s="64"/>
    </row>
    <row r="53" spans="1:22" ht="15.75">
      <c r="A53" s="64"/>
      <c r="B53" s="77"/>
      <c r="C53" s="77"/>
      <c r="D53" s="77"/>
      <c r="E53" s="64" t="s">
        <v>1904</v>
      </c>
      <c r="F53" s="64" t="s">
        <v>3745</v>
      </c>
      <c r="G53" s="64" t="s">
        <v>3744</v>
      </c>
      <c r="H53" s="64" t="s">
        <v>3744</v>
      </c>
      <c r="I53" s="64" t="b">
        <v>1</v>
      </c>
      <c r="J53" s="66" t="s">
        <v>3743</v>
      </c>
      <c r="K53" s="66" t="s">
        <v>3960</v>
      </c>
      <c r="L53" s="64" t="s">
        <v>4356</v>
      </c>
      <c r="M53" s="64" t="s">
        <v>5788</v>
      </c>
      <c r="N53" s="65" t="str">
        <f t="shared" si="7"/>
        <v>[Buckland, S. T., D.R. Anderson, K.P. Burnham, &amp; J.L. Laake. (1998). &lt;i&gt;Distance Sampling: Estimating Abundance of Biological Populations&lt;/i&gt;. Chapman &amp; Hall, London. &lt;a target="_blank" href="https://doi.org/10.1007/978-94-011-1574-2"&gt;{https://doi.org/10.1007/978-94-011-1574-2}]{#buckland_et_al_1993}&lt;br&gt;&lt;br&gt;</v>
      </c>
      <c r="O53" s="64" t="s">
        <v>3742</v>
      </c>
      <c r="P53" s="64" t="s">
        <v>984</v>
      </c>
      <c r="Q53" s="64" t="str">
        <f t="shared" si="0"/>
        <v>{{ rtxt_buckland_et_al_1993 }}</v>
      </c>
      <c r="R53" s="64" t="str">
        <f t="shared" si="1"/>
        <v>{{ rbib_buckland_et_al_1993 }}</v>
      </c>
      <c r="S53" s="63" t="str">
        <f t="shared" si="6"/>
        <v>Buckland, S. T., D.R. Anderson, K.P. Burnham, &amp; J.L. Laake. (1998). &lt;i&gt;Distance Sampling: Estimating Abundance of Biological Populations&lt;/i&gt;. Chapman &amp; Hall, London. &lt;a href="https://doi.org/10.1007/978-94-011-1574-2" target="_blank"&gt;https://doi.org/10.1007/978-94-011-1574-2&lt;/a&gt;&lt;span style="color:white"&gt;[.]{#buckland_et_al_1993}&lt;/span&gt;&lt;br&gt;&lt;br&gt;</v>
      </c>
      <c r="T53" s="64" t="str">
        <f t="shared" si="5"/>
        <v xml:space="preserve">    rtxt_buckland_et_al_1993: "&lt;a href=\"/08_references.html#buckland_et_al_1993\" target=\"_blank\"&gt;Buckland et al., 1998&lt;/a&gt;"</v>
      </c>
      <c r="U53" s="64" t="str">
        <f t="shared" si="3"/>
        <v xml:space="preserve">    rbib_buckland_et_al_1993: "Buckland, S. T., D.R. Anderson, K.P. Burnham, &amp; J.L. Laake. (1998). *Distance Sampling: Estimating Abundance of Biological Populations*. Chapman &amp; Hall, London. &lt;https://doi.org/10.1007/978-94-011-1574-2&gt;"</v>
      </c>
      <c r="V53" s="64"/>
    </row>
    <row r="54" spans="1:22" ht="15.75">
      <c r="A54" s="64"/>
      <c r="B54" s="77"/>
      <c r="C54" s="77"/>
      <c r="D54" s="77"/>
      <c r="E54" s="64" t="s">
        <v>1904</v>
      </c>
      <c r="F54" s="64" t="s">
        <v>3741</v>
      </c>
      <c r="G54" s="64" t="s">
        <v>3740</v>
      </c>
      <c r="H54" s="64" t="s">
        <v>3740</v>
      </c>
      <c r="I54" s="64" t="b">
        <v>1</v>
      </c>
      <c r="J54" s="66" t="s">
        <v>3739</v>
      </c>
      <c r="K54" s="66" t="s">
        <v>3960</v>
      </c>
      <c r="L54" s="64" t="s">
        <v>4357</v>
      </c>
      <c r="M54" s="64" t="s">
        <v>5780</v>
      </c>
      <c r="N54" s="65" t="str">
        <f t="shared" si="7"/>
        <v>[Buckland, S. T., E. A. Rexstad, T. A. Marques, C. S. Oedekoven. (2015). &lt;i&gt;Mathematics and Statistics. Distance Sampling: Methods and Applications.&lt;/i&gt; Springer International Publishing. &lt;a target="_blank" href="https://doi.org/10.1007/978-3-319-19219-2"&gt;{https://doi.org/10.1007/978-3-319-19219-2}]{#buckland_et_al_2015}&lt;br&gt;&lt;br&gt;</v>
      </c>
      <c r="O54" s="64" t="s">
        <v>3738</v>
      </c>
      <c r="P54" s="64" t="s">
        <v>984</v>
      </c>
      <c r="Q54" s="64" t="str">
        <f t="shared" si="0"/>
        <v>{{ rtxt_buckland_et_al_2015 }}</v>
      </c>
      <c r="R54" s="64" t="str">
        <f t="shared" si="1"/>
        <v>{{ rbib_buckland_et_al_2015 }}</v>
      </c>
      <c r="S54" s="63" t="str">
        <f t="shared" si="6"/>
        <v>Buckland, S. T., E. A. Rexstad, T. A. Marques, C. S. Oedekoven. (2015). &lt;i&gt;Mathematics and Statistics. Distance Sampling: Methods and Applications.&lt;/i&gt; Springer International Publishing. &lt;a href="https://doi.org/10.1007/978-3-319-19219-2" target="_blank"&gt;https://doi.org/10.1007/978-3-319-19219-2&lt;/a&gt;&lt;span style="color:white"&gt;[.]{#buckland_et_al_2015}&lt;/span&gt;&lt;br&gt;&lt;br&gt;</v>
      </c>
      <c r="T54" s="64" t="str">
        <f t="shared" si="5"/>
        <v xml:space="preserve">    rtxt_buckland_et_al_2015: "&lt;a href=\"/08_references.html#buckland_et_al_2015\" target=\"_blank\"&gt;Buckland et al., 2015&lt;/a&gt;"</v>
      </c>
      <c r="U54" s="64" t="str">
        <f t="shared" si="3"/>
        <v xml:space="preserve">    rbib_buckland_et_al_2015: "Buckland, S. T., E. A. Rexstad, T. A. Marques, C. S. Oedekoven. (2015). *Mathematics and Statistics. Distance Sampling: Methods and Applications.* Springer International Publishing. &lt;https://doi.org/10.1007/978-3-319-19219-2&gt;"</v>
      </c>
      <c r="V54" s="64"/>
    </row>
    <row r="55" spans="1:22" ht="15.75">
      <c r="A55" s="64"/>
      <c r="B55" s="77" t="b">
        <v>1</v>
      </c>
      <c r="C55" s="77" t="b">
        <v>0</v>
      </c>
      <c r="D55" s="77" t="b">
        <v>0</v>
      </c>
      <c r="E55" s="64" t="s">
        <v>3215</v>
      </c>
      <c r="F55" s="64" t="s">
        <v>3737</v>
      </c>
      <c r="G55" s="64" t="s">
        <v>3736</v>
      </c>
      <c r="H55" s="64" t="s">
        <v>3736</v>
      </c>
      <c r="I55" s="64" t="b">
        <v>1</v>
      </c>
      <c r="J55" s="66" t="s">
        <v>3735</v>
      </c>
      <c r="K55" s="66" t="s">
        <v>3960</v>
      </c>
      <c r="L55" s="64" t="s">
        <v>4301</v>
      </c>
      <c r="M55" s="64" t="s">
        <v>4301</v>
      </c>
      <c r="N55" s="65" t="str">
        <f t="shared" si="7"/>
        <v>[Burgar, J. M. (2021). &lt;i&gt;Counting Elk Amongst the Trees: Improving the Accuracy of Roosevelt Elk Inventory via Modelling, Preliminary Report 2021&lt;/i&gt;. Terrestrial Wildlife Resources, South Coast Resource Management, FLNRORD. (available upon request).]{#burgar_2021}&lt;br&gt;&lt;br&gt;</v>
      </c>
      <c r="O55" s="64" t="s">
        <v>984</v>
      </c>
      <c r="P55" s="64" t="s">
        <v>984</v>
      </c>
      <c r="Q55" s="64" t="str">
        <f t="shared" si="0"/>
        <v>{{ rtxt_burgar_2021 }}</v>
      </c>
      <c r="R55" s="64" t="str">
        <f t="shared" si="1"/>
        <v>{{ rbib_burgar_2021 }}</v>
      </c>
      <c r="S55" s="63" t="str">
        <f t="shared" si="6"/>
        <v>Burgar, J. M. (2021). &lt;i&gt;Counting Elk Amongst the Trees: Improving the Accuracy of Roosevelt Elk Inventory via Modelling, Preliminary Report 2021&lt;/i&gt;. Terrestrial Wildlife Resources, South Coast Resource Management, FLNRORD. (available upon request).</v>
      </c>
      <c r="T55" s="64" t="str">
        <f t="shared" si="5"/>
        <v xml:space="preserve">    rtxt_burgar_2021: "&lt;a href=\"/08_references.html#burgar_2021\" target=\"_blank\"&gt;Burgar, 2021&lt;/a&gt;"</v>
      </c>
      <c r="U55" s="64" t="str">
        <f t="shared" si="3"/>
        <v xml:space="preserve">    rbib_burgar_2021: "Burgar, J. M. (2021). *Counting Elk Amongst the Trees: Improving the Accuracy of Roosevelt Elk Inventory via Modelling, Preliminary Report 2021*. Terrestrial Wildlife Resources, South Coast Resource Management, FLNRORD. (available upon request)."</v>
      </c>
      <c r="V55" s="64"/>
    </row>
    <row r="56" spans="1:22" ht="15.75">
      <c r="A56" s="64"/>
      <c r="B56" s="77"/>
      <c r="C56" s="77"/>
      <c r="D56" s="77"/>
      <c r="E56" s="64" t="s">
        <v>1904</v>
      </c>
      <c r="F56" s="64" t="s">
        <v>3730</v>
      </c>
      <c r="G56" s="64" t="s">
        <v>3729</v>
      </c>
      <c r="H56" s="65" t="s">
        <v>3728</v>
      </c>
      <c r="I56" s="64" t="b">
        <v>1</v>
      </c>
      <c r="J56" s="66" t="s">
        <v>3727</v>
      </c>
      <c r="K56" s="66" t="s">
        <v>3960</v>
      </c>
      <c r="L56" s="64" t="s">
        <v>4359</v>
      </c>
      <c r="M56" s="64" t="s">
        <v>5910</v>
      </c>
      <c r="N56" s="65" t="str">
        <f t="shared" si="7"/>
        <v>[Burgar, J. M., Burton, A. C., &amp; Fisher, J. T. (2019). The importance of considering multiple interacting species for conservation of species at risk. &lt;i&gt;Conservation Biology, 33&lt;/i&gt;(3), 709-715. &lt;a target="_blank" href="https://doi.org/10.1111/cobi.13233"&gt;{https://doi.org/10.1111/cobi.13233}]{#burgar_et_al_2019}&lt;br&gt;&lt;br&gt;</v>
      </c>
      <c r="O56" s="64" t="s">
        <v>3726</v>
      </c>
      <c r="P56" s="64" t="s">
        <v>984</v>
      </c>
      <c r="Q56" s="64" t="str">
        <f t="shared" si="0"/>
        <v>{{ rtxt_burgar_et_al_2019 }}</v>
      </c>
      <c r="R56" s="64" t="str">
        <f t="shared" si="1"/>
        <v>{{ rbib_burgar_et_al_2019 }}</v>
      </c>
      <c r="S56" s="63" t="str">
        <f t="shared" si="6"/>
        <v>Burgar, J. M., Burton, A. C., &amp; Fisher, J. T. (2019). The importance of considering multiple interacting species for conservation of species at risk. &lt;i&gt;Conservation Biology, 33&lt;/i&gt;(3), 709-715. &lt;a href="https://doi.org/10.1111/cobi.13233" target="_blank"&gt;https://doi.org/10.1111/cobi.13233&lt;/a&gt;&lt;span style="color:white"&gt;[.]{#burgar_et_al_2019}&lt;/span&gt;&lt;br&gt;&lt;br&gt;</v>
      </c>
      <c r="T56" s="64" t="str">
        <f t="shared" si="5"/>
        <v xml:space="preserve">    rtxt_burgar_et_al_2019: "&lt;a href=\"/08_references.html#burgar_et_al_2019\" target=\"_blank\"&gt;Burgar et al., 2019&lt;/a&gt;"</v>
      </c>
      <c r="U56" s="64" t="str">
        <f t="shared" si="3"/>
        <v xml:space="preserve">    rbib_burgar_et_al_2019: "Burgar, J. M., Burton, A. C., &amp; Fisher, J. T. (2019). The importance of considering multiple interacting species for conservation of species at risk. *Conservation Biology, 33*(3), 709-715. &lt;https://doi.org/10.1111/cobi.13233&gt;"</v>
      </c>
      <c r="V56" s="64"/>
    </row>
    <row r="57" spans="1:22" ht="15.75">
      <c r="A57" s="64"/>
      <c r="B57" s="77" t="b">
        <v>1</v>
      </c>
      <c r="C57" s="77" t="b">
        <v>0</v>
      </c>
      <c r="D57" s="77" t="b">
        <v>0</v>
      </c>
      <c r="E57" s="64" t="s">
        <v>1904</v>
      </c>
      <c r="F57" s="64" t="s">
        <v>3734</v>
      </c>
      <c r="G57" s="64" t="s">
        <v>3733</v>
      </c>
      <c r="H57" s="64" t="s">
        <v>3733</v>
      </c>
      <c r="I57" s="64" t="b">
        <v>1</v>
      </c>
      <c r="J57" s="66" t="s">
        <v>3732</v>
      </c>
      <c r="K57" s="66" t="s">
        <v>3960</v>
      </c>
      <c r="L57" s="64" t="s">
        <v>4360</v>
      </c>
      <c r="M57" s="64" t="s">
        <v>5829</v>
      </c>
      <c r="N57" s="65" t="str">
        <f t="shared" si="7"/>
        <v>[Burgar,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href="https://doi.org/10.1016/j.gecco.2018.e00411"&gt;{https://doi.org/10.1016/j.gecco.2018.e00411}]{#burgar_et_al_2018}&lt;br&gt;&lt;br&gt;</v>
      </c>
      <c r="O57" s="64" t="s">
        <v>3731</v>
      </c>
      <c r="P57" s="64" t="s">
        <v>984</v>
      </c>
      <c r="Q57" s="64" t="str">
        <f t="shared" si="0"/>
        <v>{{ rtxt_burgar_et_al_2018 }}</v>
      </c>
      <c r="R57" s="64" t="str">
        <f t="shared" si="1"/>
        <v>{{ rbib_burgar_et_al_2018 }}</v>
      </c>
      <c r="S57" s="63" t="str">
        <f t="shared" si="6"/>
        <v>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target="_blank"&gt;https://doi.org/10.1016/j.gecco.2018.e00411&lt;/a&gt;&lt;span style="color:white"&gt;[.]{#burgar_et_al_2018}&lt;/span&gt;&lt;br&gt;&lt;br&gt;</v>
      </c>
      <c r="T57" s="64" t="str">
        <f t="shared" si="5"/>
        <v xml:space="preserve">    rtxt_burgar_et_al_2018: "&lt;a href=\"/08_references.html#burgar_et_al_2018\" target=\"_blank\"&gt;Burgar et al., 2018&lt;/a&gt;"</v>
      </c>
      <c r="U57" s="64" t="str">
        <f t="shared" si="3"/>
        <v xml:space="preserve">    rbib_burgar_et_al_2018: "Burgar,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v>
      </c>
      <c r="V57" s="64"/>
    </row>
    <row r="58" spans="1:22" ht="15.75">
      <c r="A58" s="64"/>
      <c r="B58" s="77" t="b">
        <v>0</v>
      </c>
      <c r="C58" s="77" t="b">
        <v>1</v>
      </c>
      <c r="D58" s="77" t="b">
        <v>0</v>
      </c>
      <c r="E58" s="64" t="s">
        <v>1904</v>
      </c>
      <c r="F58" s="64" t="s">
        <v>3725</v>
      </c>
      <c r="G58" s="64" t="s">
        <v>3724</v>
      </c>
      <c r="H58" s="64" t="s">
        <v>3724</v>
      </c>
      <c r="I58" s="64" t="b">
        <v>1</v>
      </c>
      <c r="J58" s="66" t="s">
        <v>3723</v>
      </c>
      <c r="K58" s="66" t="s">
        <v>3960</v>
      </c>
      <c r="L58" s="64" t="s">
        <v>4361</v>
      </c>
      <c r="M58" s="64" t="s">
        <v>5775</v>
      </c>
      <c r="N58" s="65" t="str">
        <f t="shared" si="7"/>
        <v>[Burkholder, E. N., Jakes, A. F., Jones, P. F., Hebblewhite, M., &amp; Bishop, C. J. (2018). To Jump or Not to Jump: Mule Deer and White-Tailed Deer Fence Crossing Decisions. &lt;i&gt;Wildlife Society Bulletin&lt;i&gt;, &lt;i&gt;42&lt;/i&gt;(3), 420-429. &lt;a target="_blank" href="https://doi.org/10.1002/wsb.898"&gt;{https://doi.org/10.1002/wsb.898}]{#burkholder_et_al_2018}&lt;br&gt;&lt;br&gt;</v>
      </c>
      <c r="O58" s="64" t="s">
        <v>3722</v>
      </c>
      <c r="P58" s="64" t="s">
        <v>984</v>
      </c>
      <c r="Q58" s="64" t="str">
        <f t="shared" si="0"/>
        <v>{{ rtxt_burkholder_et_al_2018 }}</v>
      </c>
      <c r="R58" s="64" t="str">
        <f t="shared" si="1"/>
        <v>{{ rbib_burkholder_et_al_2018 }}</v>
      </c>
      <c r="S58" s="63" t="str">
        <f t="shared" si="6"/>
        <v>Burkholder, E. N., Jakes, A. F., Jones, P. F., Hebblewhite, M., &amp; Bishop, C. J. (2018). To Jump or Not to Jump: Mule Deer and White-Tailed Deer Fence Crossing Decisions. &lt;i&gt;Wildlife Society Bulletin&lt;i&gt;, &lt;i&gt;42&lt;/i&gt;(3), 420-429. &lt;a href="https://doi.org/10.1002/wsb.898" target="_blank"&gt;https://doi.org/10.1002/wsb.898&lt;/a&gt;&lt;span style="color:white"&gt;[.]{#burkholder_et_al_2018}&lt;/span&gt;&lt;br&gt;&lt;br&gt;</v>
      </c>
      <c r="T58" s="64" t="str">
        <f t="shared" si="5"/>
        <v xml:space="preserve">    rtxt_burkholder_et_al_2018: "&lt;a href=\"/08_references.html#burkholder_et_al_2018\" target=\"_blank\"&gt;Burkholder et al., 2018&lt;/a&gt;"</v>
      </c>
      <c r="U58" s="64" t="str">
        <f t="shared" si="3"/>
        <v xml:space="preserve">    rbib_burkholder_et_al_2018: "Burkholder, E. N., Jakes, A. F., Jones, P. F., Hebblewhite, M., &amp; Bishop, C. J. (2018). To Jump or Not to Jump: Mule Deer and White-Tailed Deer Fence Crossing Decisions. *Wildlife Society Bulletin, 42*(3), 420-429. &lt;https://doi.org/10.1002/wsb.898&gt;"</v>
      </c>
      <c r="V58" s="64"/>
    </row>
    <row r="59" spans="1:22" ht="15.75">
      <c r="A59" s="64"/>
      <c r="B59" s="77" t="b">
        <v>1</v>
      </c>
      <c r="C59" s="77" t="b">
        <v>0</v>
      </c>
      <c r="D59" s="77" t="b">
        <v>0</v>
      </c>
      <c r="E59" s="64" t="s">
        <v>1904</v>
      </c>
      <c r="F59" s="64" t="s">
        <v>3721</v>
      </c>
      <c r="G59" s="64" t="s">
        <v>3720</v>
      </c>
      <c r="H59" s="64" t="s">
        <v>3720</v>
      </c>
      <c r="I59" s="64" t="b">
        <v>1</v>
      </c>
      <c r="J59" s="66" t="s">
        <v>3719</v>
      </c>
      <c r="K59" s="66" t="s">
        <v>3960</v>
      </c>
      <c r="L59" s="64" t="s">
        <v>4362</v>
      </c>
      <c r="M59" s="64" t="s">
        <v>5881</v>
      </c>
      <c r="N59" s="65" t="str">
        <f t="shared" si="7"/>
        <v>[Burton,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href="https://doi.org/10.1111/1365-2664.12432"&gt;{https://doi.org/10.1111/1365-2664.12432}]{#burton_et_al_2015}&lt;br&gt;&lt;br&gt;</v>
      </c>
      <c r="O59" s="64" t="s">
        <v>3718</v>
      </c>
      <c r="P59" s="64" t="s">
        <v>984</v>
      </c>
      <c r="Q59" s="64" t="str">
        <f t="shared" si="0"/>
        <v>{{ rtxt_burton_et_al_2015 }}</v>
      </c>
      <c r="R59" s="64" t="str">
        <f t="shared" si="1"/>
        <v>{{ rbib_burton_et_al_2015 }}</v>
      </c>
      <c r="S59" s="63" t="str">
        <f t="shared" si="6"/>
        <v>Burton, A. C., Neilson, E., Moreira, D., Ladle, A., Steenweg, R., Fisher, J. T., Bayne, E., Boutin, S., &amp; Stephens, P. (2015). Camera trap Trapping: A Review and Recommendations for Linking Surveys to Ecological Processes. &lt;i&gt;Journal of Applied Ecology&lt;i&gt;, &lt;i&gt;52&lt;/i&gt;(3), 675-685. &lt;a href="https://doi.org/10.1111/1365-2664.12432" target="_blank"&gt;https://doi.org/10.1111/1365-2664.12432&lt;/a&gt;&lt;span style="color:white"&gt;[.]{#burton_et_al_2015}&lt;/span&gt;&lt;br&gt;&lt;br&gt;</v>
      </c>
      <c r="T59" s="64" t="str">
        <f t="shared" si="5"/>
        <v xml:space="preserve">    rtxt_burton_et_al_2015: "&lt;a href=\"/08_references.html#burton_et_al_2015\" target=\"_blank\"&gt;Burton et al., 2015&lt;/a&gt;"</v>
      </c>
      <c r="U59" s="64" t="str">
        <f t="shared" si="3"/>
        <v xml:space="preserve">    rbib_burton_et_al_2015: "Burton, A. C., Neilson, E., Moreira, D., Ladle, A., Steenweg, R., Fisher, J. T., Bayne, E., Boutin, S., &amp; Stephens, P. (2015). Camera trap Trapping: A Review and Recommendations for Linking Surveys to Ecological Processes. *Journal of Applied Ecology, 52*(3), 675-685. &lt;https://doi.org/10.1111/1365-2664.12432&gt;"</v>
      </c>
      <c r="V59" s="64"/>
    </row>
    <row r="60" spans="1:22" ht="15.75">
      <c r="A60" s="64"/>
      <c r="B60" s="77"/>
      <c r="C60" s="77"/>
      <c r="D60" s="77"/>
      <c r="E60" s="64" t="s">
        <v>1950</v>
      </c>
      <c r="F60" s="64" t="s">
        <v>3717</v>
      </c>
      <c r="G60" s="65" t="s">
        <v>3716</v>
      </c>
      <c r="H60" s="65" t="s">
        <v>3716</v>
      </c>
      <c r="I60" s="64" t="b">
        <v>1</v>
      </c>
      <c r="J60" s="64" t="s">
        <v>3715</v>
      </c>
      <c r="K60" s="66" t="s">
        <v>3960</v>
      </c>
      <c r="L60" s="64" t="s">
        <v>4363</v>
      </c>
      <c r="M60" s="64" t="s">
        <v>6057</v>
      </c>
      <c r="N60" s="65" t="str">
        <f t="shared" si="7"/>
        <v>[Byrne, M. &amp; Golden, J. (2021). &lt;i&gt;Occupancy Modeling.&lt;/i&gt; &lt;a target="_blank" href="https://kevintshoemaker.github.io/NRES-746/Occupancy.html"&gt;{https://kevintshoemaker.github.io/NRES-746/Occupancy.html}]{#byrne_golden_2021}&lt;br&gt;&lt;br&gt;</v>
      </c>
      <c r="O60" s="64" t="s">
        <v>3714</v>
      </c>
      <c r="P60" s="64" t="s">
        <v>984</v>
      </c>
      <c r="Q60" s="64" t="str">
        <f t="shared" si="0"/>
        <v>{{ rtxt_byrne_golden_2021 }}</v>
      </c>
      <c r="R60" s="64" t="str">
        <f t="shared" si="1"/>
        <v>{{ rbib_byrne_golden_2021 }}</v>
      </c>
      <c r="S60" s="63" t="str">
        <f t="shared" si="6"/>
        <v>Byrne, M. &amp; Golden, J. (2021). &lt;i&gt;Occupancy Modeling.&lt;/i&gt; &lt;a href="https://kevintshoemaker.github.io/NRES-746/Occupancy.html" target="_blank"&gt;https://kevintshoemaker.github.io/NRES-746/Occupancy.html&lt;/a&gt;&lt;span style="color:white"&gt;[.]{#byrne_golden_2021}&lt;/span&gt;&lt;br&gt;&lt;br&gt;</v>
      </c>
      <c r="T60" s="64" t="str">
        <f t="shared" si="5"/>
        <v xml:space="preserve">    rtxt_byrne_golden_2021: "&lt;a href=\"/08_references.html#byrne_golden_2021\" target=\"_blank\"&gt;Byrne &amp; Golden, 2021&lt;/a&gt;"</v>
      </c>
      <c r="U60" s="64" t="str">
        <f t="shared" si="3"/>
        <v xml:space="preserve">    rbib_byrne_golden_2021: "Byrne, M. &amp; Golden, J. (2021). *Occupancy Modeling.* &lt;https://kevintshoemaker.github.io/NRES-746/Occupancy.html&gt;"</v>
      </c>
      <c r="V60" s="64"/>
    </row>
    <row r="61" spans="1:22" ht="15.75">
      <c r="A61" s="64"/>
      <c r="B61" s="77"/>
      <c r="C61" s="77"/>
      <c r="D61" s="77"/>
      <c r="E61" s="64" t="s">
        <v>2246</v>
      </c>
      <c r="F61" s="65" t="s">
        <v>3713</v>
      </c>
      <c r="G61" s="64" t="s">
        <v>3712</v>
      </c>
      <c r="H61" s="64" t="s">
        <v>3712</v>
      </c>
      <c r="I61" s="64" t="b">
        <v>1</v>
      </c>
      <c r="J61" s="66" t="s">
        <v>3711</v>
      </c>
      <c r="K61" s="66" t="s">
        <v>3960</v>
      </c>
      <c r="L61" s="64" t="s">
        <v>4364</v>
      </c>
      <c r="M61" s="64" t="s">
        <v>5708</v>
      </c>
      <c r="N61" s="65" t="str">
        <f t="shared" si="7"/>
        <v>[Campbell, A. (2024). &lt;i&gt;Package ‘overlap’&lt;/i&gt;. R package version 0.3.9. &lt;a target="_blank" href="https://cran.r-project.org/web/packages/overlap/index.html"&gt;{https://cran.r-project.org/web/packages/overlap/index.html}]{#campbell_2024}&lt;br&gt;&lt;br&gt;</v>
      </c>
      <c r="O61" s="64" t="s">
        <v>3710</v>
      </c>
      <c r="P61" s="64" t="s">
        <v>984</v>
      </c>
      <c r="Q61" s="64" t="str">
        <f t="shared" si="0"/>
        <v>{{ rtxt_campbell_2024 }}</v>
      </c>
      <c r="R61" s="64" t="str">
        <f t="shared" si="1"/>
        <v>{{ rbib_campbell_2024 }}</v>
      </c>
      <c r="S61" s="63" t="str">
        <f t="shared" si="6"/>
        <v>Campbell, A. (2024). &lt;i&gt;Package ‘overlap’&lt;/i&gt;. R package version 0.3.9. &lt;a href="https://cran.r-project.org/web/packages/overlap/index.html" target="_blank"&gt;https://cran.r-project.org/web/packages/overlap/index.html&lt;/a&gt;&lt;span style="color:white"&gt;[.]{#campbell_2024}&lt;/span&gt;&lt;br&gt;&lt;br&gt;</v>
      </c>
      <c r="T61" s="64" t="str">
        <f t="shared" si="5"/>
        <v xml:space="preserve">    rtxt_campbell_2024: "&lt;a href=\"/08_references.html#campbell_2024\" target=\"_blank\"&gt;Campbell, 2024&lt;/a&gt;"</v>
      </c>
      <c r="U61" s="64" t="str">
        <f t="shared" si="3"/>
        <v xml:space="preserve">    rbib_campbell_2024: "Campbell, A. (2024). *Package ‘overlap’*. R package version 0.3.9. &lt;https://cran.r-project.org/web/packages/overlap/index.html&gt;"</v>
      </c>
      <c r="V61" s="64"/>
    </row>
    <row r="62" spans="1:22" ht="15.75">
      <c r="A62" s="64"/>
      <c r="B62" s="77"/>
      <c r="C62" s="77"/>
      <c r="D62" s="77"/>
      <c r="E62" s="64" t="s">
        <v>1945</v>
      </c>
      <c r="F62" s="64" t="s">
        <v>3709</v>
      </c>
      <c r="G62" s="64" t="s">
        <v>3708</v>
      </c>
      <c r="H62" s="64" t="s">
        <v>3708</v>
      </c>
      <c r="I62" s="64" t="b">
        <v>1</v>
      </c>
      <c r="J62" s="66" t="s">
        <v>3964</v>
      </c>
      <c r="K62" s="66" t="s">
        <v>3960</v>
      </c>
      <c r="L62" s="64" t="s">
        <v>4365</v>
      </c>
      <c r="M62" s="64" t="s">
        <v>6155</v>
      </c>
      <c r="N62" s="65" t="str">
        <f t="shared" si="7"/>
        <v>[Cao, A. (2021, Jun 14) &lt;i&gt;Hurdle models.&lt;/i&gt; [Video]. YouTube. &lt;a target="_blank" href="https://www.youtube.com/watch?v=q2NRQBcihQY"&gt;{https://www.youtube.com/watch?v=q2NRQBcihQY}]{#cao_2021}&lt;br&gt;&lt;br&gt;</v>
      </c>
      <c r="O62" s="64" t="s">
        <v>3707</v>
      </c>
      <c r="P62" s="64" t="s">
        <v>984</v>
      </c>
      <c r="Q62" s="64" t="str">
        <f t="shared" si="0"/>
        <v>{{ rtxt_cao_2021 }}</v>
      </c>
      <c r="R62" s="64" t="str">
        <f t="shared" si="1"/>
        <v>{{ rbib_cao_2021 }}</v>
      </c>
      <c r="S62" s="63" t="str">
        <f t="shared" si="6"/>
        <v>Cao, A. (2021, Jun 14) &lt;i&gt;Hurdle models.&lt;/i&gt; [Video]. YouTube. &lt;a href="https://www.youtube.com/watch?v=q2NRQBcihQY" target="_blank"&gt;https://www.youtube.com/watch?v=q2NRQBcihQY&lt;/a&gt;&lt;span style="color:white"&gt;[.]{#cao_2021}&lt;/span&gt;&lt;br&gt;&lt;br&gt;</v>
      </c>
      <c r="T62" s="64" t="str">
        <f t="shared" si="5"/>
        <v xml:space="preserve">    rtxt_cao_2021: "&lt;a href=\"/08_references.html#cao_2021\" target=\"_blank\"&gt;Cao (2021)&lt;/a&gt;"</v>
      </c>
      <c r="U62" s="64" t="str">
        <f t="shared" si="3"/>
        <v xml:space="preserve">    rbib_cao_2021: "Cao, A. (2021, Jun 14) *Hurdle models.* [Video]. YouTube. &lt;https://www.youtube.com/watch?v=q2NRQBcihQY&gt;"</v>
      </c>
      <c r="V62" s="64"/>
    </row>
    <row r="63" spans="1:22" ht="15.75">
      <c r="A63" s="64"/>
      <c r="B63" s="77"/>
      <c r="C63" s="77"/>
      <c r="D63" s="77"/>
      <c r="E63" s="64" t="s">
        <v>1904</v>
      </c>
      <c r="F63" s="64" t="s">
        <v>3706</v>
      </c>
      <c r="G63" s="65" t="s">
        <v>3705</v>
      </c>
      <c r="H63" s="65" t="s">
        <v>3705</v>
      </c>
      <c r="I63" s="64" t="b">
        <v>1</v>
      </c>
      <c r="J63" s="66" t="s">
        <v>3704</v>
      </c>
      <c r="K63" s="66" t="s">
        <v>3960</v>
      </c>
      <c r="L63" s="64" t="s">
        <v>4366</v>
      </c>
      <c r="M63" s="64" t="s">
        <v>5720</v>
      </c>
      <c r="N63" s="65" t="str">
        <f t="shared" si="7"/>
        <v>[Cappelle, N., Després‐Einspenner, M., Howe, E. J., Boesch, C., &amp; Kühl, H. S. (2019). Validating camera trap distance sampling for chimpanzees. &lt;i&gt;American Journal of Primatology, 81&lt;/i&gt;(3), e22962. &lt;a target="_blank" href="https://doi.org/10.1002/ajp.22962"&gt;{https://doi.org/10.1002/ajp.22962}]{#cappelle_et_al_2019}&lt;br&gt;&lt;br&gt;</v>
      </c>
      <c r="O63" s="64" t="s">
        <v>3703</v>
      </c>
      <c r="P63" s="64" t="s">
        <v>984</v>
      </c>
      <c r="Q63" s="64" t="str">
        <f t="shared" si="0"/>
        <v>{{ rtxt_cappelle_et_al_2019 }}</v>
      </c>
      <c r="R63" s="64" t="str">
        <f t="shared" si="1"/>
        <v>{{ rbib_cappelle_et_al_2019 }}</v>
      </c>
      <c r="S63" s="63" t="str">
        <f t="shared" si="6"/>
        <v>Cappelle, N., Després‐Einspenner, M., Howe, E. J., Boesch, C., &amp; Kühl, H. S. (2019). Validating camera trap distance sampling for chimpanzees. &lt;i&gt;American Journal of Primatology, 81&lt;/i&gt;(3), e22962. &lt;a href="https://doi.org/10.1002/ajp.22962" target="_blank"&gt;https://doi.org/10.1002/ajp.22962&lt;/a&gt;&lt;span style="color:white"&gt;[.]{#cappelle_et_al_2019}&lt;/span&gt;&lt;br&gt;&lt;br&gt;</v>
      </c>
      <c r="T63" s="64" t="str">
        <f t="shared" si="5"/>
        <v xml:space="preserve">    rtxt_cappelle_et_al_2019: "&lt;a href=\"/08_references.html#cappelle_et_al_2019\" target=\"_blank\"&gt;Cappelle et al., 2019&lt;/a&gt;"</v>
      </c>
      <c r="U63" s="64" t="str">
        <f t="shared" si="3"/>
        <v xml:space="preserve">    rbib_cappelle_et_al_2019: "Cappelle, N., Després‐Einspenner, M., Howe, E. J., Boesch, C., &amp; Kühl, H. S. (2019). Validating camera trap distance sampling for chimpanzees. *American Journal of Primatology, 81*(3), e22962. &lt;https://doi.org/10.1002/ajp.22962&gt;"</v>
      </c>
      <c r="V63" s="64"/>
    </row>
    <row r="64" spans="1:22" ht="15.75">
      <c r="A64" s="64"/>
      <c r="B64" s="77" t="b">
        <v>1</v>
      </c>
      <c r="C64" s="77" t="b">
        <v>0</v>
      </c>
      <c r="D64" s="77" t="b">
        <v>0</v>
      </c>
      <c r="E64" s="64" t="s">
        <v>1904</v>
      </c>
      <c r="F64" s="64" t="s">
        <v>3702</v>
      </c>
      <c r="G64" s="64" t="s">
        <v>3701</v>
      </c>
      <c r="H64" s="64" t="s">
        <v>3701</v>
      </c>
      <c r="I64" s="64" t="b">
        <v>1</v>
      </c>
      <c r="J64" s="66" t="s">
        <v>3700</v>
      </c>
      <c r="K64" s="66" t="s">
        <v>3960</v>
      </c>
      <c r="L64" s="64" t="s">
        <v>4367</v>
      </c>
      <c r="M64" s="64" t="s">
        <v>5741</v>
      </c>
      <c r="N64" s="65" t="str">
        <f t="shared" si="7"/>
        <v>[Cappelle, N., Howe, E. J., Boesch, C., &amp; Kühl, H. S. (2021). Estimating Animal Abundance and Effort-Precision Relationship with Camera Trap Distance Sampling. &lt;i&gt;Ecosphere, 12&lt;/i&gt;(1). &lt;a target="_blank" href="https://doi.org/10.1002/ecs2.3299"&gt;{https://doi.org/10.1002/ecs2.3299}]{#cappelle_et_al_2021}&lt;br&gt;&lt;br&gt;</v>
      </c>
      <c r="O64" s="64" t="s">
        <v>3699</v>
      </c>
      <c r="P64" s="64" t="s">
        <v>984</v>
      </c>
      <c r="Q64" s="64" t="str">
        <f t="shared" si="0"/>
        <v>{{ rtxt_cappelle_et_al_2021 }}</v>
      </c>
      <c r="R64" s="64" t="str">
        <f t="shared" si="1"/>
        <v>{{ rbib_cappelle_et_al_2021 }}</v>
      </c>
      <c r="S64" s="63" t="str">
        <f t="shared" si="6"/>
        <v>Cappelle, N., Howe, E. J., Boesch, C., &amp; Kühl, H. S. (2021). Estimating Animal Abundance and Effort-Precision Relationship with Camera Trap Distance Sampling. &lt;i&gt;Ecosphere, 12&lt;/i&gt;(1). &lt;a href="https://doi.org/10.1002/ecs2.3299" target="_blank"&gt;https://doi.org/10.1002/ecs2.3299&lt;/a&gt;&lt;span style="color:white"&gt;[.]{#cappelle_et_al_2021}&lt;/span&gt;&lt;br&gt;&lt;br&gt;</v>
      </c>
      <c r="T64" s="64" t="str">
        <f t="shared" si="5"/>
        <v xml:space="preserve">    rtxt_cappelle_et_al_2021: "&lt;a href=\"/08_references.html#cappelle_et_al_2021\" target=\"_blank\"&gt;Cappelle et al., 2021&lt;/a&gt;"</v>
      </c>
      <c r="U64" s="64" t="str">
        <f t="shared" si="3"/>
        <v xml:space="preserve">    rbib_cappelle_et_al_2021: "Cappelle, N., Howe, E. J., Boesch, C., &amp; Kühl, H. S. (2021). Estimating Animal Abundance and Effort-Precision Relationship with Camera Trap Distance Sampling. *Ecosphere, 12*(1). &lt;https://doi.org/10.1002/ecs2.3299&gt;"</v>
      </c>
      <c r="V64" s="64"/>
    </row>
    <row r="65" spans="1:22" ht="15.75">
      <c r="A65" s="64"/>
      <c r="B65" s="77" t="b">
        <v>0</v>
      </c>
      <c r="C65" s="77" t="b">
        <v>0</v>
      </c>
      <c r="D65" s="77" t="b">
        <v>1</v>
      </c>
      <c r="E65" s="64" t="s">
        <v>1904</v>
      </c>
      <c r="F65" s="64" t="s">
        <v>3698</v>
      </c>
      <c r="G65" s="64" t="s">
        <v>3697</v>
      </c>
      <c r="H65" s="64" t="s">
        <v>3697</v>
      </c>
      <c r="I65" s="64" t="b">
        <v>1</v>
      </c>
      <c r="J65" s="66" t="s">
        <v>3696</v>
      </c>
      <c r="K65" s="66" t="s">
        <v>3960</v>
      </c>
      <c r="L65" s="64" t="s">
        <v>4368</v>
      </c>
      <c r="M65" s="64" t="s">
        <v>5765</v>
      </c>
      <c r="N65" s="65" t="str">
        <f t="shared" si="7"/>
        <v>[Caravaggi,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href="https://doi.org/10.1002/rse2.48"&gt;{https://doi.org/10.1002/rse2.48}]{#caravaggi_et_al_2017}&lt;br&gt;&lt;br&gt;</v>
      </c>
      <c r="O65" s="64" t="s">
        <v>3695</v>
      </c>
      <c r="P65" s="64" t="s">
        <v>984</v>
      </c>
      <c r="Q65" s="64" t="str">
        <f t="shared" si="0"/>
        <v>{{ rtxt_caravaggi_et_al_2017 }}</v>
      </c>
      <c r="R65" s="64" t="str">
        <f t="shared" si="1"/>
        <v>{{ rbib_caravaggi_et_al_2017 }}</v>
      </c>
      <c r="S65" s="63" t="str">
        <f t="shared" si="6"/>
        <v>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target="_blank"&gt;https://doi.org/10.1002/rse2.48&lt;/a&gt;&lt;span style="color:white"&gt;[.]{#caravaggi_et_al_2017}&lt;/span&gt;&lt;br&gt;&lt;br&gt;</v>
      </c>
      <c r="T65" s="64" t="str">
        <f t="shared" si="5"/>
        <v xml:space="preserve">    rtxt_caravaggi_et_al_2017: "&lt;a href=\"/08_references.html#caravaggi_et_al_2017\" target=\"_blank\"&gt;Caravaggi et al., 2017&lt;/a&gt;"</v>
      </c>
      <c r="U65" s="64" t="str">
        <f t="shared" si="3"/>
        <v xml:space="preserve">    rbib_caravaggi_et_al_2017: "Caravaggi, A., Banks, P. B., Burton, A. C., Finlay, C. M. V., Haswell, P. M., Hayward, M. W., Rowcliffe, M. J., Wood, M. D., Pettorelli, N., &amp; Sollmann, R. (2017). A review of camera trapping for conservation behaviour research*. Remote Sensing in Ecology and Conservation, 3*(3), 109-122. &lt;https://doi.org/10.1002/rse2.48&gt;"</v>
      </c>
      <c r="V65" s="64"/>
    </row>
    <row r="66" spans="1:22" ht="15.75">
      <c r="A66" s="64"/>
      <c r="B66" s="77" t="b">
        <v>1</v>
      </c>
      <c r="C66" s="77" t="b">
        <v>0</v>
      </c>
      <c r="D66" s="77" t="b">
        <v>0</v>
      </c>
      <c r="E66" s="64" t="s">
        <v>1904</v>
      </c>
      <c r="F66" s="64" t="s">
        <v>3694</v>
      </c>
      <c r="G66" s="64" t="s">
        <v>3693</v>
      </c>
      <c r="H66" s="64" t="s">
        <v>3693</v>
      </c>
      <c r="I66" s="64" t="b">
        <v>1</v>
      </c>
      <c r="J66" s="66" t="s">
        <v>3692</v>
      </c>
      <c r="K66" s="66" t="s">
        <v>3960</v>
      </c>
      <c r="L66" s="64" t="s">
        <v>4369</v>
      </c>
      <c r="M66" s="64" t="s">
        <v>5913</v>
      </c>
      <c r="N66" s="65" t="str">
        <f t="shared" si="7"/>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href="https://doi.org/10.1111/csp2.239"&gt;{https://doi.org/10.1111/csp2.239}]{#caravaggi_et_al_2020}&lt;br&gt;&lt;br&gt;</v>
      </c>
      <c r="O66" s="64" t="s">
        <v>3691</v>
      </c>
      <c r="P66" s="64" t="s">
        <v>984</v>
      </c>
      <c r="Q66" s="64" t="str">
        <f t="shared" ref="Q66:Q129" si="8">"{{ rtxt_"&amp;F66&amp;" }}"</f>
        <v>{{ rtxt_caravaggi_et_al_2020 }}</v>
      </c>
      <c r="R66" s="64" t="str">
        <f t="shared" ref="R66:R129" si="9">"{{ rbib_"&amp;F66&amp;" }}"</f>
        <v>{{ rbib_caravaggi_et_al_2020 }}</v>
      </c>
      <c r="S66" s="63" t="str">
        <f t="shared" si="6"/>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target="_blank"&gt;https://doi.org/10.1111/csp2.239&lt;/a&gt;&lt;span style="color:white"&gt;[.]{#caravaggi_et_al_2020}&lt;/span&gt;&lt;br&gt;&lt;br&gt;</v>
      </c>
      <c r="T66" s="64" t="str">
        <f t="shared" si="5"/>
        <v xml:space="preserve">    rtxt_caravaggi_et_al_2020: "&lt;a href=\"/08_references.html#caravaggi_et_al_2020\" target=\"_blank\"&gt;Caravaggi et al., 2020&lt;/a&gt;"</v>
      </c>
      <c r="U66" s="64" t="str">
        <f t="shared" ref="U66:U129" si="10">"    rbib_"&amp;F66&amp;": "&amp;""""&amp;J66&amp;""""</f>
        <v xml:space="preserve">    rbib_caravaggi_et_al_2020: "Caravaggi,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v>
      </c>
      <c r="V66" s="64"/>
    </row>
    <row r="67" spans="1:22" ht="15.75">
      <c r="A67" s="64"/>
      <c r="B67" s="77" t="b">
        <v>1</v>
      </c>
      <c r="C67" s="77" t="b">
        <v>1</v>
      </c>
      <c r="D67" s="77" t="b">
        <v>0</v>
      </c>
      <c r="E67" s="64" t="s">
        <v>1904</v>
      </c>
      <c r="F67" s="64" t="s">
        <v>3690</v>
      </c>
      <c r="G67" s="64" t="s">
        <v>3689</v>
      </c>
      <c r="H67" s="64" t="s">
        <v>3689</v>
      </c>
      <c r="I67" s="64" t="b">
        <v>1</v>
      </c>
      <c r="J67" s="66" t="s">
        <v>3688</v>
      </c>
      <c r="K67" s="66" t="s">
        <v>3960</v>
      </c>
      <c r="L67" s="64" t="s">
        <v>4370</v>
      </c>
      <c r="M67" s="64" t="s">
        <v>5841</v>
      </c>
      <c r="N67" s="65" t="str">
        <f t="shared" si="7"/>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href="https://doi.org/10.1017/S1367943001001081"&gt;{https://doi.org/10.1017/S1367943001001081}]{#carbone_et_al_2001}&lt;br&gt;&lt;br&gt;</v>
      </c>
      <c r="O67" s="64" t="s">
        <v>3687</v>
      </c>
      <c r="P67" s="64" t="s">
        <v>984</v>
      </c>
      <c r="Q67" s="64" t="str">
        <f t="shared" si="8"/>
        <v>{{ rtxt_carbone_et_al_2001 }}</v>
      </c>
      <c r="R67" s="64" t="str">
        <f t="shared" si="9"/>
        <v>{{ rbib_carbone_et_al_2001 }}</v>
      </c>
      <c r="S67" s="63" t="str">
        <f t="shared" si="6"/>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target="_blank"&gt;https://doi.org/10.1017/S1367943001001081&lt;/a&gt;&lt;span style="color:white"&gt;[.]{#carbone_et_al_2001}&lt;/span&gt;&lt;br&gt;&lt;br&gt;</v>
      </c>
      <c r="T67" s="64" t="str">
        <f t="shared" ref="T67:T130" si="11">"    rtxt_"&amp;F67&amp;": "&amp;""""&amp;"&lt;a href=\"&amp;""""&amp;"/08_references.html#"&amp;F67&amp;"\"&amp;""""&amp;" target=\"&amp;""""&amp;"_blank\"&amp;""""&amp;"&gt;"&amp;G67&amp;"&lt;/a&gt;"&amp;""""</f>
        <v xml:space="preserve">    rtxt_carbone_et_al_2001: "&lt;a href=\"/08_references.html#carbone_et_al_2001\" target=\"_blank\"&gt;Carbone et al., 2001&lt;/a&gt;"</v>
      </c>
      <c r="U67" s="64" t="str">
        <f t="shared" si="10"/>
        <v xml:space="preserve">    rbib_carbone_et_al_2001: "Carbone,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v>
      </c>
      <c r="V67" s="64"/>
    </row>
    <row r="68" spans="1:22" ht="15.75">
      <c r="F68" s="63" t="s">
        <v>4675</v>
      </c>
      <c r="G68" s="63" t="s">
        <v>4674</v>
      </c>
      <c r="I68" s="64" t="b">
        <v>1</v>
      </c>
      <c r="J68" s="62" t="s">
        <v>4673</v>
      </c>
      <c r="K68" s="66" t="s">
        <v>3960</v>
      </c>
      <c r="L68" s="62" t="s">
        <v>4677</v>
      </c>
      <c r="M68" s="62" t="s">
        <v>5871</v>
      </c>
      <c r="N68"/>
      <c r="O68" s="102" t="s">
        <v>4676</v>
      </c>
      <c r="Q68" s="64" t="str">
        <f t="shared" si="8"/>
        <v>{{ rtxt_carswell_et_al_2024 }}</v>
      </c>
      <c r="R68" s="64" t="str">
        <f t="shared" si="9"/>
        <v>{{ rbib_carswell_et_al_2024 }}</v>
      </c>
      <c r="S68" s="63" t="str">
        <f t="shared" si="6"/>
        <v>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target="_blank"&gt;https://doi.org/10.1101/2024.05.09.593241&lt;/a&gt;&lt;span style="color:white"&gt;[.]{#carswell_et_al_2024}&lt;/span&gt;&lt;br&gt;&lt;br&gt;</v>
      </c>
      <c r="T68" s="64" t="str">
        <f t="shared" si="11"/>
        <v xml:space="preserve">    rtxt_carswell_et_al_2024: "&lt;a href=\"/08_references.html#carswell_et_al_2024\" target=\"_blank\"&gt;Carswell et al., 2024&lt;/a&gt;"</v>
      </c>
      <c r="U68" s="64" t="str">
        <f t="shared" si="10"/>
        <v xml:space="preserve">    rbib_carswell_et_al_2024: "Carswell, B. M., Avgar, T., Street, G. M., Boyle, S. P., &amp; Vander Wal, E. (2024). One size does not fit all: A novel approach for determining the Realised Viewshed Size for remote camera traps. *Ecology*. &lt;https://doi.org/10.1101/2024.05.09.593241&gt;"</v>
      </c>
    </row>
    <row r="69" spans="1:22" ht="15.75">
      <c r="A69" s="64"/>
      <c r="B69" s="77" t="b">
        <v>1</v>
      </c>
      <c r="C69" s="77" t="b">
        <v>0</v>
      </c>
      <c r="D69" s="77" t="b">
        <v>1</v>
      </c>
      <c r="E69" s="64" t="s">
        <v>1939</v>
      </c>
      <c r="F69" s="64" t="s">
        <v>3686</v>
      </c>
      <c r="G69" s="64" t="s">
        <v>3685</v>
      </c>
      <c r="H69" s="64" t="s">
        <v>3685</v>
      </c>
      <c r="I69" s="64" t="b">
        <v>1</v>
      </c>
      <c r="J69" s="66" t="s">
        <v>3684</v>
      </c>
      <c r="K69" s="66" t="s">
        <v>3960</v>
      </c>
      <c r="L69" s="64" t="s">
        <v>4371</v>
      </c>
      <c r="M69" s="64" t="s">
        <v>5701</v>
      </c>
      <c r="N69" s="65" t="str">
        <f t="shared" ref="N69:N132" si="12">"["&amp;L69&amp;"]{#"&amp;F69&amp;"}&lt;br&gt;&lt;br&gt;"</f>
        <v>[Caughley,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href="https://books.google.ca/books/about/Analysis_of_Vertebrate_Populations.html?id=qAcUAQAAIAAJ&amp;redir_esc=y"&gt;{https://books.google.ca/books/about/Analysis_of_Vertebrate_Populations.html?id=qAcUAQAAIAAJ&amp;redir_esc=y}]{#caughley_1977}&lt;br&gt;&lt;br&gt;</v>
      </c>
      <c r="O69" s="64" t="s">
        <v>3683</v>
      </c>
      <c r="P69" s="64" t="s">
        <v>984</v>
      </c>
      <c r="Q69" s="64" t="str">
        <f t="shared" si="8"/>
        <v>{{ rtxt_caughley_1977 }}</v>
      </c>
      <c r="R69" s="64" t="str">
        <f t="shared" si="9"/>
        <v>{{ rbib_caughley_1977 }}</v>
      </c>
      <c r="S69" s="63" t="str">
        <f t="shared" si="6"/>
        <v>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target="_blank"&gt;https://books.google.ca/books/about/Analysis_of_Vertebrate_Populations.html?id=qAcUAQAAIAAJ&amp;redir_esc=y&lt;/a&gt;&lt;span style="color:white"&gt;[.]{#caughley_1977}&lt;/span&gt;&lt;br&gt;&lt;br&gt;</v>
      </c>
      <c r="T69" s="64" t="str">
        <f t="shared" si="11"/>
        <v xml:space="preserve">    rtxt_caughley_1977: "&lt;a href=\"/08_references.html#caughley_1977\" target=\"_blank\"&gt;Caughley, 1977&lt;/a&gt;"</v>
      </c>
      <c r="U69" s="64" t="str">
        <f t="shared" si="10"/>
        <v xml:space="preserve">    rbib_caughley_1977: "Caughley, G. (1977). *Analysis of Vertebrate Populations* (pp. 234). Wiley. &lt;https://books.google.ca/books/about/Analysis_of_Vertebrate_Populations.html?id=qAcUAQAAIAAJ&amp;redir_esc=y&gt;"</v>
      </c>
      <c r="V69" s="64"/>
    </row>
    <row r="70" spans="1:22" ht="15.75">
      <c r="A70" s="64"/>
      <c r="B70" s="77" t="b">
        <v>1</v>
      </c>
      <c r="C70" s="77" t="b">
        <v>0</v>
      </c>
      <c r="D70" s="77" t="b">
        <v>0</v>
      </c>
      <c r="E70" s="64" t="s">
        <v>1904</v>
      </c>
      <c r="F70" s="64" t="s">
        <v>3682</v>
      </c>
      <c r="G70" s="64" t="s">
        <v>3681</v>
      </c>
      <c r="H70" s="64" t="s">
        <v>3681</v>
      </c>
      <c r="I70" s="64" t="b">
        <v>1</v>
      </c>
      <c r="J70" s="66" t="s">
        <v>3680</v>
      </c>
      <c r="K70" s="66" t="s">
        <v>3960</v>
      </c>
      <c r="L70" s="64" t="s">
        <v>4372</v>
      </c>
      <c r="M70" s="64" t="s">
        <v>5956</v>
      </c>
      <c r="N70" s="65" t="str">
        <f t="shared" si="12"/>
        <v>[Chandler, R. B., &amp; Royle, J. A. (2013). Spatially explicit models for inference about Density in unmarked or partially marked populations. &lt;i&gt;The Annals of Applied Statistics, 7&lt;/i&gt;(2), 936-954. &lt;a target="_blank" href="https://doi.org/10.1214/12-aoas610"&gt;{https://doi.org/10.1214/12-aoas610}]{#chandler_royle_2013}&lt;br&gt;&lt;br&gt;</v>
      </c>
      <c r="O70" s="64" t="s">
        <v>3679</v>
      </c>
      <c r="P70" s="64" t="s">
        <v>984</v>
      </c>
      <c r="Q70" s="64" t="str">
        <f t="shared" si="8"/>
        <v>{{ rtxt_chandler_royle_2013 }}</v>
      </c>
      <c r="R70" s="64" t="str">
        <f t="shared" si="9"/>
        <v>{{ rbib_chandler_royle_2013 }}</v>
      </c>
      <c r="S70" s="63" t="str">
        <f t="shared" si="6"/>
        <v>Chandler, R. B., &amp; Royle, J. A. (2013). Spatially explicit models for inference about Density in unmarked or partially marked populations. &lt;i&gt;The Annals of Applied Statistics, 7&lt;/i&gt;(2), 936-954. &lt;a href="https://doi.org/10.1214/12-aoas610" target="_blank"&gt;https://doi.org/10.1214/12-aoas610&lt;/a&gt;&lt;span style="color:white"&gt;[.]{#chandler_royle_2013}&lt;/span&gt;&lt;br&gt;&lt;br&gt;</v>
      </c>
      <c r="T70" s="64" t="str">
        <f t="shared" si="11"/>
        <v xml:space="preserve">    rtxt_chandler_royle_2013: "&lt;a href=\"/08_references.html#chandler_royle_2013\" target=\"_blank\"&gt;Chandler &amp; Royle, 2013&lt;/a&gt;"</v>
      </c>
      <c r="U70" s="64" t="str">
        <f t="shared" si="10"/>
        <v xml:space="preserve">    rbib_chandler_royle_2013: "Chandler, R. B., &amp; Royle, J. A. (2013). Spatially explicit models for inference about Density in unmarked or partially marked populations. *The Annals of Applied Statistics, 7*(2), 936-954. &lt;https://doi.org/10.1214/12-aoas610&gt;"</v>
      </c>
      <c r="V70" s="64"/>
    </row>
    <row r="71" spans="1:22" ht="15.75">
      <c r="A71" s="64"/>
      <c r="B71" s="77"/>
      <c r="C71" s="77"/>
      <c r="D71" s="77"/>
      <c r="E71" s="64" t="s">
        <v>1904</v>
      </c>
      <c r="F71" s="64" t="s">
        <v>3678</v>
      </c>
      <c r="G71" s="64" t="s">
        <v>3677</v>
      </c>
      <c r="H71" s="64" t="s">
        <v>3677</v>
      </c>
      <c r="I71" s="64" t="b">
        <v>1</v>
      </c>
      <c r="J71" s="66" t="s">
        <v>3676</v>
      </c>
      <c r="K71" s="66" t="s">
        <v>3960</v>
      </c>
      <c r="L71" s="64" t="s">
        <v>4373</v>
      </c>
      <c r="M71" s="64" t="s">
        <v>5997</v>
      </c>
      <c r="N71" s="65" t="str">
        <f t="shared" si="12"/>
        <v>[Chao,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href="https://doi.org/10.1890/13-0133.1"&gt;{https://doi.org/10.1890/13-0133.1}]{#chao_et_al_2014}&lt;br&gt;&lt;br&gt;</v>
      </c>
      <c r="O71" s="64" t="s">
        <v>3675</v>
      </c>
      <c r="P71" s="64" t="s">
        <v>984</v>
      </c>
      <c r="Q71" s="64" t="str">
        <f t="shared" si="8"/>
        <v>{{ rtxt_chao_et_al_2014 }}</v>
      </c>
      <c r="R71" s="64" t="str">
        <f t="shared" si="9"/>
        <v>{{ rbib_chao_et_al_2014 }}</v>
      </c>
      <c r="S71" s="63" t="str">
        <f t="shared" si="6"/>
        <v>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target="_blank"&gt;https://doi.org/10.1890/13-0133.1&lt;/a&gt;&lt;span style="color:white"&gt;[.]{#chao_et_al_2014}&lt;/span&gt;&lt;br&gt;&lt;br&gt;</v>
      </c>
      <c r="T71" s="64" t="str">
        <f t="shared" si="11"/>
        <v xml:space="preserve">    rtxt_chao_et_al_2014: "&lt;a href=\"/08_references.html#chao_et_al_2014\" target=\"_blank\"&gt;Chao et al., 2014&lt;/a&gt;"</v>
      </c>
      <c r="U71" s="64" t="str">
        <f t="shared" si="10"/>
        <v xml:space="preserve">    rbib_chao_et_al_2014: "Chao, A., Gotelli, N.J., Hsieh, T. C., Sander, E. L., Ma, K. H., Colwell, R. K. &amp; Ellison, A. M. (2014). Rarefaction and extrapolation with Hill numbers: a framework for sampling and estimation in species diversity studies. *Ecological Monographs, 84*, 45-67. &lt;https://doi.org/10.1890/13-0133.1&gt;"</v>
      </c>
      <c r="V71" s="64"/>
    </row>
    <row r="72" spans="1:22" ht="15.75">
      <c r="A72" s="64"/>
      <c r="B72" s="77"/>
      <c r="C72" s="77"/>
      <c r="D72" s="77"/>
      <c r="E72" s="64" t="s">
        <v>2138</v>
      </c>
      <c r="F72" s="64" t="s">
        <v>3674</v>
      </c>
      <c r="G72" s="64" t="s">
        <v>3673</v>
      </c>
      <c r="H72" s="64" t="s">
        <v>3673</v>
      </c>
      <c r="I72" s="64" t="b">
        <v>1</v>
      </c>
      <c r="J72" s="66" t="s">
        <v>3672</v>
      </c>
      <c r="K72" s="66" t="s">
        <v>3960</v>
      </c>
      <c r="L72" s="64" t="s">
        <v>4300</v>
      </c>
      <c r="M72" s="64" t="s">
        <v>5682</v>
      </c>
      <c r="N72" s="65" t="str">
        <f t="shared" si="12"/>
        <v>[Chao,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href="http://chao.stat.nthu.edu.tw/wordpress/software_download/inextonline/"&gt;{http://chao.stat.nthu.edu.tw/wordpress/software_download/inextonline/}]{#chao_et_al_2016}&lt;br&gt;&lt;br&gt;</v>
      </c>
      <c r="O72" s="64" t="s">
        <v>3671</v>
      </c>
      <c r="P72" s="64" t="s">
        <v>984</v>
      </c>
      <c r="Q72" s="64" t="str">
        <f t="shared" si="8"/>
        <v>{{ rtxt_chao_et_al_2016 }}</v>
      </c>
      <c r="R72" s="64" t="str">
        <f t="shared" si="9"/>
        <v>{{ rbib_chao_et_al_2016 }}</v>
      </c>
      <c r="S72" s="63" t="str">
        <f t="shared" si="6"/>
        <v>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target="_blank"&gt;http://chao.stat.nthu.edu.tw/wordpress/software_download/inextonline/&lt;/a&gt;&lt;span style="color:white"&gt;[.]{#chao_et_al_2016}&lt;/span&gt;&lt;br&gt;&lt;br&gt;</v>
      </c>
      <c r="T72" s="64" t="str">
        <f t="shared" si="11"/>
        <v xml:space="preserve">    rtxt_chao_et_al_2016: "&lt;a href=\"/08_references.html#chao_et_al_2016\" target=\"_blank\"&gt;Chao et al., 2016&lt;/a&gt;"</v>
      </c>
      <c r="U72" s="64" t="str">
        <f t="shared" si="10"/>
        <v xml:space="preserve">    rbib_chao_et_al_2016: "Chao, A., Ma, K. H., &amp; Hsieh, T. C. (2016). *iNEXT Online: Software for Interpolation and Extrapolation of Species Diversity.* Program and User’s Guide published at &lt;http://chao.stat.nthu.edu.tw/wordpress/software_download/inextonline/&gt;"</v>
      </c>
      <c r="V72" s="64"/>
    </row>
    <row r="73" spans="1:22" ht="15.75">
      <c r="A73" s="64"/>
      <c r="B73" s="77" t="b">
        <v>1</v>
      </c>
      <c r="C73" s="77" t="b">
        <v>0</v>
      </c>
      <c r="D73" s="77" t="b">
        <v>1</v>
      </c>
      <c r="E73" s="64" t="s">
        <v>1904</v>
      </c>
      <c r="F73" s="64" t="s">
        <v>3670</v>
      </c>
      <c r="G73" s="64" t="s">
        <v>3669</v>
      </c>
      <c r="H73" s="64" t="s">
        <v>3669</v>
      </c>
      <c r="I73" s="64" t="b">
        <v>1</v>
      </c>
      <c r="J73" s="66" t="s">
        <v>3668</v>
      </c>
      <c r="K73" s="66" t="s">
        <v>3960</v>
      </c>
      <c r="L73" s="64" t="s">
        <v>4374</v>
      </c>
      <c r="M73" s="64" t="s">
        <v>5742</v>
      </c>
      <c r="N73" s="65" t="str">
        <f t="shared" si="12"/>
        <v>[Chatterjee, N., Schuttler, T. G., Nigam, P., &amp; Habib, B. (2021). Deciphering the rarity-detectability continuum: optimizing Survey design for terrestrial mammalian community. &lt;i&gt;Ecosphere 12&lt;/i&gt;(9), e03748. &lt;a target="_blank" href="https://doi.org/10.1002/ecs2.3748"&gt;{https://doi.org/10.1002/ecs2.3748}]{#chatterjee_et_al_2021}&lt;br&gt;&lt;br&gt;</v>
      </c>
      <c r="O73" s="64" t="s">
        <v>3667</v>
      </c>
      <c r="P73" s="64" t="s">
        <v>984</v>
      </c>
      <c r="Q73" s="64" t="str">
        <f t="shared" si="8"/>
        <v>{{ rtxt_chatterjee_et_al_2021 }}</v>
      </c>
      <c r="R73" s="64" t="str">
        <f t="shared" si="9"/>
        <v>{{ rbib_chatterjee_et_al_2021 }}</v>
      </c>
      <c r="S73" s="63" t="str">
        <f t="shared" si="6"/>
        <v>Chatterjee, N., Schuttler, T. G., Nigam, P., &amp; Habib, B. (2021). Deciphering the rarity-detectability continuum: optimizing Survey design for terrestrial mammalian community. &lt;i&gt;Ecosphere 12&lt;/i&gt;(9), e03748. &lt;a href="https://doi.org/10.1002/ecs2.3748" target="_blank"&gt;https://doi.org/10.1002/ecs2.3748&lt;/a&gt;&lt;span style="color:white"&gt;[.]{#chatterjee_et_al_2021}&lt;/span&gt;&lt;br&gt;&lt;br&gt;</v>
      </c>
      <c r="T73" s="64" t="str">
        <f t="shared" si="11"/>
        <v xml:space="preserve">    rtxt_chatterjee_et_al_2021: "&lt;a href=\"/08_references.html#chatterjee_et_al_2021\" target=\"_blank\"&gt;Chatterjee et al., 2021&lt;/a&gt;"</v>
      </c>
      <c r="U73" s="64" t="str">
        <f t="shared" si="10"/>
        <v xml:space="preserve">    rbib_chatterjee_et_al_2021: "Chatterjee, N., Schuttler, T. G., Nigam, P., &amp; Habib, B. (2021). Deciphering the rarity-detectability continuum: optimizing Survey design for terrestrial mammalian community. *Ecosphere 12*(9), e03748. &lt;https://doi.org/10.1002/ecs2.3748&gt;"</v>
      </c>
      <c r="V73" s="64"/>
    </row>
    <row r="74" spans="1:22" ht="15.75">
      <c r="A74" s="64"/>
      <c r="B74" s="77" t="b">
        <v>1</v>
      </c>
      <c r="C74" s="77" t="b">
        <v>0</v>
      </c>
      <c r="D74" s="77" t="b">
        <v>0</v>
      </c>
      <c r="E74" s="64" t="s">
        <v>1904</v>
      </c>
      <c r="F74" s="64" t="s">
        <v>3666</v>
      </c>
      <c r="G74" s="64" t="s">
        <v>3665</v>
      </c>
      <c r="H74" s="64" t="s">
        <v>3665</v>
      </c>
      <c r="I74" s="64" t="b">
        <v>1</v>
      </c>
      <c r="J74" s="66" t="s">
        <v>3664</v>
      </c>
      <c r="K74" s="66" t="s">
        <v>3960</v>
      </c>
      <c r="L74" s="64" t="s">
        <v>4375</v>
      </c>
      <c r="M74" s="64" t="s">
        <v>5848</v>
      </c>
      <c r="N74" s="65" t="str">
        <f t="shared" si="12"/>
        <v>[Clark, T. G., Bradburn, M. J., Love, S. B., &amp; Altman, D. G. (2003). Survival Analysis Part I: Basic Concepts and First Analyses. &lt;i&gt;British Journal of Cancer, 89&lt;/i&gt;(2), 232-38. &lt;a target="_blank" href="https://doi.org/10.1038/sj.bjc.6601118"&gt;{https://doi.org/10.1038/sj.bjc.6601118}]{#clark_et_al_2003}&lt;br&gt;&lt;br&gt;</v>
      </c>
      <c r="O74" s="64" t="s">
        <v>3663</v>
      </c>
      <c r="P74" s="64" t="s">
        <v>984</v>
      </c>
      <c r="Q74" s="64" t="str">
        <f t="shared" si="8"/>
        <v>{{ rtxt_clark_et_al_2003 }}</v>
      </c>
      <c r="R74" s="64" t="str">
        <f t="shared" si="9"/>
        <v>{{ rbib_clark_et_al_2003 }}</v>
      </c>
      <c r="S74" s="63" t="str">
        <f t="shared" si="6"/>
        <v>Clark, T. G., Bradburn, M. J., Love, S. B., &amp; Altman, D. G. (2003). Survival Analysis Part I: Basic Concepts and First Analyses. &lt;i&gt;British Journal of Cancer, 89&lt;/i&gt;(2), 232-38. &lt;a href="https://doi.org/10.1038/sj.bjc.6601118" target="_blank"&gt;https://doi.org/10.1038/sj.bjc.6601118&lt;/a&gt;&lt;span style="color:white"&gt;[.]{#clark_et_al_2003}&lt;/span&gt;&lt;br&gt;&lt;br&gt;</v>
      </c>
      <c r="T74" s="64" t="str">
        <f t="shared" si="11"/>
        <v xml:space="preserve">    rtxt_clark_et_al_2003: "&lt;a href=\"/08_references.html#clark_et_al_2003\" target=\"_blank\"&gt;Clark et al., 2003&lt;/a&gt;"</v>
      </c>
      <c r="U74" s="64" t="str">
        <f t="shared" si="10"/>
        <v xml:space="preserve">    rbib_clark_et_al_2003: "Clark, T. G., Bradburn, M. J., Love, S. B., &amp; Altman, D. G. (2003). Survival Analysis Part I: Basic Concepts and First Analyses. *British Journal of Cancer, 89*(2), 232-38. &lt;https://doi.org/10.1038/sj.bjc.6601118&gt;"</v>
      </c>
      <c r="V74" s="64"/>
    </row>
    <row r="75" spans="1:22" ht="15.75">
      <c r="A75" s="64"/>
      <c r="B75" s="77" t="b">
        <v>1</v>
      </c>
      <c r="C75" s="77" t="b">
        <v>0</v>
      </c>
      <c r="D75" s="77" t="b">
        <v>0</v>
      </c>
      <c r="E75" s="64" t="s">
        <v>1904</v>
      </c>
      <c r="F75" s="64" t="s">
        <v>3662</v>
      </c>
      <c r="G75" s="64" t="s">
        <v>3661</v>
      </c>
      <c r="H75" s="64" t="s">
        <v>3661</v>
      </c>
      <c r="I75" s="64" t="b">
        <v>1</v>
      </c>
      <c r="J75" s="66" t="s">
        <v>3660</v>
      </c>
      <c r="K75" s="66" t="s">
        <v>3960</v>
      </c>
      <c r="L75" s="64" t="s">
        <v>4376</v>
      </c>
      <c r="M75" s="64" t="s">
        <v>5718</v>
      </c>
      <c r="N75" s="65" t="str">
        <f t="shared" si="12"/>
        <v>[Clarke, J. D. (2019).comparing Clustered Sampling Designs for Spatially Explicit Estimation of Population Density. &lt;i&gt;Population Ecology, 61&lt;/i&gt;, 93-101. &lt;a target="_blank" href="https://doi.org/10.1002/1438-390X.1011"&gt;{https://doi.org/10.1002/1438-390X.1011}]{#clarke_2019}&lt;br&gt;&lt;br&gt;</v>
      </c>
      <c r="O75" s="64" t="s">
        <v>3659</v>
      </c>
      <c r="P75" s="64" t="s">
        <v>984</v>
      </c>
      <c r="Q75" s="64" t="str">
        <f t="shared" si="8"/>
        <v>{{ rtxt_clarke_2019 }}</v>
      </c>
      <c r="R75" s="64" t="str">
        <f t="shared" si="9"/>
        <v>{{ rbib_clarke_2019 }}</v>
      </c>
      <c r="S75" s="63" t="str">
        <f t="shared" si="6"/>
        <v>Clarke, J. D. (2019).comparing Clustered Sampling Designs for Spatially Explicit Estimation of Population Density. &lt;i&gt;Population Ecology, 61&lt;/i&gt;, 93-101. &lt;a href="https://doi.org/10.1002/1438-390X.1011" target="_blank"&gt;https://doi.org/10.1002/1438-390X.1011&lt;/a&gt;&lt;span style="color:white"&gt;[.]{#clarke_2019}&lt;/span&gt;&lt;br&gt;&lt;br&gt;</v>
      </c>
      <c r="T75" s="64" t="str">
        <f t="shared" si="11"/>
        <v xml:space="preserve">    rtxt_clarke_2019: "&lt;a href=\"/08_references.html#clarke_2019\" target=\"_blank\"&gt;Clarke, 2019&lt;/a&gt;"</v>
      </c>
      <c r="U75" s="64" t="str">
        <f t="shared" si="10"/>
        <v xml:space="preserve">    rbib_clarke_2019: "Clarke, J. D. (2019).comparing Clustered Sampling Designs for Spatially Explicit Estimation of Population Density. *Population Ecology, 61*, 93-101. &lt;https://doi.org/10.1002/1438-390X.1011&gt;"</v>
      </c>
      <c r="V75" s="64"/>
    </row>
    <row r="76" spans="1:22" ht="15.75">
      <c r="A76" s="64"/>
      <c r="B76" s="77" t="b">
        <v>1</v>
      </c>
      <c r="C76" s="77" t="b">
        <v>0</v>
      </c>
      <c r="D76" s="77" t="b">
        <v>1</v>
      </c>
      <c r="E76" s="64" t="s">
        <v>1904</v>
      </c>
      <c r="F76" s="64" t="s">
        <v>463</v>
      </c>
      <c r="G76" s="64" t="s">
        <v>3658</v>
      </c>
      <c r="H76" s="64" t="s">
        <v>3658</v>
      </c>
      <c r="I76" s="64" t="b">
        <v>1</v>
      </c>
      <c r="J76" s="66" t="s">
        <v>3657</v>
      </c>
      <c r="K76" s="66" t="s">
        <v>3960</v>
      </c>
      <c r="L76" s="64" t="s">
        <v>4377</v>
      </c>
      <c r="M76" s="64" t="s">
        <v>5958</v>
      </c>
      <c r="N76" s="65" t="str">
        <f t="shared" si="12"/>
        <v>[Clarke, J., Bohm, H., Burton, C., Constantinou, A. (2023). &lt;i&gt;Using Camera Traps to Estimate Medium and Large Mammal Density: Comparison of Methods and Recommendations for Wildlife Managers&lt;/i&gt;. &lt;a target="_blank" href="https://doi.org/10.13140/RG.2.2.18364.72320"&gt;{https://doi.org/10.13140/RG.2.2.18364.72320}]{#clarke_et_al_2023}&lt;br&gt;&lt;br&gt;</v>
      </c>
      <c r="O76" s="64" t="s">
        <v>3656</v>
      </c>
      <c r="P76" s="64" t="s">
        <v>984</v>
      </c>
      <c r="Q76" s="64" t="str">
        <f t="shared" si="8"/>
        <v>{{ rtxt_clarke_et_al_2023 }}</v>
      </c>
      <c r="R76" s="64" t="str">
        <f t="shared" si="9"/>
        <v>{{ rbib_clarke_et_al_2023 }}</v>
      </c>
      <c r="S76" s="63" t="str">
        <f t="shared" si="6"/>
        <v>Clarke, J., Bohm, H., Burton, C., Constantinou, A. (2023). &lt;i&gt;Using Camera Traps to Estimate Medium and Large Mammal Density: Comparison of Methods and Recommendations for Wildlife Managers&lt;/i&gt;. &lt;a href="https://doi.org/10.13140/RG.2.2.18364.72320" target="_blank"&gt;https://doi.org/10.13140/RG.2.2.18364.72320&lt;/a&gt;&lt;span style="color:white"&gt;[.]{#clarke_et_al_2023}&lt;/span&gt;&lt;br&gt;&lt;br&gt;</v>
      </c>
      <c r="T76" s="64" t="str">
        <f t="shared" si="11"/>
        <v xml:space="preserve">    rtxt_clarke_et_al_2023: "&lt;a href=\"/08_references.html#clarke_et_al_2023\" target=\"_blank\"&gt;Clarke et al., 2023&lt;/a&gt;"</v>
      </c>
      <c r="U76" s="64" t="str">
        <f t="shared" si="10"/>
        <v xml:space="preserve">    rbib_clarke_et_al_2023: "Clarke, J., Bohm, H., Burton, C., Constantinou, A. (2023). *Using Camera Traps to Estimate Medium and Large Mammal Density: Comparison of Methods and Recommendations for Wildlife Managers*. &lt;https://doi.org/10.13140/RG.2.2.18364.72320&gt;"</v>
      </c>
      <c r="V76" s="64"/>
    </row>
    <row r="77" spans="1:22" ht="15.75">
      <c r="A77" s="64"/>
      <c r="B77" s="77" t="b">
        <v>0</v>
      </c>
      <c r="C77" s="77" t="b">
        <v>1</v>
      </c>
      <c r="D77" s="77" t="b">
        <v>0</v>
      </c>
      <c r="E77" s="64" t="s">
        <v>1904</v>
      </c>
      <c r="F77" s="64" t="s">
        <v>3655</v>
      </c>
      <c r="G77" s="64" t="s">
        <v>3654</v>
      </c>
      <c r="H77" s="64" t="s">
        <v>3654</v>
      </c>
      <c r="I77" s="64" t="b">
        <v>1</v>
      </c>
      <c r="J77" s="66" t="s">
        <v>3653</v>
      </c>
      <c r="K77" s="66" t="s">
        <v>3960</v>
      </c>
      <c r="L77" s="64" t="s">
        <v>4378</v>
      </c>
      <c r="M77" s="64" t="s">
        <v>5817</v>
      </c>
      <c r="N77" s="65" t="str">
        <f t="shared" si="12"/>
        <v>[Clevenger,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href="https://doi.org/10.1016/j.biocon.2004.04.025"&gt;{https://doi.org/10.1016/j.biocon.2004.04.025}]{#clevenger_waltho_2005}&lt;br&gt;&lt;br&gt;</v>
      </c>
      <c r="O77" s="64" t="s">
        <v>3652</v>
      </c>
      <c r="P77" s="64" t="s">
        <v>984</v>
      </c>
      <c r="Q77" s="64" t="str">
        <f t="shared" si="8"/>
        <v>{{ rtxt_clevenger_waltho_2005 }}</v>
      </c>
      <c r="R77" s="64" t="str">
        <f t="shared" si="9"/>
        <v>{{ rbib_clevenger_waltho_2005 }}</v>
      </c>
      <c r="S77" s="63" t="str">
        <f t="shared" si="6"/>
        <v>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target="_blank"&gt;https://doi.org/10.1016/j.biocon.2004.04.025&lt;/a&gt;&lt;span style="color:white"&gt;[.]{#clevenger_waltho_2005}&lt;/span&gt;&lt;br&gt;&lt;br&gt;</v>
      </c>
      <c r="T77" s="64" t="str">
        <f t="shared" si="11"/>
        <v xml:space="preserve">    rtxt_clevenger_waltho_2005: "&lt;a href=\"/08_references.html#clevenger_waltho_2005\" target=\"_blank\"&gt;Clevenger &amp; Waltho, 2005&lt;/a&gt;"</v>
      </c>
      <c r="U77" s="64" t="str">
        <f t="shared" si="10"/>
        <v xml:space="preserve">    rbib_clevenger_waltho_2005: "Clevenger, A. P., &amp; Waltho, N. (2005). Performance indices to identify attributes of highway crossing structures facilitating movement of large mammals. *Biological Conservation, 121* (3), 453-464. &lt;https://doi.org/10.1016/j.biocon.2004.04.025&gt;"</v>
      </c>
      <c r="V77" s="64"/>
    </row>
    <row r="78" spans="1:22" ht="15.75">
      <c r="A78" s="64"/>
      <c r="B78" s="77"/>
      <c r="C78" s="77"/>
      <c r="D78" s="77"/>
      <c r="E78" s="64" t="s">
        <v>1904</v>
      </c>
      <c r="F78" s="64" t="s">
        <v>3647</v>
      </c>
      <c r="G78" s="65" t="s">
        <v>3646</v>
      </c>
      <c r="H78" s="64" t="s">
        <v>3645</v>
      </c>
      <c r="I78" s="64" t="b">
        <v>1</v>
      </c>
      <c r="J78" s="66" t="s">
        <v>3644</v>
      </c>
      <c r="K78" s="66" t="s">
        <v>3960</v>
      </c>
      <c r="L78" s="64" t="s">
        <v>4379</v>
      </c>
      <c r="M78" s="64" t="s">
        <v>5865</v>
      </c>
      <c r="N78" s="65" t="str">
        <f t="shared" si="12"/>
        <v>[Codling, E. A., Plank, M. J., &amp; Benhamou, S. (2008). Random walk models in biology. &lt;i&gt;Journal of The Royal Society Interface, 5&lt;/i&gt;(25), 813-834. &lt;a target="_blank" href="https://doi.org/10.1098/rsif.2008.0014"&gt;{https://doi.org/10.1098/rsif.2008.0014}]{#codling_et_al_2008}&lt;br&gt;&lt;br&gt;</v>
      </c>
      <c r="O78" s="64" t="s">
        <v>3643</v>
      </c>
      <c r="P78" s="64" t="s">
        <v>984</v>
      </c>
      <c r="Q78" s="64" t="str">
        <f t="shared" si="8"/>
        <v>{{ rtxt_codling_et_al_2008 }}</v>
      </c>
      <c r="R78" s="64" t="str">
        <f t="shared" si="9"/>
        <v>{{ rbib_codling_et_al_2008 }}</v>
      </c>
      <c r="S78" s="63" t="str">
        <f t="shared" si="6"/>
        <v>Codling, E. A., Plank, M. J., &amp; Benhamou, S. (2008). Random walk models in biology. &lt;i&gt;Journal of The Royal Society Interface, 5&lt;/i&gt;(25), 813-834. &lt;a href="https://doi.org/10.1098/rsif.2008.0014" target="_blank"&gt;https://doi.org/10.1098/rsif.2008.0014&lt;/a&gt;&lt;span style="color:white"&gt;[.]{#codling_et_al_2008}&lt;/span&gt;&lt;br&gt;&lt;br&gt;</v>
      </c>
      <c r="T78" s="64" t="str">
        <f t="shared" si="11"/>
        <v xml:space="preserve">    rtxt_codling_et_al_2008: "&lt;a href=\"/08_references.html#codling_et_al_2008\" target=\"_blank\"&gt;Codling et al., 2008&lt;/a&gt;"</v>
      </c>
      <c r="U78" s="64" t="str">
        <f t="shared" si="10"/>
        <v xml:space="preserve">    rbib_codling_et_al_2008: "Codling, E. A., Plank, M. J., &amp; Benhamou, S. (2008). Random walk models in biology. *Journal of The Royal Society Interface, 5*(25), 813-834. &lt;https://doi.org/10.1098/rsif.2008.0014&gt;"</v>
      </c>
      <c r="V78" s="64"/>
    </row>
    <row r="79" spans="1:22" ht="15.75">
      <c r="A79" s="64"/>
      <c r="B79" s="77" t="b">
        <v>0</v>
      </c>
      <c r="C79" s="77" t="b">
        <v>0</v>
      </c>
      <c r="D79" s="77"/>
      <c r="E79" s="64" t="s">
        <v>1904</v>
      </c>
      <c r="F79" s="64" t="s">
        <v>3642</v>
      </c>
      <c r="G79" s="64" t="s">
        <v>3641</v>
      </c>
      <c r="H79" s="64" t="s">
        <v>3641</v>
      </c>
      <c r="I79" s="64" t="b">
        <v>1</v>
      </c>
      <c r="J79" s="66" t="s">
        <v>3640</v>
      </c>
      <c r="K79" s="66" t="s">
        <v>3960</v>
      </c>
      <c r="L79" s="64" t="s">
        <v>4380</v>
      </c>
      <c r="M79" s="64" t="s">
        <v>5752</v>
      </c>
      <c r="N79" s="65" t="str">
        <f t="shared" si="12"/>
        <v>[Coltrane,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href="https://doi.org/10.1002/jwmg.22636"&gt;{https://doi.org/10.1002/jwmg.22636}]{#coltrane_et_al_2024}&lt;br&gt;&lt;br&gt;</v>
      </c>
      <c r="O79" s="64" t="s">
        <v>3639</v>
      </c>
      <c r="P79" s="64" t="s">
        <v>984</v>
      </c>
      <c r="Q79" s="64" t="str">
        <f t="shared" si="8"/>
        <v>{{ rtxt_coltrane_et_al_2024 }}</v>
      </c>
      <c r="R79" s="64" t="str">
        <f t="shared" si="9"/>
        <v>{{ rbib_coltrane_et_al_2024 }}</v>
      </c>
      <c r="S79" s="63" t="str">
        <f t="shared" si="6"/>
        <v>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target="_blank"&gt;https://doi.org/10.1002/jwmg.22636&lt;/a&gt;&lt;span style="color:white"&gt;[.]{#coltrane_et_al_2024}&lt;/span&gt;&lt;br&gt;&lt;br&gt;</v>
      </c>
      <c r="T79" s="64" t="str">
        <f t="shared" si="11"/>
        <v xml:space="preserve">    rtxt_coltrane_et_al_2024: "&lt;a href=\"/08_references.html#coltrane_et_al_2024\" target=\"_blank\"&gt;Coltrane et al., 2024&lt;/a&gt;"</v>
      </c>
      <c r="U79" s="64" t="str">
        <f t="shared" si="10"/>
        <v xml:space="preserve">    rbib_coltrane_et_al_2024: "Coltrane, J., DeCesare, N. J., Horne, J. S., &amp; Lukacs, P. M. (2024). Comparing camera-based ungulate Density estimates: A case study using island populations of bighorn sheep and mule deer. *The Journal of Wildlife Management, 88*(7), e22636. &lt;https://doi.org/10.1002/jwmg.22636&gt;"</v>
      </c>
      <c r="V79" s="64"/>
    </row>
    <row r="80" spans="1:22" ht="15.75">
      <c r="A80" s="64"/>
      <c r="B80" s="77" t="b">
        <v>1</v>
      </c>
      <c r="C80" s="77" t="b">
        <v>0</v>
      </c>
      <c r="D80" s="77" t="b">
        <v>0</v>
      </c>
      <c r="E80" s="64" t="s">
        <v>1950</v>
      </c>
      <c r="F80" s="64" t="s">
        <v>3651</v>
      </c>
      <c r="G80" s="64" t="s">
        <v>3650</v>
      </c>
      <c r="H80" s="64" t="s">
        <v>3650</v>
      </c>
      <c r="I80" s="64" t="b">
        <v>1</v>
      </c>
      <c r="J80" s="66" t="s">
        <v>3649</v>
      </c>
      <c r="K80" s="66" t="s">
        <v>3960</v>
      </c>
      <c r="L80" s="64" t="s">
        <v>4381</v>
      </c>
      <c r="M80" s="64" t="s">
        <v>6163</v>
      </c>
      <c r="N80" s="65" t="str">
        <f t="shared" si="12"/>
        <v>[Columbia Mountains Institute of Applied Ecology [CMI]. (2020) &lt;i&gt;Chris Beirne: Tips and Tricks for the Organization and Analysis of Camera Trap Data&lt;/i&gt;. &lt;a target="_blank" href="https://www.youtube.com/watch?v=VadXgBMhiTY"&gt;{https://www.youtube.com/watch?v=VadXgBMhiTY}]{#cmi_2020}&lt;br&gt;&lt;br&gt;</v>
      </c>
      <c r="O80" s="64" t="s">
        <v>3648</v>
      </c>
      <c r="P80" s="64" t="s">
        <v>984</v>
      </c>
      <c r="Q80" s="64" t="str">
        <f t="shared" si="8"/>
        <v>{{ rtxt_cmi_2020 }}</v>
      </c>
      <c r="R80" s="64" t="str">
        <f t="shared" si="9"/>
        <v>{{ rbib_cmi_2020 }}</v>
      </c>
      <c r="S80" s="63" t="str">
        <f t="shared" si="6"/>
        <v>Columbia Mountains Institute of Applied Ecology [CMI]. (2020) &lt;i&gt;Chris Beirne: Tips and Tricks for the Organization and Analysis of Camera Trap Data&lt;/i&gt;. &lt;a href="https://www.youtube.com/watch?v=VadXgBMhiTY" target="_blank"&gt;https://www.youtube.com/watch?v=VadXgBMhiTY&lt;/a&gt;&lt;span style="color:white"&gt;[.]{#cmi_2020}&lt;/span&gt;&lt;br&gt;&lt;br&gt;</v>
      </c>
      <c r="T80" s="64" t="str">
        <f t="shared" si="11"/>
        <v xml:space="preserve">    rtxt_cmi_2020: "&lt;a href=\"/08_references.html#cmi_2020\" target=\"_blank\"&gt;Columbia Mountains Institute of Applied Ecology [CMI], 2020&lt;/a&gt;"</v>
      </c>
      <c r="U80" s="64" t="str">
        <f t="shared" si="10"/>
        <v xml:space="preserve">    rbib_cmi_2020: "Columbia Mountains Institute of Applied Ecology [CMI]. (2020) *Chris Beirne: Tips and Tricks for the Organization and Analysis of Camera Trap Data*. &lt;https://www.youtube.com/watch?v=VadXgBMhiTY&gt;"</v>
      </c>
      <c r="V80" s="64"/>
    </row>
    <row r="81" spans="1:22" ht="15.75">
      <c r="A81" s="64"/>
      <c r="B81" s="77"/>
      <c r="C81" s="77"/>
      <c r="D81" s="77"/>
      <c r="E81" s="64" t="s">
        <v>2246</v>
      </c>
      <c r="F81" s="64" t="s">
        <v>3638</v>
      </c>
      <c r="G81" s="64" t="s">
        <v>3637</v>
      </c>
      <c r="H81" s="64" t="s">
        <v>3637</v>
      </c>
      <c r="I81" s="64" t="b">
        <v>1</v>
      </c>
      <c r="J81" s="66" t="s">
        <v>3636</v>
      </c>
      <c r="K81" s="66" t="s">
        <v>3960</v>
      </c>
      <c r="L81" s="64" t="s">
        <v>4382</v>
      </c>
      <c r="M81" s="64" t="s">
        <v>6127</v>
      </c>
      <c r="N81" s="65" t="str">
        <f t="shared" si="12"/>
        <v>[Colwell, R. K. (2022). &lt;i&gt;EstimateS: Statistical Estimation of Species Richness and Shared Species from Samples&lt;/i&gt;. Version 9.1. &lt;a target="_blank" href="https://www.robertkcolwell.org/pages/1407"&gt;{https://www.robertkcolwell.org/pages/1407}]{#colwell_2022}&lt;br&gt;&lt;br&gt;</v>
      </c>
      <c r="O81" s="64" t="s">
        <v>3635</v>
      </c>
      <c r="P81" s="64" t="s">
        <v>984</v>
      </c>
      <c r="Q81" s="64" t="str">
        <f t="shared" si="8"/>
        <v>{{ rtxt_colwell_2022 }}</v>
      </c>
      <c r="R81" s="64" t="str">
        <f t="shared" si="9"/>
        <v>{{ rbib_colwell_2022 }}</v>
      </c>
      <c r="S81" s="63" t="str">
        <f t="shared" ref="S81:S144" si="13">M81&amp;IF(O81&lt;&gt;"-",(" &lt;a href="&amp;""""&amp;O81&amp;""""&amp;" target="&amp;""""&amp;"_blank"&amp;""""&amp;"&gt;"&amp;O81&amp;"&lt;/a&gt;&lt;span style="&amp;""""&amp;"color:white"&amp;""""&amp;"&gt;[.]{#"&amp;F81&amp;"}&lt;/span&gt;&lt;br&gt;&lt;br&gt;"),"")</f>
        <v>Colwell, R. K. (2022). &lt;i&gt;EstimateS: Statistical Estimation of Species Richness and Shared Species from Samples&lt;/i&gt;. Version 9.1. &lt;a href="https://www.robertkcolwell.org/pages/1407" target="_blank"&gt;https://www.robertkcolwell.org/pages/1407&lt;/a&gt;&lt;span style="color:white"&gt;[.]{#colwell_2022}&lt;/span&gt;&lt;br&gt;&lt;br&gt;</v>
      </c>
      <c r="T81" s="64" t="str">
        <f t="shared" si="11"/>
        <v xml:space="preserve">    rtxt_colwell_2022: "&lt;a href=\"/08_references.html#colwell_2022\" target=\"_blank\"&gt;Colwell, 2022&lt;/a&gt;"</v>
      </c>
      <c r="U81" s="64" t="str">
        <f t="shared" si="10"/>
        <v xml:space="preserve">    rbib_colwell_2022: "Colwell, R. K. (2022). *EstimateS: Statistical Estimation of Species Richness and Shared Species from Samples*. Version 9.1. &lt;https://www.robertkcolwell.org/pages/1407&gt;"</v>
      </c>
      <c r="V81" s="64"/>
    </row>
    <row r="82" spans="1:22" ht="15.75">
      <c r="A82" s="64"/>
      <c r="B82" s="77"/>
      <c r="C82" s="77"/>
      <c r="D82" s="77"/>
      <c r="E82" s="64" t="s">
        <v>1904</v>
      </c>
      <c r="F82" s="64" t="s">
        <v>3634</v>
      </c>
      <c r="G82" s="65" t="s">
        <v>3633</v>
      </c>
      <c r="H82" s="65" t="s">
        <v>3633</v>
      </c>
      <c r="I82" s="64" t="b">
        <v>1</v>
      </c>
      <c r="J82" s="66" t="s">
        <v>3632</v>
      </c>
      <c r="K82" s="66" t="s">
        <v>3960</v>
      </c>
      <c r="L82" s="64" t="s">
        <v>4383</v>
      </c>
      <c r="M82" s="64" t="s">
        <v>5868</v>
      </c>
      <c r="N82" s="65" t="str">
        <f t="shared" si="12"/>
        <v>[Colwell,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href="https://doi.org/10.1098/rstb.1994.0091"&gt;{https://doi.org/10.1098/rstb.1994.0091}]{#colwell_coddington_1994}&lt;br&gt;&lt;br&gt;</v>
      </c>
      <c r="O82" s="64" t="s">
        <v>3631</v>
      </c>
      <c r="P82" s="64" t="s">
        <v>984</v>
      </c>
      <c r="Q82" s="64" t="str">
        <f t="shared" si="8"/>
        <v>{{ rtxt_colwell_coddington_1994 }}</v>
      </c>
      <c r="R82" s="64" t="str">
        <f t="shared" si="9"/>
        <v>{{ rbib_colwell_coddington_1994 }}</v>
      </c>
      <c r="S82" s="63" t="str">
        <f t="shared" si="13"/>
        <v>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target="_blank"&gt;https://doi.org/10.1098/rstb.1994.0091&lt;/a&gt;&lt;span style="color:white"&gt;[.]{#colwell_coddington_1994}&lt;/span&gt;&lt;br&gt;&lt;br&gt;</v>
      </c>
      <c r="T82" s="64" t="str">
        <f t="shared" si="11"/>
        <v xml:space="preserve">    rtxt_colwell_coddington_1994: "&lt;a href=\"/08_references.html#colwell_coddington_1994\" target=\"_blank\"&gt;Colwell &amp; Coddington, 1994&lt;/a&gt;"</v>
      </c>
      <c r="U82" s="64" t="str">
        <f t="shared" si="10"/>
        <v xml:space="preserve">    rbib_colwell_coddington_1994: "Colwell, R. K., &amp; Coddington, J. A. (1994).Estimating terrestrial biodiversity through extrapolation. *Philosophical Transactions of the Royal Society of London. Series B, Biological Sciences, 345*, 101-118. &lt;https://doi.org/10.1098/rstb.1994.0091&gt;"</v>
      </c>
      <c r="V82" s="64"/>
    </row>
    <row r="83" spans="1:22" ht="15.75">
      <c r="A83" s="64"/>
      <c r="B83" s="77" t="b">
        <v>0</v>
      </c>
      <c r="C83" s="77" t="b">
        <v>0</v>
      </c>
      <c r="D83" s="77" t="b">
        <v>1</v>
      </c>
      <c r="E83" s="64" t="s">
        <v>1904</v>
      </c>
      <c r="F83" s="64" t="s">
        <v>3630</v>
      </c>
      <c r="G83" s="64" t="s">
        <v>3629</v>
      </c>
      <c r="H83" s="64" t="s">
        <v>3628</v>
      </c>
      <c r="I83" s="64" t="b">
        <v>1</v>
      </c>
      <c r="J83" s="66" t="s">
        <v>3627</v>
      </c>
      <c r="K83" s="66" t="s">
        <v>3960</v>
      </c>
      <c r="L83" s="64" t="s">
        <v>4384</v>
      </c>
      <c r="M83" s="64" t="s">
        <v>5991</v>
      </c>
      <c r="N83" s="65" t="str">
        <f t="shared" si="12"/>
        <v>[Colwell, R. K., Mao, C. X., &amp; Chang, J. (2004). Interpolating, Extrapolating, and Comparing Incidence-based Species Accumulation Curves. &lt;i&gt;Ecology, 85&lt;/i&gt;(10), 2717-2727. &lt;a target="_blank" href="https://doi.org/10.1890/03-0557"&gt;{https://doi.org/10.1890/03-0557}]{#colwell_et_al_2004}&lt;br&gt;&lt;br&gt;</v>
      </c>
      <c r="O83" s="64" t="s">
        <v>3626</v>
      </c>
      <c r="P83" s="64" t="s">
        <v>984</v>
      </c>
      <c r="Q83" s="64" t="str">
        <f t="shared" si="8"/>
        <v>{{ rtxt_colwell_et_al_2004 }}</v>
      </c>
      <c r="R83" s="64" t="str">
        <f t="shared" si="9"/>
        <v>{{ rbib_colwell_et_al_2004 }}</v>
      </c>
      <c r="S83" s="63" t="str">
        <f t="shared" si="13"/>
        <v>Colwell, R. K., Mao, C. X., &amp; Chang, J. (2004). Interpolating, Extrapolating, and Comparing Incidence-based Species Accumulation Curves. &lt;i&gt;Ecology, 85&lt;/i&gt;(10), 2717-2727. &lt;a href="https://doi.org/10.1890/03-0557" target="_blank"&gt;https://doi.org/10.1890/03-0557&lt;/a&gt;&lt;span style="color:white"&gt;[.]{#colwell_et_al_2004}&lt;/span&gt;&lt;br&gt;&lt;br&gt;</v>
      </c>
      <c r="T83" s="64" t="str">
        <f t="shared" si="11"/>
        <v xml:space="preserve">    rtxt_colwell_et_al_2004: "&lt;a href=\"/08_references.html#colwell_et_al_2004\" target=\"_blank\"&gt;Colwell et al., 2004&lt;/a&gt;"</v>
      </c>
      <c r="U83" s="64" t="str">
        <f t="shared" si="10"/>
        <v xml:space="preserve">    rbib_colwell_et_al_2004: "Colwell, R. K., Mao, C. X., &amp; Chang, J. (2004). Interpolating, Extrapolating, and Comparing Incidence-based Species Accumulation Curves. *Ecology, 85*(10), 2717-2727. &lt;https://doi.org/10.1890/03-0557&gt;"</v>
      </c>
      <c r="V83" s="64"/>
    </row>
    <row r="84" spans="1:22" ht="15.75">
      <c r="A84" s="64"/>
      <c r="B84" s="77" t="b">
        <v>0</v>
      </c>
      <c r="C84" s="77" t="b">
        <v>0</v>
      </c>
      <c r="D84" s="77" t="b">
        <v>1</v>
      </c>
      <c r="E84" s="64" t="s">
        <v>1904</v>
      </c>
      <c r="F84" s="64" t="s">
        <v>3625</v>
      </c>
      <c r="G84" s="64" t="s">
        <v>3624</v>
      </c>
      <c r="H84" s="64" t="s">
        <v>3624</v>
      </c>
      <c r="I84" s="64" t="b">
        <v>1</v>
      </c>
      <c r="J84" s="66" t="s">
        <v>3623</v>
      </c>
      <c r="K84" s="66" t="s">
        <v>3960</v>
      </c>
      <c r="L84" s="64" t="s">
        <v>4385</v>
      </c>
      <c r="M84" s="64" t="s">
        <v>5864</v>
      </c>
      <c r="N84" s="65" t="str">
        <f t="shared" si="12"/>
        <v>[Colwell,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href="https://doi.org/10.1093/jpe/rtr044"&gt;{https://doi.org/10.1093/jpe/rtr044}]{#colwell_et_al_2012}&lt;br&gt;&lt;br&gt;</v>
      </c>
      <c r="O84" s="64" t="s">
        <v>3622</v>
      </c>
      <c r="P84" s="64" t="s">
        <v>984</v>
      </c>
      <c r="Q84" s="64" t="str">
        <f t="shared" si="8"/>
        <v>{{ rtxt_colwell_et_al_2012 }}</v>
      </c>
      <c r="R84" s="64" t="str">
        <f t="shared" si="9"/>
        <v>{{ rbib_colwell_et_al_2012 }}</v>
      </c>
      <c r="S84" s="63" t="str">
        <f t="shared" si="13"/>
        <v>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target="_blank"&gt;https://doi.org/10.1093/jpe/rtr044&lt;/a&gt;&lt;span style="color:white"&gt;[.]{#colwell_et_al_2012}&lt;/span&gt;&lt;br&gt;&lt;br&gt;</v>
      </c>
      <c r="T84" s="64" t="str">
        <f t="shared" si="11"/>
        <v xml:space="preserve">    rtxt_colwell_et_al_2012: "&lt;a href=\"/08_references.html#colwell_et_al_2012\" target=\"_blank\"&gt;Colwell et al., 2012&lt;/a&gt;"</v>
      </c>
      <c r="U84" s="64" t="str">
        <f t="shared" si="10"/>
        <v xml:space="preserve">    rbib_colwell_et_al_2012: "Colwell, R., Chao, A., Gotelli, N., Lin, S., Mao, C., Chazdon, R., &amp; Longino, J. (2012). Models and estimators linking individual-based and sample-based rarefaction, extrapolation and comparison of assemblages. *Journal of Plant Ecology, 5*(1), 3-21. &lt;https://doi.org/10.1093/jpe/rtr044&gt;"</v>
      </c>
      <c r="V84" s="64"/>
    </row>
    <row r="85" spans="1:22" ht="15.75">
      <c r="A85" s="64"/>
      <c r="B85" s="77" t="b">
        <v>1</v>
      </c>
      <c r="C85" s="77" t="b">
        <v>0</v>
      </c>
      <c r="D85" s="77" t="b">
        <v>0</v>
      </c>
      <c r="E85" s="64" t="s">
        <v>1904</v>
      </c>
      <c r="F85" s="64" t="s">
        <v>3621</v>
      </c>
      <c r="G85" s="64" t="s">
        <v>3620</v>
      </c>
      <c r="H85" s="64" t="s">
        <v>3619</v>
      </c>
      <c r="I85" s="64" t="b">
        <v>1</v>
      </c>
      <c r="J85" s="66" t="s">
        <v>3618</v>
      </c>
      <c r="K85" s="66" t="s">
        <v>3960</v>
      </c>
      <c r="L85" s="64" t="s">
        <v>4386</v>
      </c>
      <c r="M85" s="64" t="s">
        <v>5800</v>
      </c>
      <c r="N85" s="65" t="str">
        <f t="shared" si="12"/>
        <v>[Colyn,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href="https://doi.org/10.1007/s10531-017-1448-z"&gt;{https://doi.org/10.1007/s10531-017-1448-z}]{#colyn_et_al_2018}&lt;br&gt;&lt;br&gt;</v>
      </c>
      <c r="O85" s="64" t="s">
        <v>3617</v>
      </c>
      <c r="P85" s="64" t="s">
        <v>984</v>
      </c>
      <c r="Q85" s="64" t="str">
        <f t="shared" si="8"/>
        <v>{{ rtxt_colyn_et_al_2018 }}</v>
      </c>
      <c r="R85" s="64" t="str">
        <f t="shared" si="9"/>
        <v>{{ rbib_colyn_et_al_2018 }}</v>
      </c>
      <c r="S85" s="63" t="str">
        <f t="shared" si="13"/>
        <v>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target="_blank"&gt;https://doi.org/10.1007/s10531-017-1448-z&lt;/a&gt;&lt;span style="color:white"&gt;[.]{#colyn_et_al_2018}&lt;/span&gt;&lt;br&gt;&lt;br&gt;</v>
      </c>
      <c r="T85" s="64" t="str">
        <f t="shared" si="11"/>
        <v xml:space="preserve">    rtxt_colyn_et_al_2018: "&lt;a href=\"/08_references.html#colyn_et_al_2018\" target=\"_blank\"&gt;Colyn et al., 2018&lt;/a&gt;"</v>
      </c>
      <c r="U85" s="64" t="str">
        <f t="shared" si="10"/>
        <v xml:space="preserve">    rbib_colyn_et_al_2018: "Colyn, R. B., Radloff, F., &amp; O'Riain, M. J. (2018). Camera trapping mammals in the scrubland’s of the cape floristic kingdom - the importance of effort, spacing and trap placement. *Biodiversity and Conservation, 27*(2), 503-520. &lt;https://doi.org/10.1007/s10531-017-1448-z&gt;"</v>
      </c>
      <c r="V85" s="64"/>
    </row>
    <row r="86" spans="1:22" ht="15.75">
      <c r="A86" s="64"/>
      <c r="B86" s="77"/>
      <c r="C86" s="77"/>
      <c r="D86" s="77"/>
      <c r="E86" s="64" t="s">
        <v>1945</v>
      </c>
      <c r="F86" s="64" t="s">
        <v>3616</v>
      </c>
      <c r="G86" s="64" t="s">
        <v>3615</v>
      </c>
      <c r="H86" s="64" t="s">
        <v>3615</v>
      </c>
      <c r="I86" s="64" t="b">
        <v>1</v>
      </c>
      <c r="J86" s="66" t="s">
        <v>3614</v>
      </c>
      <c r="K86" s="66" t="s">
        <v>3960</v>
      </c>
      <c r="L86" s="64" t="s">
        <v>4387</v>
      </c>
      <c r="M86" s="64" t="s">
        <v>6152</v>
      </c>
      <c r="N86" s="65" t="str">
        <f t="shared" si="12"/>
        <v>[Cove, M. (2020a, Sep 27). &lt;i&gt;Occupancy Modeling Video 1 -- Sampling Techniques for Mammals.&lt;/i&gt; [Video]. YouTube. &lt;a target="_blank" href="https://www.youtube.com/watch?v=n21Ugw0lYcY"&gt;{https://www.youtube.com/watch?v=n21Ugw0lYcY}]{#cove_2020a}&lt;br&gt;&lt;br&gt;</v>
      </c>
      <c r="O86" s="64" t="s">
        <v>3612</v>
      </c>
      <c r="P86" s="64" t="s">
        <v>3613</v>
      </c>
      <c r="Q86" s="64" t="str">
        <f t="shared" si="8"/>
        <v>{{ rtxt_cove_2020a }}</v>
      </c>
      <c r="R86" s="64" t="str">
        <f t="shared" si="9"/>
        <v>{{ rbib_cove_2020a }}</v>
      </c>
      <c r="S86" s="63" t="str">
        <f t="shared" si="13"/>
        <v>Cove, M. (2020a, Sep 27). &lt;i&gt;Occupancy Modeling Video 1 -- Sampling Techniques for Mammals.&lt;/i&gt; [Video]. YouTube. &lt;a href="https://www.youtube.com/watch?v=n21Ugw0lYcY" target="_blank"&gt;https://www.youtube.com/watch?v=n21Ugw0lYcY&lt;/a&gt;&lt;span style="color:white"&gt;[.]{#cove_2020a}&lt;/span&gt;&lt;br&gt;&lt;br&gt;</v>
      </c>
      <c r="T86" s="64" t="str">
        <f t="shared" si="11"/>
        <v xml:space="preserve">    rtxt_cove_2020a: "&lt;a href=\"/08_references.html#cove_2020a\" target=\"_blank\"&gt;Cove, 2020a&lt;/a&gt;"</v>
      </c>
      <c r="U86" s="64" t="str">
        <f t="shared" si="10"/>
        <v xml:space="preserve">    rbib_cove_2020a: "Cove, M. (2020a, Sep 27). *Occupancy Modeling Video 1 -- Sampling Techniques for Mammals.* [Video]. YouTube. &lt;https://www.youtube.com/watch?v=n21Ugw0lYcY&gt;"</v>
      </c>
      <c r="V86" s="64"/>
    </row>
    <row r="87" spans="1:22" ht="15.75">
      <c r="A87" s="64"/>
      <c r="B87" s="77"/>
      <c r="C87" s="77"/>
      <c r="D87" s="77"/>
      <c r="E87" s="64" t="s">
        <v>1945</v>
      </c>
      <c r="F87" s="64" t="s">
        <v>3611</v>
      </c>
      <c r="G87" s="64" t="s">
        <v>3610</v>
      </c>
      <c r="H87" s="64" t="s">
        <v>3610</v>
      </c>
      <c r="I87" s="64" t="b">
        <v>1</v>
      </c>
      <c r="J87" s="66" t="s">
        <v>3609</v>
      </c>
      <c r="K87" s="66" t="s">
        <v>3960</v>
      </c>
      <c r="L87" s="64" t="s">
        <v>4388</v>
      </c>
      <c r="M87" s="64" t="s">
        <v>6161</v>
      </c>
      <c r="N87" s="65" t="str">
        <f t="shared" si="12"/>
        <v>[Cove, M. (2020b, Sep 27). &lt;i&gt;Occupancy Modeling Video 2 -- Introductory Statistical Review.&lt;/i&gt; [Video]. YouTube. &lt;a target="_blank" href="https://www.youtube.com/watch?v=u--F8_oRpVU&amp;t=1s"&gt;{https://www.youtube.com/watch?v=u--F8_oRpVU&amp;t=1s}]{#cove_2020b}&lt;br&gt;&lt;br&gt;</v>
      </c>
      <c r="O87" s="64" t="s">
        <v>3607</v>
      </c>
      <c r="P87" s="64" t="s">
        <v>3608</v>
      </c>
      <c r="Q87" s="64" t="str">
        <f t="shared" si="8"/>
        <v>{{ rtxt_cove_2020b }}</v>
      </c>
      <c r="R87" s="64" t="str">
        <f t="shared" si="9"/>
        <v>{{ rbib_cove_2020b }}</v>
      </c>
      <c r="S87" s="63" t="str">
        <f t="shared" si="13"/>
        <v>Cove, M. (2020b, Sep 27). &lt;i&gt;Occupancy Modeling Video 2 -- Introductory Statistical Review.&lt;/i&gt; [Video]. YouTube. &lt;a href="https://www.youtube.com/watch?v=u--F8_oRpVU&amp;t=1s" target="_blank"&gt;https://www.youtube.com/watch?v=u--F8_oRpVU&amp;t=1s&lt;/a&gt;&lt;span style="color:white"&gt;[.]{#cove_2020b}&lt;/span&gt;&lt;br&gt;&lt;br&gt;</v>
      </c>
      <c r="T87" s="64" t="str">
        <f t="shared" si="11"/>
        <v xml:space="preserve">    rtxt_cove_2020b: "&lt;a href=\"/08_references.html#cove_2020b\" target=\"_blank\"&gt;Cove, 2020b&lt;/a&gt;"</v>
      </c>
      <c r="U87" s="64" t="str">
        <f t="shared" si="10"/>
        <v xml:space="preserve">    rbib_cove_2020b: "Cove, M. (2020b, Sep 27). *Occupancy Modeling Video 2 -- Introductory Statistical Review.* [Video]. YouTube. &lt;https://www.youtube.com/watch?v=u--F8_oRpVU&amp;t=1s&gt;"</v>
      </c>
      <c r="V87" s="64"/>
    </row>
    <row r="88" spans="1:22" ht="15.75">
      <c r="A88" s="64"/>
      <c r="B88" s="77"/>
      <c r="C88" s="77"/>
      <c r="D88" s="77"/>
      <c r="E88" s="64" t="s">
        <v>1945</v>
      </c>
      <c r="F88" s="64" t="s">
        <v>3606</v>
      </c>
      <c r="G88" s="64" t="s">
        <v>3605</v>
      </c>
      <c r="H88" s="64" t="s">
        <v>3605</v>
      </c>
      <c r="I88" s="64" t="b">
        <v>1</v>
      </c>
      <c r="J88" s="66" t="s">
        <v>3604</v>
      </c>
      <c r="K88" s="66" t="s">
        <v>3960</v>
      </c>
      <c r="L88" s="64" t="s">
        <v>4389</v>
      </c>
      <c r="M88" s="64" t="s">
        <v>6147</v>
      </c>
      <c r="N88" s="65" t="str">
        <f t="shared" si="12"/>
        <v>[Cove, M. (2020c, Sep 27). &lt;i&gt;Occupancy Modeling Video 3 -- What are Occupancy Models and What are the Applications?&lt;/i&gt; [Video]. YouTube. &lt;a target="_blank" href="https://www.youtube.com/watch?v=-F-txltI_iA"&gt;{https://www.youtube.com/watch?v=-F-txltI_iA}]{#cove_2020c}&lt;br&gt;&lt;br&gt;</v>
      </c>
      <c r="O88" s="64" t="s">
        <v>3602</v>
      </c>
      <c r="P88" s="64" t="s">
        <v>3603</v>
      </c>
      <c r="Q88" s="64" t="str">
        <f t="shared" si="8"/>
        <v>{{ rtxt_cove_2020c }}</v>
      </c>
      <c r="R88" s="64" t="str">
        <f t="shared" si="9"/>
        <v>{{ rbib_cove_2020c }}</v>
      </c>
      <c r="S88" s="63" t="str">
        <f t="shared" si="13"/>
        <v>Cove, M. (2020c, Sep 27). &lt;i&gt;Occupancy Modeling Video 3 -- What are Occupancy Models and What are the Applications?&lt;/i&gt; [Video]. YouTube. &lt;a href="https://www.youtube.com/watch?v=-F-txltI_iA" target="_blank"&gt;https://www.youtube.com/watch?v=-F-txltI_iA&lt;/a&gt;&lt;span style="color:white"&gt;[.]{#cove_2020c}&lt;/span&gt;&lt;br&gt;&lt;br&gt;</v>
      </c>
      <c r="T88" s="64" t="str">
        <f t="shared" si="11"/>
        <v xml:space="preserve">    rtxt_cove_2020c: "&lt;a href=\"/08_references.html#cove_2020c\" target=\"_blank\"&gt;Cove, 2020c&lt;/a&gt;"</v>
      </c>
      <c r="U88" s="64" t="str">
        <f t="shared" si="10"/>
        <v xml:space="preserve">    rbib_cove_2020c: "Cove, M. (2020c, Sep 27). *Occupancy Modeling Video 3 -- What are Occupancy Models and What are the Applications?* [Video]. YouTube. &lt;https://www.youtube.com/watch?v=-F-txltI_iA&gt;"</v>
      </c>
      <c r="V88" s="64"/>
    </row>
    <row r="89" spans="1:22" ht="15.75">
      <c r="A89" s="64"/>
      <c r="B89" s="77"/>
      <c r="C89" s="77"/>
      <c r="D89" s="77"/>
      <c r="E89" s="64" t="s">
        <v>1945</v>
      </c>
      <c r="F89" s="64" t="s">
        <v>3601</v>
      </c>
      <c r="G89" s="64" t="s">
        <v>3600</v>
      </c>
      <c r="H89" s="64" t="s">
        <v>3600</v>
      </c>
      <c r="I89" s="64" t="b">
        <v>1</v>
      </c>
      <c r="J89" s="66" t="s">
        <v>3599</v>
      </c>
      <c r="K89" s="66" t="s">
        <v>3960</v>
      </c>
      <c r="L89" s="64" t="s">
        <v>4390</v>
      </c>
      <c r="M89" s="64" t="s">
        <v>6145</v>
      </c>
      <c r="N89" s="65" t="str">
        <f t="shared" si="12"/>
        <v>[Cove, M. (2020d, Sep 28). &lt;i&gt;Occupancy Modeling Video 4 -- How to Run and Interpret the Models in PRESENCE&lt;/i&gt; [Video]. YouTube. &lt;a target="_blank" href="https://www.youtube.com/watch?v=DVo4KVMPnWg"&gt;{https://www.youtube.com/watch?v=DVo4KVMPnWg}]{#cove_2020d}&lt;br&gt;&lt;br&gt;</v>
      </c>
      <c r="O89" s="64" t="s">
        <v>3597</v>
      </c>
      <c r="P89" s="64" t="s">
        <v>3598</v>
      </c>
      <c r="Q89" s="64" t="str">
        <f t="shared" si="8"/>
        <v>{{ rtxt_cove_2020d }}</v>
      </c>
      <c r="R89" s="64" t="str">
        <f t="shared" si="9"/>
        <v>{{ rbib_cove_2020d }}</v>
      </c>
      <c r="S89" s="63" t="str">
        <f t="shared" si="13"/>
        <v>Cove, M. (2020d, Sep 28). &lt;i&gt;Occupancy Modeling Video 4 -- How to Run and Interpret the Models in PRESENCE&lt;/i&gt; [Video]. YouTube. &lt;a href="https://www.youtube.com/watch?v=DVo4KVMPnWg" target="_blank"&gt;https://www.youtube.com/watch?v=DVo4KVMPnWg&lt;/a&gt;&lt;span style="color:white"&gt;[.]{#cove_2020d}&lt;/span&gt;&lt;br&gt;&lt;br&gt;</v>
      </c>
      <c r="T89" s="64" t="str">
        <f t="shared" si="11"/>
        <v xml:space="preserve">    rtxt_cove_2020d: "&lt;a href=\"/08_references.html#cove_2020d\" target=\"_blank\"&gt;Cove, 2020d&lt;/a&gt;"</v>
      </c>
      <c r="U89" s="64" t="str">
        <f t="shared" si="10"/>
        <v xml:space="preserve">    rbib_cove_2020d: "Cove, M. (2020d, Sep 28). *Occupancy Modeling Video 4 -- How to Run and Interpret the Models in PRESENCE* [Video]. YouTube. &lt;https://www.youtube.com/watch?v=DVo4KVMPnWg&gt;"</v>
      </c>
      <c r="V89" s="64"/>
    </row>
    <row r="90" spans="1:22" ht="15.75">
      <c r="F90" s="12" t="s">
        <v>1898</v>
      </c>
      <c r="G90" s="12" t="s">
        <v>3953</v>
      </c>
      <c r="H90" s="12" t="s">
        <v>3953</v>
      </c>
      <c r="J90" s="71" t="s">
        <v>3952</v>
      </c>
      <c r="K90" s="66" t="s">
        <v>3960</v>
      </c>
      <c r="L90" s="110" t="s">
        <v>5668</v>
      </c>
      <c r="M90" s="110" t="s">
        <v>5712</v>
      </c>
      <c r="N90" s="65" t="str">
        <f t="shared" si="12"/>
        <v>[CREEM Mural (N.D.) &lt;i&gt;Spatial Capture-Recapture&lt;/i&gt; &lt;a target="_blank" href="https://creemmural.org/secr.html"&gt;{https://creemmural.org/secr.html}]{#cremmural_nd}&lt;br&gt;&lt;br&gt;</v>
      </c>
      <c r="O90" s="63" t="s">
        <v>5367</v>
      </c>
      <c r="P90" s="64" t="s">
        <v>984</v>
      </c>
      <c r="Q90" s="64" t="str">
        <f t="shared" si="8"/>
        <v>{{ rtxt_cremmural_nd }}</v>
      </c>
      <c r="R90" s="64" t="str">
        <f t="shared" si="9"/>
        <v>{{ rbib_cremmural_nd }}</v>
      </c>
      <c r="S90" s="63" t="str">
        <f t="shared" si="13"/>
        <v>CREEM Mural (N.D.) &lt;i&gt;Spatial Capture-Recapture&lt;/i&gt; &lt;a href="https://creemmural.org/secr.html" target="_blank"&gt;https://creemmural.org/secr.html&lt;/a&gt;&lt;span style="color:white"&gt;[.]{#cremmural_nd}&lt;/span&gt;&lt;br&gt;&lt;br&gt;</v>
      </c>
      <c r="T90" s="64" t="str">
        <f t="shared" si="11"/>
        <v xml:space="preserve">    rtxt_cremmural_nd: "&lt;a href=\"/08_references.html#cremmural_nd\" target=\"_blank\"&gt;CREEM Mural, N.D.&lt;/a&gt;"</v>
      </c>
      <c r="U90" s="64" t="str">
        <f t="shared" si="10"/>
        <v xml:space="preserve">    rbib_cremmural_nd: "CREEM Mural (N.D.) *Spatial Capture-Recapture* &lt;https://creemmural.org/secr.html&gt;"</v>
      </c>
    </row>
    <row r="91" spans="1:22" ht="15.75">
      <c r="A91" s="64"/>
      <c r="B91" s="77" t="b">
        <v>0</v>
      </c>
      <c r="C91" s="77" t="b">
        <v>0</v>
      </c>
      <c r="D91" s="77"/>
      <c r="E91" s="64" t="s">
        <v>1904</v>
      </c>
      <c r="F91" s="64" t="s">
        <v>3596</v>
      </c>
      <c r="G91" s="64" t="s">
        <v>3595</v>
      </c>
      <c r="H91" s="64" t="s">
        <v>3595</v>
      </c>
      <c r="I91" s="64" t="b">
        <v>1</v>
      </c>
      <c r="J91" s="66" t="s">
        <v>3594</v>
      </c>
      <c r="K91" s="66" t="s">
        <v>3960</v>
      </c>
      <c r="L91" s="64" t="s">
        <v>4391</v>
      </c>
      <c r="M91" s="64" t="s">
        <v>5916</v>
      </c>
      <c r="N91" s="65" t="str">
        <f t="shared" si="12"/>
        <v>[Crisfield, V. E., Guillaume Blanchet, F., Raudsepp‐Hearne, C., &amp; Gravel, D. (2024). How and why species are rare: Towards an understanding of the ecological causes of rarity. &lt;i&gt;Ecography, 2024&lt;/i&gt;(2), e07037. &lt;a target="_blank" href="https://doi.org/10.1111/ecog.07037"&gt;{https://doi.org/10.1111/ecog.07037}]{#crisfield_et_al_2024}&lt;br&gt;&lt;br&gt;</v>
      </c>
      <c r="O91" s="64" t="s">
        <v>3593</v>
      </c>
      <c r="P91" s="64" t="s">
        <v>984</v>
      </c>
      <c r="Q91" s="64" t="str">
        <f t="shared" si="8"/>
        <v>{{ rtxt_crisfield_et_al_2024 }}</v>
      </c>
      <c r="R91" s="64" t="str">
        <f t="shared" si="9"/>
        <v>{{ rbib_crisfield_et_al_2024 }}</v>
      </c>
      <c r="S91" s="63" t="str">
        <f t="shared" si="13"/>
        <v>Crisfield, V. E., Guillaume Blanchet, F., Raudsepp‐Hearne, C., &amp; Gravel, D. (2024). How and why species are rare: Towards an understanding of the ecological causes of rarity. &lt;i&gt;Ecography, 2024&lt;/i&gt;(2), e07037. &lt;a href="https://doi.org/10.1111/ecog.07037" target="_blank"&gt;https://doi.org/10.1111/ecog.07037&lt;/a&gt;&lt;span style="color:white"&gt;[.]{#crisfield_et_al_2024}&lt;/span&gt;&lt;br&gt;&lt;br&gt;</v>
      </c>
      <c r="T91" s="64" t="str">
        <f t="shared" si="11"/>
        <v xml:space="preserve">    rtxt_crisfield_et_al_2024: "&lt;a href=\"/08_references.html#crisfield_et_al_2024\" target=\"_blank\"&gt;Crisfield et al., 2024&lt;/a&gt;"</v>
      </c>
      <c r="U91" s="64" t="str">
        <f t="shared" si="10"/>
        <v xml:space="preserve">    rbib_crisfield_et_al_2024: "Crisfield, V. E., Guillaume Blanchet, F., Raudsepp‐Hearne, C., &amp; Gravel, D. (2024). How and why species are rare: Towards an understanding of the ecological causes of rarity. *Ecography, 2024* (2), e07037. &lt;https://doi.org/10.1111/ecog.07037&gt;"</v>
      </c>
      <c r="V91" s="64"/>
    </row>
    <row r="92" spans="1:22" ht="15.75">
      <c r="A92" s="64"/>
      <c r="B92" s="77" t="b">
        <v>1</v>
      </c>
      <c r="C92" s="77" t="b">
        <v>0</v>
      </c>
      <c r="D92" s="77" t="b">
        <v>0</v>
      </c>
      <c r="E92" s="64" t="s">
        <v>1904</v>
      </c>
      <c r="F92" s="64" t="s">
        <v>3592</v>
      </c>
      <c r="G92" s="64" t="s">
        <v>3591</v>
      </c>
      <c r="H92" s="64" t="s">
        <v>3591</v>
      </c>
      <c r="I92" s="64" t="b">
        <v>1</v>
      </c>
      <c r="J92" s="66" t="s">
        <v>3590</v>
      </c>
      <c r="K92" s="66" t="s">
        <v>3960</v>
      </c>
      <c r="L92" s="64" t="s">
        <v>4392</v>
      </c>
      <c r="M92" s="64" t="s">
        <v>5967</v>
      </c>
      <c r="N92" s="65" t="str">
        <f t="shared" si="12"/>
        <v>[Cusack,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href="https://doi.org/10.1371/journal.pone.0126373"&gt;{https://doi.org/10.1371/journal.pone.0126373}]{#cusack_et_al_2015}&lt;br&gt;&lt;br&gt;</v>
      </c>
      <c r="O92" s="64" t="s">
        <v>3589</v>
      </c>
      <c r="P92" s="64" t="s">
        <v>984</v>
      </c>
      <c r="Q92" s="64" t="str">
        <f t="shared" si="8"/>
        <v>{{ rtxt_cusack_et_al_2015 }}</v>
      </c>
      <c r="R92" s="64" t="str">
        <f t="shared" si="9"/>
        <v>{{ rbib_cusack_et_al_2015 }}</v>
      </c>
      <c r="S92" s="63" t="str">
        <f t="shared" si="13"/>
        <v>Cusack, J., Dickman, A. J., Rowcliffe, J. M., Carbone, C., Macdonald, D. W., &amp; Coulson, T. (2015). Random versus Game Trail-based Camera trap Placement Strategy for Monitoring Terrestrial Mammal Communities. &lt;i&gt;PloS One&lt;i&gt;,&lt;i&gt;10&lt;/i&gt;(5), e0126373. &lt;a href="https://doi.org/10.1371/journal.pone.0126373" target="_blank"&gt;https://doi.org/10.1371/journal.pone.0126373&lt;/a&gt;&lt;span style="color:white"&gt;[.]{#cusack_et_al_2015}&lt;/span&gt;&lt;br&gt;&lt;br&gt;</v>
      </c>
      <c r="T92" s="64" t="str">
        <f t="shared" si="11"/>
        <v xml:space="preserve">    rtxt_cusack_et_al_2015: "&lt;a href=\"/08_references.html#cusack_et_al_2015\" target=\"_blank\"&gt;Cusack et al., 2015&lt;/a&gt;"</v>
      </c>
      <c r="U92" s="64" t="str">
        <f t="shared" si="10"/>
        <v xml:space="preserve">    rbib_cusack_et_al_2015: "Cusack, J., Dickman, A. J., Rowcliffe, J. M., Carbone, C., Macdonald, D. W., &amp; Coulson, T. (2015). Random versus Game Trail-based Camera trap Placement Strategy for Monitoring Terrestrial Mammal Communities. *PloS One*,*10*(5), e0126373. &lt;https://doi.org/10.1371/journal.pone.0126373&gt;"</v>
      </c>
      <c r="V92" s="64"/>
    </row>
    <row r="93" spans="1:22" ht="15.75">
      <c r="A93" s="64"/>
      <c r="B93" s="77" t="b">
        <v>1</v>
      </c>
      <c r="C93" s="77" t="b">
        <v>0</v>
      </c>
      <c r="D93" s="77" t="b">
        <v>0</v>
      </c>
      <c r="E93" s="64" t="s">
        <v>1904</v>
      </c>
      <c r="F93" s="64" t="s">
        <v>3588</v>
      </c>
      <c r="G93" s="64" t="s">
        <v>3587</v>
      </c>
      <c r="H93" s="64" t="s">
        <v>3587</v>
      </c>
      <c r="I93" s="64" t="b">
        <v>1</v>
      </c>
      <c r="J93" s="66" t="s">
        <v>3586</v>
      </c>
      <c r="K93" s="66" t="s">
        <v>3960</v>
      </c>
      <c r="L93" s="64" t="s">
        <v>4393</v>
      </c>
      <c r="M93" s="64" t="s">
        <v>6174</v>
      </c>
      <c r="N93" s="65" t="str">
        <f t="shared" si="12"/>
        <v>[Davis,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href="https://zslpublications.onlinelibrary.wiley.com/doi/epdf/10.1111/jzo.12838"&gt;{https://zslpublications.onlinelibrary.wiley.com/doi/epdf/10.1111/jzo.12838}]{#davis_et_al_2021}&lt;br&gt;&lt;br&gt;</v>
      </c>
      <c r="O93" s="64" t="s">
        <v>3585</v>
      </c>
      <c r="P93" s="64" t="s">
        <v>984</v>
      </c>
      <c r="Q93" s="64" t="str">
        <f t="shared" si="8"/>
        <v>{{ rtxt_davis_et_al_2021 }}</v>
      </c>
      <c r="R93" s="64" t="str">
        <f t="shared" si="9"/>
        <v>{{ rbib_davis_et_al_2021 }}</v>
      </c>
      <c r="S93" s="63" t="str">
        <f t="shared" si="13"/>
        <v>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target="_blank"&gt;https://zslpublications.onlinelibrary.wiley.com/doi/epdf/10.1111/jzo.12838&lt;/a&gt;&lt;span style="color:white"&gt;[.]{#davis_et_al_2021}&lt;/span&gt;&lt;br&gt;&lt;br&gt;</v>
      </c>
      <c r="T93" s="64" t="str">
        <f t="shared" si="11"/>
        <v xml:space="preserve">    rtxt_davis_et_al_2021: "&lt;a href=\"/08_references.html#davis_et_al_2021\" target=\"_blank\"&gt;Davis et al., 2021&lt;/a&gt;"</v>
      </c>
      <c r="U93" s="64" t="str">
        <f t="shared" si="10"/>
        <v xml:space="preserve">    rbib_davis_et_al_2021: "Davis, R. S., Stone, E. L., Gentle, L. K., Mgoola, W. O., Uzal, A., &amp; Yarnell, R. W. (2021). Spatial Partial Identity Model Reveals Low Densities of Leopard and Spotted Hyaena in a Miombo Woodland. *Journal of Zoology, 313*, 43-53. &lt;https://zslpublications.onlinelibrary.wiley.com/doi/epdf/10.1111/jzo.12838&gt;"</v>
      </c>
      <c r="V93" s="64"/>
    </row>
    <row r="94" spans="1:22" ht="15.75">
      <c r="A94" s="64"/>
      <c r="B94" s="77"/>
      <c r="C94" s="77"/>
      <c r="D94" s="77"/>
      <c r="E94" s="64" t="s">
        <v>1945</v>
      </c>
      <c r="F94" s="64" t="s">
        <v>3584</v>
      </c>
      <c r="G94" s="64" t="s">
        <v>3583</v>
      </c>
      <c r="H94" s="64" t="s">
        <v>3583</v>
      </c>
      <c r="I94" s="64" t="b">
        <v>1</v>
      </c>
      <c r="J94" s="66" t="s">
        <v>3965</v>
      </c>
      <c r="K94" s="66" t="s">
        <v>3960</v>
      </c>
      <c r="L94" s="64" t="s">
        <v>4394</v>
      </c>
      <c r="M94" s="64" t="s">
        <v>6144</v>
      </c>
      <c r="N94" s="65" t="str">
        <f t="shared" si="12"/>
        <v>[DE-CTR ACCEL (2016, Dec 21) &lt;i&gt;Using Hurdle Models to Analyze Zero-Inflated Count Data.&lt;/i&gt; [Video]. YouTube. &lt;a target="_blank" href="https://www.youtube.com/watch?v=CvM6j8hE8lE"&gt;{https://www.youtube.com/watch?v=CvM6j8hE8lE}]{#dectre_accel_2016}&lt;br&gt;&lt;br&gt;</v>
      </c>
      <c r="O94" s="64" t="s">
        <v>3581</v>
      </c>
      <c r="P94" s="64" t="s">
        <v>3582</v>
      </c>
      <c r="Q94" s="64" t="str">
        <f t="shared" si="8"/>
        <v>{{ rtxt_dectre_accel_2016 }}</v>
      </c>
      <c r="R94" s="64" t="str">
        <f t="shared" si="9"/>
        <v>{{ rbib_dectre_accel_2016 }}</v>
      </c>
      <c r="S94" s="63" t="str">
        <f t="shared" si="13"/>
        <v>DE-CTR ACCEL (2016, Dec 21) &lt;i&gt;Using Hurdle Models to Analyze Zero-Inflated Count Data.&lt;/i&gt; [Video]. YouTube. &lt;a href="https://www.youtube.com/watch?v=CvM6j8hE8lE" target="_blank"&gt;https://www.youtube.com/watch?v=CvM6j8hE8lE&lt;/a&gt;&lt;span style="color:white"&gt;[.]{#dectre_accel_2016}&lt;/span&gt;&lt;br&gt;&lt;br&gt;</v>
      </c>
      <c r="T94" s="64" t="str">
        <f t="shared" si="11"/>
        <v xml:space="preserve">    rtxt_dectre_accel_2016: "&lt;a href=\"/08_references.html#dectre_accel_2016\" target=\"_blank\"&gt;DE-CTR ACCEL (2016)&lt;/a&gt;"</v>
      </c>
      <c r="U94" s="64" t="str">
        <f t="shared" si="10"/>
        <v xml:space="preserve">    rbib_dectre_accel_2016: "DE-CTR ACCEL (2016, Dec 21) *Using Hurdle Models to Analyze Zero-Inflated Count Data.* [Video]. YouTube. &lt;https://www.youtube.com/watch?v=CvM6j8hE8lE&gt;"</v>
      </c>
      <c r="V94" s="64"/>
    </row>
    <row r="95" spans="1:22" ht="15.75">
      <c r="A95" s="64"/>
      <c r="B95" s="77"/>
      <c r="C95" s="77"/>
      <c r="D95" s="77"/>
      <c r="E95" s="64" t="s">
        <v>1904</v>
      </c>
      <c r="F95" s="64" t="s">
        <v>3580</v>
      </c>
      <c r="G95" s="65" t="s">
        <v>3579</v>
      </c>
      <c r="H95" s="65" t="s">
        <v>3579</v>
      </c>
      <c r="I95" s="64" t="b">
        <v>1</v>
      </c>
      <c r="J95" s="66" t="s">
        <v>3578</v>
      </c>
      <c r="K95" s="66" t="s">
        <v>3960</v>
      </c>
      <c r="L95" s="64" t="s">
        <v>4395</v>
      </c>
      <c r="M95" s="64" t="s">
        <v>5900</v>
      </c>
      <c r="N95" s="65" t="str">
        <f t="shared" si="12"/>
        <v>[Delisle,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href="https://doi.org/10.1111/2041-210X.14247"&gt;{https://doi.org/10.1111/2041-210X.14247}]{#delisle_et_al_2023}&lt;br&gt;&lt;br&gt;</v>
      </c>
      <c r="O95" s="64" t="s">
        <v>3577</v>
      </c>
      <c r="P95" s="64" t="s">
        <v>984</v>
      </c>
      <c r="Q95" s="64" t="str">
        <f t="shared" si="8"/>
        <v>{{ rtxt_delisle_et_al_2023 }}</v>
      </c>
      <c r="R95" s="64" t="str">
        <f t="shared" si="9"/>
        <v>{{ rbib_delisle_et_al_2023 }}</v>
      </c>
      <c r="S95" s="63" t="str">
        <f t="shared" si="13"/>
        <v>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target="_blank"&gt;https://doi.org/10.1111/2041-210X.14247&lt;/a&gt;&lt;span style="color:white"&gt;[.]{#delisle_et_al_2023}&lt;/span&gt;&lt;br&gt;&lt;br&gt;</v>
      </c>
      <c r="T95" s="64" t="str">
        <f t="shared" si="11"/>
        <v xml:space="preserve">    rtxt_delisle_et_al_2023: "&lt;a href=\"/08_references.html#delisle_et_al_2023\" target=\"_blank\"&gt;Delisle et al., 2023&lt;/a&gt;"</v>
      </c>
      <c r="U95" s="64" t="str">
        <f t="shared" si="10"/>
        <v xml:space="preserve">    rbib_delisle_et_al_2023: "Delisle, Z. J., Henrich, M., Palencia, P., &amp; Swihart, R. K. (2023). Reducing bias in density estimates for unmarked populations that exhibit reactive behaviour towards camera traps. *Methods in Ecology and Evolution, 14*(12), 3100-3111. &lt;https://doi.org/10.1111/2041-210X.14247&gt;"</v>
      </c>
      <c r="V95" s="64"/>
    </row>
    <row r="96" spans="1:22" ht="15.75">
      <c r="A96" s="64"/>
      <c r="B96" s="77" t="b">
        <v>1</v>
      </c>
      <c r="C96" s="77" t="b">
        <v>0</v>
      </c>
      <c r="D96" s="77" t="b">
        <v>0</v>
      </c>
      <c r="E96" s="64" t="s">
        <v>1904</v>
      </c>
      <c r="F96" s="64" t="s">
        <v>3576</v>
      </c>
      <c r="G96" s="64" t="s">
        <v>3575</v>
      </c>
      <c r="H96" s="64" t="s">
        <v>3575</v>
      </c>
      <c r="I96" s="64" t="b">
        <v>1</v>
      </c>
      <c r="J96" s="66" t="s">
        <v>3574</v>
      </c>
      <c r="K96" s="66" t="s">
        <v>3960</v>
      </c>
      <c r="L96" s="64" t="s">
        <v>4396</v>
      </c>
      <c r="M96" s="64" t="s">
        <v>5890</v>
      </c>
      <c r="N96" s="65" t="str">
        <f t="shared" si="12"/>
        <v>[Dénes,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href="https://doi.org/10.1111/2041-210x.12333"&gt;{https://doi.org/10.1111/2041-210x.12333}]{#denes_et_al_2015}&lt;br&gt;&lt;br&gt;</v>
      </c>
      <c r="O96" s="64" t="s">
        <v>3573</v>
      </c>
      <c r="P96" s="64" t="s">
        <v>984</v>
      </c>
      <c r="Q96" s="64" t="str">
        <f t="shared" si="8"/>
        <v>{{ rtxt_denes_et_al_2015 }}</v>
      </c>
      <c r="R96" s="64" t="str">
        <f t="shared" si="9"/>
        <v>{{ rbib_denes_et_al_2015 }}</v>
      </c>
      <c r="S96" s="63" t="str">
        <f t="shared" si="13"/>
        <v>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target="_blank"&gt;https://doi.org/10.1111/2041-210x.12333&lt;/a&gt;&lt;span style="color:white"&gt;[.]{#denes_et_al_2015}&lt;/span&gt;&lt;br&gt;&lt;br&gt;</v>
      </c>
      <c r="T96" s="64" t="str">
        <f t="shared" si="11"/>
        <v xml:space="preserve">    rtxt_denes_et_al_2015: "&lt;a href=\"/08_references.html#denes_et_al_2015\" target=\"_blank\"&gt;Dénes et al., 2015&lt;/a&gt;"</v>
      </c>
      <c r="U96" s="64" t="str">
        <f t="shared" si="10"/>
        <v xml:space="preserve">    rbib_denes_et_al_2015: "Dénes, F. V., Silveira, L. F., Beissinger, S. R., &amp; Isaac, N. (2015). Estimating Abundance of Unmarked Animal Populations: Accounting for Imperfect Detection and Other Sources of Zero Inflation. *Methods in Ecology and Evolution, 6*(5), 543-556. &lt;https://doi.org/10.1111/2041-210x.12333&gt;"</v>
      </c>
      <c r="V96" s="64"/>
    </row>
    <row r="97" spans="1:22" ht="15.75">
      <c r="A97" s="64"/>
      <c r="B97" s="77" t="b">
        <v>0</v>
      </c>
      <c r="C97" s="77" t="b">
        <v>0</v>
      </c>
      <c r="D97" s="77" t="b">
        <v>1</v>
      </c>
      <c r="E97" s="64" t="s">
        <v>1904</v>
      </c>
      <c r="F97" s="64" t="s">
        <v>3572</v>
      </c>
      <c r="G97" s="64" t="s">
        <v>3571</v>
      </c>
      <c r="H97" s="64" t="s">
        <v>3571</v>
      </c>
      <c r="I97" s="64" t="b">
        <v>1</v>
      </c>
      <c r="J97" s="66" t="s">
        <v>3570</v>
      </c>
      <c r="K97" s="66" t="s">
        <v>3960</v>
      </c>
      <c r="L97" s="64" t="s">
        <v>4397</v>
      </c>
      <c r="M97" s="64" t="s">
        <v>5805</v>
      </c>
      <c r="N97" s="65" t="str">
        <f t="shared" si="12"/>
        <v>[Deng, C., Daley, T., &amp; Smith, A. (2015). Applications of species accumulation curves in large‐scale biological data analysis. &lt;i&gt;Quantitative Biology&lt;i&gt;, &lt;i&gt;3&lt;/i&gt;(3), 135-144. &lt;a target="_blank" href="https://doi.org/10.1007/s40484-015-0049-7"&gt;{https://doi.org/10.1007/s40484-015-0049-7}]{#deng_et_al_2015}&lt;br&gt;&lt;br&gt;</v>
      </c>
      <c r="O97" s="64" t="s">
        <v>3569</v>
      </c>
      <c r="P97" s="64" t="s">
        <v>984</v>
      </c>
      <c r="Q97" s="64" t="str">
        <f t="shared" si="8"/>
        <v>{{ rtxt_deng_et_al_2015 }}</v>
      </c>
      <c r="R97" s="64" t="str">
        <f t="shared" si="9"/>
        <v>{{ rbib_deng_et_al_2015 }}</v>
      </c>
      <c r="S97" s="63" t="str">
        <f t="shared" si="13"/>
        <v>Deng, C., Daley, T., &amp; Smith, A. (2015). Applications of species accumulation curves in large‐scale biological data analysis. &lt;i&gt;Quantitative Biology&lt;i&gt;, &lt;i&gt;3&lt;/i&gt;(3), 135-144. &lt;a href="https://doi.org/10.1007/s40484-015-0049-7" target="_blank"&gt;https://doi.org/10.1007/s40484-015-0049-7&lt;/a&gt;&lt;span style="color:white"&gt;[.]{#deng_et_al_2015}&lt;/span&gt;&lt;br&gt;&lt;br&gt;</v>
      </c>
      <c r="T97" s="64" t="str">
        <f t="shared" si="11"/>
        <v xml:space="preserve">    rtxt_deng_et_al_2015: "&lt;a href=\"/08_references.html#deng_et_al_2015\" target=\"_blank\"&gt;Deng et al., 2015&lt;/a&gt;"</v>
      </c>
      <c r="U97" s="64" t="str">
        <f t="shared" si="10"/>
        <v xml:space="preserve">    rbib_deng_et_al_2015: "Deng, C., Daley, T., &amp; Smith, A. (2015). Applications of species accumulation curves in large‐scale biological data analysis. *Quantitative Biology, 3*(3), 135-144. &lt;https://doi.org/10.1007/s40484-015-0049-7&gt;"</v>
      </c>
      <c r="V97" s="64"/>
    </row>
    <row r="98" spans="1:22" ht="15.75">
      <c r="A98" s="64"/>
      <c r="B98" s="78"/>
      <c r="C98" s="77"/>
      <c r="D98" s="78"/>
      <c r="E98" s="64" t="s">
        <v>1904</v>
      </c>
      <c r="F98" s="64" t="s">
        <v>3568</v>
      </c>
      <c r="G98" s="64" t="s">
        <v>3567</v>
      </c>
      <c r="H98" s="64" t="s">
        <v>3567</v>
      </c>
      <c r="I98" s="64" t="b">
        <v>1</v>
      </c>
      <c r="J98" s="66" t="s">
        <v>3566</v>
      </c>
      <c r="K98" s="66" t="s">
        <v>3960</v>
      </c>
      <c r="L98" s="64" t="s">
        <v>4398</v>
      </c>
      <c r="M98" s="64" t="s">
        <v>5719</v>
      </c>
      <c r="N98" s="65" t="str">
        <f t="shared" si="12"/>
        <v>[Després‐Einspenner,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href="https://doi.org/10.1002/ajp.22647"&gt;{https://doi.org/10.1002/ajp.22647}]{#despres_einspenner_et_al_2017}&lt;br&gt;&lt;br&gt;</v>
      </c>
      <c r="O98" s="64" t="s">
        <v>3565</v>
      </c>
      <c r="P98" s="64" t="s">
        <v>984</v>
      </c>
      <c r="Q98" s="64" t="str">
        <f t="shared" si="8"/>
        <v>{{ rtxt_despres_einspenner_et_al_2017 }}</v>
      </c>
      <c r="R98" s="64" t="str">
        <f t="shared" si="9"/>
        <v>{{ rbib_despres_einspenner_et_al_2017 }}</v>
      </c>
      <c r="S98" s="63" t="str">
        <f t="shared" si="13"/>
        <v>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target="_blank"&gt;https://doi.org/10.1002/ajp.22647&lt;/a&gt;&lt;span style="color:white"&gt;[.]{#despres_einspenner_et_al_2017}&lt;/span&gt;&lt;br&gt;&lt;br&gt;</v>
      </c>
      <c r="T98" s="64" t="str">
        <f t="shared" si="11"/>
        <v xml:space="preserve">    rtxt_despres_einspenner_et_al_2017: "&lt;a href=\"/08_references.html#despres_einspenner_et_al_2017\" target=\"_blank\"&gt;Després‐Einspenner et al., 2017&lt;/a&gt;"</v>
      </c>
      <c r="U98" s="64" t="str">
        <f t="shared" si="10"/>
        <v xml:space="preserve">    rbib_despres_einspenner_et_al_2017: "Després‐Einspenner, M., Howe, E. J., Drapeau, P., &amp; Kühl, H. S. (2017). An empirical evaluation of camera trapping and spatially explicit capture‐recapture models for estimating chimpanzee density. *American Journal of Primatology, 79*(7), e22647. &lt;https://doi.org/10.1002/ajp.22647&gt;"</v>
      </c>
      <c r="V98" s="64"/>
    </row>
    <row r="99" spans="1:22" ht="15.75">
      <c r="A99" s="64"/>
      <c r="B99" s="77" t="b">
        <v>0</v>
      </c>
      <c r="C99" s="77" t="b">
        <v>0</v>
      </c>
      <c r="D99" s="77"/>
      <c r="E99" s="64" t="s">
        <v>1904</v>
      </c>
      <c r="F99" s="64" t="s">
        <v>3564</v>
      </c>
      <c r="G99" s="64" t="s">
        <v>3563</v>
      </c>
      <c r="H99" s="64" t="s">
        <v>3563</v>
      </c>
      <c r="I99" s="64" t="b">
        <v>1</v>
      </c>
      <c r="J99" s="66" t="s">
        <v>3562</v>
      </c>
      <c r="K99" s="66" t="s">
        <v>3960</v>
      </c>
      <c r="L99" s="64" t="s">
        <v>4399</v>
      </c>
      <c r="M99" s="64" t="s">
        <v>5827</v>
      </c>
      <c r="N99" s="65" t="str">
        <f t="shared" si="12"/>
        <v>[Dey,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href="https://doi.org/10.1016/j.ecolmodel.2023.110324"&gt;{https://doi.org/10.1016/j.ecolmodel.2023.110324}]{#dey_et_al_2023}&lt;br&gt;&lt;br&gt;</v>
      </c>
      <c r="O99" s="64" t="s">
        <v>3561</v>
      </c>
      <c r="P99" s="64" t="s">
        <v>984</v>
      </c>
      <c r="Q99" s="64" t="str">
        <f t="shared" si="8"/>
        <v>{{ rtxt_dey_et_al_2023 }}</v>
      </c>
      <c r="R99" s="64" t="str">
        <f t="shared" si="9"/>
        <v>{{ rbib_dey_et_al_2023 }}</v>
      </c>
      <c r="S99" s="63" t="str">
        <f t="shared" si="13"/>
        <v>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target="_blank"&gt;https://doi.org/10.1016/j.ecolmodel.2023.110324&lt;/a&gt;&lt;span style="color:white"&gt;[.]{#dey_et_al_2023}&lt;/span&gt;&lt;br&gt;&lt;br&gt;</v>
      </c>
      <c r="T99" s="64" t="str">
        <f t="shared" si="11"/>
        <v xml:space="preserve">    rtxt_dey_et_al_2023: "&lt;a href=\"/08_references.html#dey_et_al_2023\" target=\"_blank\"&gt;Dey et al., 2023&lt;/a&gt;"</v>
      </c>
      <c r="U99" s="64" t="str">
        <f t="shared" si="10"/>
        <v xml:space="preserve">    rbib_dey_et_al_2023: "Dey, S., Moqanaki, E., Milleret, C., Dupont, P., Tourani, M., &amp; Bischof, R. (2023). Modelling spatially autocorrelated detection probabilities in spatial capture-recapture using random effects. *Ecological Modelling, 479*, 110324. &lt;https://doi.org/10.1016/j.ecolmodel.2023.110324&gt;"</v>
      </c>
      <c r="V99" s="64"/>
    </row>
    <row r="100" spans="1:22" ht="15.75">
      <c r="A100" s="64"/>
      <c r="B100" s="77"/>
      <c r="C100" s="77"/>
      <c r="D100" s="77"/>
      <c r="E100" s="64" t="s">
        <v>3560</v>
      </c>
      <c r="F100" s="64" t="s">
        <v>3559</v>
      </c>
      <c r="G100" s="64" t="s">
        <v>3558</v>
      </c>
      <c r="H100" s="64" t="s">
        <v>3558</v>
      </c>
      <c r="I100" s="64" t="b">
        <v>1</v>
      </c>
      <c r="J100" s="66" t="s">
        <v>3557</v>
      </c>
      <c r="K100" s="66" t="s">
        <v>3960</v>
      </c>
      <c r="L100" s="64" t="s">
        <v>4400</v>
      </c>
      <c r="M100" s="64" t="s">
        <v>6087</v>
      </c>
      <c r="N100" s="65" t="str">
        <f t="shared" si="12"/>
        <v>[Dickie, M. (2022, April 19). “NEW PAPER ALERT!” Tweet. @MelanieDickie. &lt;a target="_blank" href="https://twitter.com/MelanieDickie/status/1516432277009403904"&gt;{https://twitter.com/MelanieDickie/status/1516432277009403904}]{#dickie_2022}&lt;br&gt;&lt;br&gt;</v>
      </c>
      <c r="O100" s="64" t="s">
        <v>3556</v>
      </c>
      <c r="P100" s="64" t="s">
        <v>984</v>
      </c>
      <c r="Q100" s="64" t="str">
        <f t="shared" si="8"/>
        <v>{{ rtxt_dickie_2022 }}</v>
      </c>
      <c r="R100" s="64" t="str">
        <f t="shared" si="9"/>
        <v>{{ rbib_dickie_2022 }}</v>
      </c>
      <c r="S100" s="63" t="str">
        <f t="shared" si="13"/>
        <v>Dickie, M. (2022, April 19). “NEW PAPER ALERT!” Tweet.  &lt;a href="https://twitter.com/MelanieDickie/status/1516432277009403904" target="_blank"&gt;https://twitter.com/MelanieDickie/status/1516432277009403904&lt;/a&gt;&lt;span style="color:white"&gt;[.]{#dickie_2022}&lt;/span&gt;&lt;br&gt;&lt;br&gt;</v>
      </c>
      <c r="T100" s="64" t="str">
        <f t="shared" si="11"/>
        <v xml:space="preserve">    rtxt_dickie_2022: "&lt;a href=\"/08_references.html#dickie_2022\" target=\"_blank\"&gt;Dickie, 2022&lt;/a&gt;"</v>
      </c>
      <c r="U100" s="64" t="str">
        <f t="shared" si="10"/>
        <v xml:space="preserve">    rbib_dickie_2022: "Dickie, M. (2022, April 19). *“NEW PAPER ALERT!”* Tweet. @MelanieDickie. &lt;https://twitter.com/MelanieDickie/status/1516432277009403904&gt;"</v>
      </c>
      <c r="V100" s="64"/>
    </row>
    <row r="101" spans="1:22" ht="15.75">
      <c r="A101" s="64"/>
      <c r="B101" s="77" t="b">
        <v>1</v>
      </c>
      <c r="C101" s="77" t="b">
        <v>0</v>
      </c>
      <c r="D101" s="77" t="b">
        <v>0</v>
      </c>
      <c r="E101" s="64" t="s">
        <v>1904</v>
      </c>
      <c r="F101" s="64" t="s">
        <v>3555</v>
      </c>
      <c r="G101" s="64" t="s">
        <v>3554</v>
      </c>
      <c r="H101" s="64" t="s">
        <v>3554</v>
      </c>
      <c r="I101" s="64" t="b">
        <v>1</v>
      </c>
      <c r="J101" s="66" t="s">
        <v>3553</v>
      </c>
      <c r="K101" s="66" t="s">
        <v>3960</v>
      </c>
      <c r="L101" s="64" t="s">
        <v>4401</v>
      </c>
      <c r="M101" s="64" t="s">
        <v>5934</v>
      </c>
      <c r="N101" s="65" t="str">
        <f t="shared" si="12"/>
        <v>[Dillon, A., &amp; Kelly, M. J. (2008). Ocelot Home Range, Overlap and Density: Comparing Radio Telemetry with Camera Trapping. &lt;i&gt;Journal of Zoology, 275&lt;/i&gt;, 391-398. &lt;a target="_blank" href="https://doi.org/10.1111/j.1469-7998.2008.00452.x"&gt;{https://doi.org/10.1111/j.1469-7998.2008.00452.x}]{#dillon_kelly_2008}&lt;br&gt;&lt;br&gt;</v>
      </c>
      <c r="O101" s="64" t="s">
        <v>3552</v>
      </c>
      <c r="P101" s="64" t="s">
        <v>984</v>
      </c>
      <c r="Q101" s="64" t="str">
        <f t="shared" si="8"/>
        <v>{{ rtxt_dillon_kelly_2008 }}</v>
      </c>
      <c r="R101" s="64" t="str">
        <f t="shared" si="9"/>
        <v>{{ rbib_dillon_kelly_2008 }}</v>
      </c>
      <c r="S101" s="63" t="str">
        <f t="shared" si="13"/>
        <v>Dillon, A., &amp; Kelly, M. J. (2008). Ocelot Home Range, Overlap and Density: Comparing Radio Telemetry with Camera Trapping. &lt;i&gt;Journal of Zoology, 275&lt;/i&gt;, 391-398. &lt;a href="https://doi.org/10.1111/j.1469-7998.2008.00452.x" target="_blank"&gt;https://doi.org/10.1111/j.1469-7998.2008.00452.x&lt;/a&gt;&lt;span style="color:white"&gt;[.]{#dillon_kelly_2008}&lt;/span&gt;&lt;br&gt;&lt;br&gt;</v>
      </c>
      <c r="T101" s="64" t="str">
        <f t="shared" si="11"/>
        <v xml:space="preserve">    rtxt_dillon_kelly_2008: "&lt;a href=\"/08_references.html#dillon_kelly_2008\" target=\"_blank\"&gt;Dillon &amp; Kelly, 2008&lt;/a&gt;"</v>
      </c>
      <c r="U101" s="64" t="str">
        <f t="shared" si="10"/>
        <v xml:space="preserve">    rbib_dillon_kelly_2008: "Dillon, A., &amp; Kelly, M. J. (2008). Ocelot Home Range, Overlap and Density: Comparing Radio Telemetry with Camera Trapping. *Journal of Zoology, 275*, 391-398. &lt;https://doi.org/10.1111/j.1469-7998.2008.00452.x&gt;"</v>
      </c>
      <c r="V101" s="64"/>
    </row>
    <row r="102" spans="1:22" ht="15.75">
      <c r="A102" s="64"/>
      <c r="B102" s="77"/>
      <c r="C102" s="77"/>
      <c r="D102" s="77"/>
      <c r="E102" s="64" t="s">
        <v>1904</v>
      </c>
      <c r="F102" s="64" t="s">
        <v>3551</v>
      </c>
      <c r="G102" s="64" t="s">
        <v>3550</v>
      </c>
      <c r="H102" s="64" t="s">
        <v>3549</v>
      </c>
      <c r="I102" s="64" t="b">
        <v>1</v>
      </c>
      <c r="J102" s="66" t="s">
        <v>3548</v>
      </c>
      <c r="K102" s="66" t="s">
        <v>3960</v>
      </c>
      <c r="L102" s="64" t="s">
        <v>4402</v>
      </c>
      <c r="M102" s="64" t="s">
        <v>5901</v>
      </c>
      <c r="N102" s="65" t="str">
        <f t="shared" si="12"/>
        <v>[Donovan, T., Hines, J., &amp; MacKenzie, D. (2024). OCCUPANCYTUTS: Occupancy modelling tutorials with RPRESENCE. &lt;i&gt;Methods in Ecology and Evolution, 15&lt;/i&gt;(3), 477-483. &lt;a target="_blank" href="https://doi.org/10.1111/2041-210X.14285"&gt;{https://doi.org/10.1111/2041-210X.14285}]{#donovan_et_al_2024}&lt;br&gt;&lt;br&gt;</v>
      </c>
      <c r="O102" s="64" t="s">
        <v>3547</v>
      </c>
      <c r="P102" s="64" t="s">
        <v>984</v>
      </c>
      <c r="Q102" s="64" t="str">
        <f t="shared" si="8"/>
        <v>{{ rtxt_donovan_et_al_2024 }}</v>
      </c>
      <c r="R102" s="64" t="str">
        <f t="shared" si="9"/>
        <v>{{ rbib_donovan_et_al_2024 }}</v>
      </c>
      <c r="S102" s="63" t="str">
        <f t="shared" si="13"/>
        <v>Donovan, T., Hines, J., &amp; MacKenzie, D. (2024). OCCUPANCYTUTS: Occupancy modelling tutorials with RPRESENCE. &lt;i&gt;Methods in Ecology and Evolution, 15&lt;/i&gt;(3), 477-483. &lt;a href="https://doi.org/10.1111/2041-210X.14285" target="_blank"&gt;https://doi.org/10.1111/2041-210X.14285&lt;/a&gt;&lt;span style="color:white"&gt;[.]{#donovan_et_al_2024}&lt;/span&gt;&lt;br&gt;&lt;br&gt;</v>
      </c>
      <c r="T102" s="64" t="str">
        <f t="shared" si="11"/>
        <v xml:space="preserve">    rtxt_donovan_et_al_2024: "&lt;a href=\"/08_references.html#donovan_et_al_2024\" target=\"_blank\"&gt;Donovan et al., 2024 &lt;/a&gt;"</v>
      </c>
      <c r="U102" s="64" t="str">
        <f t="shared" si="10"/>
        <v xml:space="preserve">    rbib_donovan_et_al_2024: "Donovan, T., Hines, J., &amp; MacKenzie, D. (2024). OCCUPANCYTUTS: Occupancy modelling tutorials with RPRESENCE. *Methods in Ecology and Evolution, 15*(3), 477-483. &lt;https://doi.org/10.1111/2041-210X.14285&gt;"</v>
      </c>
      <c r="V102" s="64"/>
    </row>
    <row r="103" spans="1:22" ht="15.75">
      <c r="A103" s="64"/>
      <c r="B103" s="77" t="b">
        <v>1</v>
      </c>
      <c r="C103" s="77" t="b">
        <v>0</v>
      </c>
      <c r="D103" s="77" t="b">
        <v>0</v>
      </c>
      <c r="E103" s="64" t="s">
        <v>1904</v>
      </c>
      <c r="F103" s="64" t="s">
        <v>3546</v>
      </c>
      <c r="G103" s="64" t="s">
        <v>3545</v>
      </c>
      <c r="H103" s="64" t="s">
        <v>3545</v>
      </c>
      <c r="I103" s="64" t="b">
        <v>1</v>
      </c>
      <c r="J103" s="66" t="s">
        <v>3544</v>
      </c>
      <c r="K103" s="66" t="s">
        <v>3960</v>
      </c>
      <c r="L103" s="64" t="s">
        <v>4403</v>
      </c>
      <c r="M103" s="64" t="s">
        <v>6035</v>
      </c>
      <c r="N103" s="65" t="str">
        <f t="shared" si="12"/>
        <v>[Doran-Myers, D. (2018). &lt;i&gt;Methodological Comparison of Canada Lynx Density Estimation&lt;/i&gt; [Master of Science in Ecology thesis, University of Alberta]. ERA: Education and Research Archive. &lt;a target="_blank" href="https://doi.org/10.7939/R3Q815805"&gt;{https://doi.org/10.7939/R3Q815805}]{#doran_myers_2018}&lt;br&gt;&lt;br&gt;</v>
      </c>
      <c r="O103" s="64" t="s">
        <v>3543</v>
      </c>
      <c r="P103" s="64" t="s">
        <v>984</v>
      </c>
      <c r="Q103" s="64" t="str">
        <f t="shared" si="8"/>
        <v>{{ rtxt_doran_myers_2018 }}</v>
      </c>
      <c r="R103" s="64" t="str">
        <f t="shared" si="9"/>
        <v>{{ rbib_doran_myers_2018 }}</v>
      </c>
      <c r="S103" s="63" t="str">
        <f t="shared" si="13"/>
        <v>Doran-Myers, D. (2018). &lt;i&gt;Methodological Comparison of Canada Lynx Density Estimation&lt;/i&gt; [Master of Science in Ecology thesis, University of Alberta]. ERA: Education and Research Archive. &lt;a href="https://doi.org/10.7939/R3Q815805" target="_blank"&gt;https://doi.org/10.7939/R3Q815805&lt;/a&gt;&lt;span style="color:white"&gt;[.]{#doran_myers_2018}&lt;/span&gt;&lt;br&gt;&lt;br&gt;</v>
      </c>
      <c r="T103" s="64" t="str">
        <f t="shared" si="11"/>
        <v xml:space="preserve">    rtxt_doran_myers_2018: "&lt;a href=\"/08_references.html#doran_myers_2018\" target=\"_blank\"&gt;Doran-Myers, 2018&lt;/a&gt;"</v>
      </c>
      <c r="U103" s="64" t="str">
        <f t="shared" si="10"/>
        <v xml:space="preserve">    rbib_doran_myers_2018: "Doran-Myers, D. (2018). *Methodological Comparison of Canada Lynx Density Estimation* [Master of Science in Ecology thesis, University of Alberta]. ERA: Education and Research Archive. &lt;https://doi.org/10.7939/R3Q815805&gt;"</v>
      </c>
      <c r="V103" s="64"/>
    </row>
    <row r="104" spans="1:22" ht="15.75">
      <c r="A104" s="64"/>
      <c r="B104" s="77"/>
      <c r="C104" s="77"/>
      <c r="D104" s="77"/>
      <c r="E104" s="64"/>
      <c r="F104" s="64" t="s">
        <v>3542</v>
      </c>
      <c r="G104" s="64" t="s">
        <v>3541</v>
      </c>
      <c r="H104" s="64"/>
      <c r="I104" s="64" t="b">
        <v>1</v>
      </c>
      <c r="J104" s="66" t="s">
        <v>3540</v>
      </c>
      <c r="K104" s="66" t="s">
        <v>3960</v>
      </c>
      <c r="L104" s="64" t="s">
        <v>4404</v>
      </c>
      <c r="M104" s="64" t="s">
        <v>6096</v>
      </c>
      <c r="N104" s="65" t="str">
        <f t="shared" si="12"/>
        <v>[Dubey, A (n.d.). &lt;i&gt;species abundance.&lt;/i&gt; &lt;a target="_blank" href="https://www.britannica.com/science/species-abundance"&gt;{https://www.britannica.com/science/species-abundance}]{#dubey_nd}&lt;br&gt;&lt;br&gt;</v>
      </c>
      <c r="O104" s="64" t="s">
        <v>3539</v>
      </c>
      <c r="P104" s="64" t="s">
        <v>984</v>
      </c>
      <c r="Q104" s="64" t="str">
        <f t="shared" si="8"/>
        <v>{{ rtxt_dubey_nd }}</v>
      </c>
      <c r="R104" s="64" t="str">
        <f t="shared" si="9"/>
        <v>{{ rbib_dubey_nd }}</v>
      </c>
      <c r="S104" s="63" t="str">
        <f t="shared" si="13"/>
        <v>Dubey, A (n.d.). &lt;i&gt;species abundance.&lt;/i&gt; &lt;a href="https://www.britannica.com/science/species-abundance" target="_blank"&gt;https://www.britannica.com/science/species-abundance&lt;/a&gt;&lt;span style="color:white"&gt;[.]{#dubey_nd}&lt;/span&gt;&lt;br&gt;&lt;br&gt;</v>
      </c>
      <c r="T104" s="64" t="str">
        <f t="shared" si="11"/>
        <v xml:space="preserve">    rtxt_dubey_nd: "&lt;a href=\"/08_references.html#dubey_nd\" target=\"_blank\"&gt;Dubey (n.d.)&lt;/a&gt;"</v>
      </c>
      <c r="U104" s="64" t="str">
        <f t="shared" si="10"/>
        <v xml:space="preserve">    rbib_dubey_nd: "Dubey, A (n.d.). *species abundance*. &lt;https://www.britannica.com/science/species-abundance&gt;"</v>
      </c>
      <c r="V104" s="64"/>
    </row>
    <row r="105" spans="1:22" ht="15.75">
      <c r="A105" s="64"/>
      <c r="B105" s="77" t="b">
        <v>0</v>
      </c>
      <c r="C105" s="77" t="b">
        <v>1</v>
      </c>
      <c r="D105" s="77" t="b">
        <v>0</v>
      </c>
      <c r="E105" s="64" t="s">
        <v>1904</v>
      </c>
      <c r="F105" s="64" t="s">
        <v>3538</v>
      </c>
      <c r="G105" s="64" t="s">
        <v>3529</v>
      </c>
      <c r="H105" s="64" t="s">
        <v>3529</v>
      </c>
      <c r="I105" s="64" t="b">
        <v>1</v>
      </c>
      <c r="J105" s="66" t="s">
        <v>3537</v>
      </c>
      <c r="K105" s="66" t="s">
        <v>3960</v>
      </c>
      <c r="L105" s="64" t="s">
        <v>4405</v>
      </c>
      <c r="M105" s="64" t="s">
        <v>5818</v>
      </c>
      <c r="N105" s="65" t="str">
        <f t="shared" si="12"/>
        <v>[Dunne, B. M., &amp; Quinn, M. S. (2009). Effectiveness of above-ground pipeline mitigation for moose (&lt;i&gt;Alces alces&lt;i&gt;) and other large mammals. &lt;i&gt;Biological Conservation, 142&lt;/i&gt;(2), 332-343. &lt;a target="_blank" href="https://doi.org/10.1016/j.biocon.2008.10.029"&gt;{https://doi.org/10.1016/j.biocon.2008.10.029}]{#dunne_quinn_2009}&lt;br&gt;&lt;br&gt;</v>
      </c>
      <c r="O105" s="64" t="s">
        <v>3536</v>
      </c>
      <c r="P105" s="64" t="s">
        <v>984</v>
      </c>
      <c r="Q105" s="64" t="str">
        <f t="shared" si="8"/>
        <v>{{ rtxt_dunne_quinn_2009 }}</v>
      </c>
      <c r="R105" s="64" t="str">
        <f t="shared" si="9"/>
        <v>{{ rbib_dunne_quinn_2009 }}</v>
      </c>
      <c r="S105" s="63" t="str">
        <f t="shared" si="13"/>
        <v>Dunne, B. M., &amp; Quinn, M. S. (2009). Effectiveness of above-ground pipeline mitigation for moose (&lt;i&gt;Alces alces&lt;i&gt;) and other large mammals. &lt;i&gt;Biological Conservation, 142&lt;/i&gt;(2), 332-343. &lt;a href="https://doi.org/10.1016/j.biocon.2008.10.029" target="_blank"&gt;https://doi.org/10.1016/j.biocon.2008.10.029&lt;/a&gt;&lt;span style="color:white"&gt;[.]{#dunne_quinn_2009}&lt;/span&gt;&lt;br&gt;&lt;br&gt;</v>
      </c>
      <c r="T105" s="64" t="str">
        <f t="shared" si="11"/>
        <v xml:space="preserve">    rtxt_dunne_quinn_2009: "&lt;a href=\"/08_references.html#dunne_quinn_2009\" target=\"_blank\"&gt;Dunne &amp; Quinn, 2009&lt;/a&gt;"</v>
      </c>
      <c r="U105" s="64" t="str">
        <f t="shared" si="10"/>
        <v xml:space="preserve">    rbib_dunne_quinn_2009: "Dunne, B. M., &amp; Quinn, M. S. (2009). Effectiveness of above-ground pipeline mitigation for moose (*Alces alces*) and other large mammals. *Biological Conservation, 142* (2), 332-343. &lt;https://doi.org/10.1016/j.biocon.2008.10.029&gt;"</v>
      </c>
      <c r="V105" s="64"/>
    </row>
    <row r="106" spans="1:22" ht="15.75">
      <c r="A106" s="64"/>
      <c r="B106" s="78"/>
      <c r="C106" s="77"/>
      <c r="D106" s="78"/>
      <c r="E106" s="64" t="s">
        <v>1904</v>
      </c>
      <c r="F106" s="64" t="s">
        <v>3535</v>
      </c>
      <c r="G106" s="64" t="s">
        <v>3534</v>
      </c>
      <c r="H106" s="65"/>
      <c r="I106" s="64" t="b">
        <v>1</v>
      </c>
      <c r="J106" s="66" t="s">
        <v>3533</v>
      </c>
      <c r="K106" s="66" t="s">
        <v>3960</v>
      </c>
      <c r="L106" s="64" t="s">
        <v>4406</v>
      </c>
      <c r="M106" s="64" t="s">
        <v>5747</v>
      </c>
      <c r="N106" s="65" t="str">
        <f t="shared" si="12"/>
        <v>[Dupont, G., Royle, J. A., Nawaz, M. A., &amp; Sutherland, C. (2021). Optimal sampling design for spatial capture-recapture. &lt;i&gt;Ecology, 102&lt;/i&gt;(3), e03262. &lt;a target="_blank" href="https://doi.org/10.1002/ecy.3262"&gt;{https://doi.org/10.1002/ecy.3262}]{#dupont_et_al_2021}&lt;br&gt;&lt;br&gt;</v>
      </c>
      <c r="O106" s="64" t="s">
        <v>3532</v>
      </c>
      <c r="P106" s="64" t="s">
        <v>984</v>
      </c>
      <c r="Q106" s="64" t="str">
        <f t="shared" si="8"/>
        <v>{{ rtxt_dupont_et_al_2021 }}</v>
      </c>
      <c r="R106" s="64" t="str">
        <f t="shared" si="9"/>
        <v>{{ rbib_dupont_et_al_2021 }}</v>
      </c>
      <c r="S106" s="63" t="str">
        <f t="shared" si="13"/>
        <v>Dupont, G., Royle, J. A., Nawaz, M. A., &amp; Sutherland, C. (2021). Optimal sampling design for spatial capture-recapture. &lt;i&gt;Ecology, 102&lt;/i&gt;(3), e03262. &lt;a href="https://doi.org/10.1002/ecy.3262" target="_blank"&gt;https://doi.org/10.1002/ecy.3262&lt;/a&gt;&lt;span style="color:white"&gt;[.]{#dupont_et_al_2021}&lt;/span&gt;&lt;br&gt;&lt;br&gt;</v>
      </c>
      <c r="T106" s="64" t="str">
        <f t="shared" si="11"/>
        <v xml:space="preserve">    rtxt_dupont_et_al_2021: "&lt;a href=\"/08_references.html#dupont_et_al_2021\" target=\"_blank\"&gt;Dupont et al., 2021&lt;/a&gt;"</v>
      </c>
      <c r="U106" s="64" t="str">
        <f t="shared" si="10"/>
        <v xml:space="preserve">    rbib_dupont_et_al_2021: "Dupont, G., Royle, J. A., Nawaz, M. A., &amp; Sutherland, C. (2021). Optimal sampling design for spatial capture-recapture. *Ecology, 102*(3), e03262. &lt;https://doi.org/10.1002/ecy.3262&gt;"</v>
      </c>
      <c r="V106" s="64"/>
    </row>
    <row r="107" spans="1:22" ht="15.75">
      <c r="A107" s="64"/>
      <c r="B107" s="77" t="b">
        <v>1</v>
      </c>
      <c r="C107" s="77" t="b">
        <v>1</v>
      </c>
      <c r="D107" s="77" t="b">
        <v>0</v>
      </c>
      <c r="E107" s="64" t="s">
        <v>1904</v>
      </c>
      <c r="F107" s="64" t="s">
        <v>3531</v>
      </c>
      <c r="G107" s="64" t="s">
        <v>3530</v>
      </c>
      <c r="H107" s="64" t="s">
        <v>3529</v>
      </c>
      <c r="I107" s="64" t="b">
        <v>1</v>
      </c>
      <c r="J107" s="66" t="s">
        <v>3528</v>
      </c>
      <c r="K107" s="66" t="s">
        <v>3960</v>
      </c>
      <c r="L107" s="64" t="s">
        <v>4407</v>
      </c>
      <c r="M107" s="64" t="s">
        <v>6093</v>
      </c>
      <c r="N107" s="65" t="str">
        <f t="shared" si="12"/>
        <v>[Duquette,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href="https://www.academia.edu/23421255/."&gt;{https://www.academia.edu/23421255/.}]{#duquette_et_al_2014}&lt;br&gt;&lt;br&gt;</v>
      </c>
      <c r="O107" s="64" t="s">
        <v>3527</v>
      </c>
      <c r="P107" s="64" t="s">
        <v>984</v>
      </c>
      <c r="Q107" s="64" t="str">
        <f t="shared" si="8"/>
        <v>{{ rtxt_duquette_et_al_2014 }}</v>
      </c>
      <c r="R107" s="64" t="str">
        <f t="shared" si="9"/>
        <v>{{ rbib_duquette_et_al_2014 }}</v>
      </c>
      <c r="S107" s="63" t="str">
        <f t="shared" si="13"/>
        <v>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target="_blank"&gt;https://www.academia.edu/23421255/.&lt;/a&gt;&lt;span style="color:white"&gt;[.]{#duquette_et_al_2014}&lt;/span&gt;&lt;br&gt;&lt;br&gt;</v>
      </c>
      <c r="T107" s="64" t="str">
        <f t="shared" si="11"/>
        <v xml:space="preserve">    rtxt_duquette_et_al_2014: "&lt;a href=\"/08_references.html#duquette_et_al_2014\" target=\"_blank\"&gt;Duquette et al., 2014&lt;/a&gt;"</v>
      </c>
      <c r="U107" s="64" t="str">
        <f t="shared" si="10"/>
        <v xml:space="preserve">    rbib_duquette_et_al_2014: "Duquette, J. F., Belant, J. L., Svoboda, N. J., Beyer Jr., D. E., &amp; Albright, C. A. (2014). Comparison of occupancy modeling and radiotelemetry to estimate ungulate population dynamics. *Population Ecology, 56,* 481-492. &lt;https://www.academia.edu/23421255/.&gt;"</v>
      </c>
      <c r="V107" s="64"/>
    </row>
    <row r="108" spans="1:22" ht="15.75">
      <c r="F108" s="63" t="s">
        <v>5304</v>
      </c>
      <c r="G108" s="63" t="s">
        <v>5308</v>
      </c>
      <c r="I108" s="64" t="b">
        <v>1</v>
      </c>
      <c r="J108" t="s">
        <v>5303</v>
      </c>
      <c r="K108" s="66" t="s">
        <v>3960</v>
      </c>
      <c r="L108" s="110" t="s">
        <v>5669</v>
      </c>
      <c r="M108" s="110" t="s">
        <v>5669</v>
      </c>
      <c r="N108" s="65" t="str">
        <f t="shared" si="12"/>
        <v>[Ecological Applications in R. (2021, Apr 14). &lt;i&gt;Animal Home Range Estimation in R&lt;/i&gt;.&lt;a target="_blank" href="https://www.youtube.com/watch?v=dsPsRPZiOC0"&gt;{https://www.youtube.com/watch?v=dsPsRPZiOC0}]{#ecol_appl_r_2021}&lt;br&gt;&lt;br&gt;</v>
      </c>
      <c r="O108" s="63" t="s">
        <v>5670</v>
      </c>
      <c r="P108" s="61" t="s">
        <v>5305</v>
      </c>
      <c r="Q108" s="64" t="str">
        <f t="shared" si="8"/>
        <v>{{ rtxt_ecol_appl_r_2021 }}</v>
      </c>
      <c r="R108" s="64" t="str">
        <f t="shared" si="9"/>
        <v>{{ rbib_ecol_appl_r_2021 }}</v>
      </c>
      <c r="S108" s="63" t="str">
        <f t="shared" si="13"/>
        <v>Ecological Applications in R. (2021, Apr 14). &lt;i&gt;Animal Home Range Estimation in R&lt;/i&gt;.&lt;a target="_blank" href="https://www.youtube.com/watch?v=dsPsRPZiOC0"&gt;{https://www.youtube.com/watch?v=dsPsRPZiOC0} &lt;a href="https://www.youtube.com/watch?v=dsPsRPZiOC0" target="_blank"&gt;https://www.youtube.com/watch?v=dsPsRPZiOC0&lt;/a&gt;&lt;span style="color:white"&gt;[.]{#ecol_appl_r_2021}&lt;/span&gt;&lt;br&gt;&lt;br&gt;</v>
      </c>
      <c r="T108" s="64" t="str">
        <f t="shared" si="11"/>
        <v xml:space="preserve">    rtxt_ecol_appl_r_2021: "&lt;a href=\"/08_references.html#ecol_appl_r_2021\" target=\"_blank\"&gt;Ecological Applications in R, 2021&lt;/a&gt;"</v>
      </c>
      <c r="U108" s="64" t="str">
        <f t="shared" si="10"/>
        <v xml:space="preserve">    rbib_ecol_appl_r_2021: "Ecological Applications in R. (2021, Apr 14). *Animal Home Range Estimation in R*.&lt;https://www.youtube.com/watch?v=dsPsRPZiOC0&gt;"</v>
      </c>
    </row>
    <row r="109" spans="1:22" ht="15.75">
      <c r="A109" s="64"/>
      <c r="B109" s="77" t="b">
        <v>1</v>
      </c>
      <c r="C109" s="77" t="b">
        <v>0</v>
      </c>
      <c r="D109" s="77" t="b">
        <v>0</v>
      </c>
      <c r="E109" s="64" t="s">
        <v>1904</v>
      </c>
      <c r="F109" s="64" t="s">
        <v>3526</v>
      </c>
      <c r="G109" s="64" t="s">
        <v>3525</v>
      </c>
      <c r="H109" s="64" t="s">
        <v>3525</v>
      </c>
      <c r="I109" s="64" t="b">
        <v>1</v>
      </c>
      <c r="J109" s="66" t="s">
        <v>3524</v>
      </c>
      <c r="K109" s="66" t="s">
        <v>3960</v>
      </c>
      <c r="L109" s="64" t="s">
        <v>4408</v>
      </c>
      <c r="M109" s="64" t="s">
        <v>5687</v>
      </c>
      <c r="N109" s="65" t="str">
        <f t="shared" si="12"/>
        <v>[Efford, M. (2004). Density Estimation in Live-Trapping Studies. &lt;i&gt;Oikos, 106&lt;/i&gt;(3), 598-610. &lt;a target="_blank" href="http://www.jstor.org.login.ezproxy.library.ualberta.ca/stable/3548382"&gt;{http://www.jstor.org.login.ezproxy.library.ualberta.ca/stable/3548382}}]{#efford_2004}&lt;br&gt;&lt;br&gt;</v>
      </c>
      <c r="O109" s="64" t="s">
        <v>3523</v>
      </c>
      <c r="P109" s="64" t="s">
        <v>984</v>
      </c>
      <c r="Q109" s="64" t="str">
        <f t="shared" si="8"/>
        <v>{{ rtxt_efford_2004 }}</v>
      </c>
      <c r="R109" s="64" t="str">
        <f t="shared" si="9"/>
        <v>{{ rbib_efford_2004 }}</v>
      </c>
      <c r="S109" s="63" t="str">
        <f t="shared" si="13"/>
        <v>Efford, M. (2004). Density Estimation in Live-Trapping Studies. &lt;i&gt;Oikos, 106&lt;/i&gt;(3), 598-610. &lt;a href="http://www.jstor.org.login.ezproxy.library.ualberta.ca/stable/3548382" target="_blank"&gt;http://www.jstor.org.login.ezproxy.library.ualberta.ca/stable/3548382&lt;/a&gt;&lt;span style="color:white"&gt;[.]{#efford_2004}&lt;/span&gt;&lt;br&gt;&lt;br&gt;</v>
      </c>
      <c r="T109" s="64" t="str">
        <f t="shared" si="11"/>
        <v xml:space="preserve">    rtxt_efford_2004: "&lt;a href=\"/08_references.html#efford_2004\" target=\"_blank\"&gt;Efford, 2004&lt;/a&gt;"</v>
      </c>
      <c r="U109" s="64" t="str">
        <f t="shared" si="10"/>
        <v xml:space="preserve">    rbib_efford_2004: "Efford, M. (2004). Density Estimation in Live-Trapping Studies. *Oikos, 106*(3), 598-610. &lt;http://www.jstor.org.login.ezproxy.library.ualberta.ca/stable/3548382&gt;"</v>
      </c>
      <c r="V109" s="64"/>
    </row>
    <row r="110" spans="1:22" ht="15.75">
      <c r="A110" s="64"/>
      <c r="B110" s="77"/>
      <c r="C110" s="77"/>
      <c r="D110" s="77"/>
      <c r="E110" s="64" t="s">
        <v>2246</v>
      </c>
      <c r="F110" s="64" t="s">
        <v>3518</v>
      </c>
      <c r="G110" s="64" t="s">
        <v>3517</v>
      </c>
      <c r="H110" s="64" t="s">
        <v>3517</v>
      </c>
      <c r="I110" s="64" t="b">
        <v>1</v>
      </c>
      <c r="J110" s="66" t="s">
        <v>3516</v>
      </c>
      <c r="K110" s="66" t="s">
        <v>3960</v>
      </c>
      <c r="L110" s="64" t="s">
        <v>4409</v>
      </c>
      <c r="M110" s="64" t="s">
        <v>5704</v>
      </c>
      <c r="N110" s="65" t="str">
        <f t="shared" si="12"/>
        <v>[Efford, M. (2023). &lt;i&gt;openCR: Open population capture-recapture models&lt;/i&gt;. R package version 2.2.6. &lt;a target="_blank" href="https://CRAN.R-project.org/package=openCR"&gt;{https://CRAN.R-project.org/package=openCR}]{#efford_2023}&lt;br&gt;&lt;br&gt;</v>
      </c>
      <c r="O110" s="64" t="s">
        <v>3515</v>
      </c>
      <c r="P110" s="64" t="s">
        <v>984</v>
      </c>
      <c r="Q110" s="64" t="str">
        <f t="shared" si="8"/>
        <v>{{ rtxt_efford_2023 }}</v>
      </c>
      <c r="R110" s="64" t="str">
        <f t="shared" si="9"/>
        <v>{{ rbib_efford_2023 }}</v>
      </c>
      <c r="S110" s="63" t="str">
        <f t="shared" si="13"/>
        <v>Efford, M. (2023). &lt;i&gt;openCR: Open population capture-recapture models&lt;/i&gt;. R package version 2.2.6. &lt;a href="https://CRAN.R-project.org/package=openCR" target="_blank"&gt;https://CRAN.R-project.org/package=openCR&lt;/a&gt;&lt;span style="color:white"&gt;[.]{#efford_2023}&lt;/span&gt;&lt;br&gt;&lt;br&gt;</v>
      </c>
      <c r="T110" s="64" t="str">
        <f t="shared" si="11"/>
        <v xml:space="preserve">    rtxt_efford_2023: "&lt;a href=\"/08_references.html#efford_2023\" target=\"_blank\"&gt;Efford, 2023&lt;/a&gt;"</v>
      </c>
      <c r="U110" s="64" t="str">
        <f t="shared" si="10"/>
        <v xml:space="preserve">    rbib_efford_2023: "Efford, M. (2023). *openCR: Open population capture-recapture models*. R package version 2.2.6. &lt;https://CRAN.R-project.org/package=openCR&gt;"</v>
      </c>
      <c r="V110" s="64"/>
    </row>
    <row r="111" spans="1:22" ht="15.75">
      <c r="A111" s="64"/>
      <c r="B111" s="77" t="b">
        <v>0</v>
      </c>
      <c r="C111" s="77" t="b">
        <v>0</v>
      </c>
      <c r="D111" s="77"/>
      <c r="E111" s="64" t="s">
        <v>2246</v>
      </c>
      <c r="F111" s="64" t="s">
        <v>3514</v>
      </c>
      <c r="G111" s="64" t="s">
        <v>3513</v>
      </c>
      <c r="H111" s="64" t="s">
        <v>3513</v>
      </c>
      <c r="I111" s="64" t="b">
        <v>1</v>
      </c>
      <c r="J111" s="66" t="s">
        <v>3512</v>
      </c>
      <c r="K111" s="66" t="s">
        <v>3960</v>
      </c>
      <c r="L111" s="64" t="s">
        <v>4410</v>
      </c>
      <c r="M111" s="64" t="s">
        <v>5705</v>
      </c>
      <c r="N111" s="65" t="str">
        <f t="shared" si="12"/>
        <v>[Efford, M. (2024a). &lt;i&gt;Package 'secr': Spatially Explicit Capture-Recapture&lt;/i&gt;. R package version 4.6.9. &lt;a target="_blank" href="https://CRAN.R-project.org/package=secr"&gt;{https://CRAN.R-project.org/package=secr}]{#efford_2024a}&lt;br&gt;&lt;br&gt;</v>
      </c>
      <c r="O111" s="64" t="s">
        <v>3511</v>
      </c>
      <c r="P111" s="64" t="s">
        <v>984</v>
      </c>
      <c r="Q111" s="64" t="str">
        <f t="shared" si="8"/>
        <v>{{ rtxt_efford_2024a }}</v>
      </c>
      <c r="R111" s="64" t="str">
        <f t="shared" si="9"/>
        <v>{{ rbib_efford_2024a }}</v>
      </c>
      <c r="S111" s="63" t="str">
        <f t="shared" si="13"/>
        <v>Efford, M. (2024a). &lt;i&gt;Package 'secr': Spatially Explicit Capture-Recapture&lt;/i&gt;. R package version 4.6.9. &lt;a href="https://CRAN.R-project.org/package=secr" target="_blank"&gt;https://CRAN.R-project.org/package=secr&lt;/a&gt;&lt;span style="color:white"&gt;[.]{#efford_2024a}&lt;/span&gt;&lt;br&gt;&lt;br&gt;</v>
      </c>
      <c r="T111" s="64" t="str">
        <f t="shared" si="11"/>
        <v xml:space="preserve">    rtxt_efford_2024a: "&lt;a href=\"/08_references.html#efford_2024a\" target=\"_blank\"&gt;Efford, 2024a&lt;/a&gt;"</v>
      </c>
      <c r="U111" s="64" t="str">
        <f t="shared" si="10"/>
        <v xml:space="preserve">    rbib_efford_2024a: "Efford, M. (2024a). *Package 'secr': Spatially Explicit Capture-Recapture* R package version 4.6.9. &lt;https://CRAN.R-project.org/package=secr&gt;"</v>
      </c>
      <c r="V111" s="64"/>
    </row>
    <row r="112" spans="1:22" ht="15.75">
      <c r="A112" s="64"/>
      <c r="B112" s="77" t="b">
        <v>0</v>
      </c>
      <c r="C112" s="77" t="b">
        <v>0</v>
      </c>
      <c r="D112" s="77"/>
      <c r="E112" s="64" t="s">
        <v>2246</v>
      </c>
      <c r="F112" s="64" t="s">
        <v>3510</v>
      </c>
      <c r="G112" s="64" t="s">
        <v>3509</v>
      </c>
      <c r="H112" s="64" t="s">
        <v>3509</v>
      </c>
      <c r="I112" s="64" t="b">
        <v>1</v>
      </c>
      <c r="J112" s="66" t="s">
        <v>3508</v>
      </c>
      <c r="K112" s="66" t="s">
        <v>3960</v>
      </c>
      <c r="L112" s="64" t="s">
        <v>4411</v>
      </c>
      <c r="M112" s="64" t="s">
        <v>5711</v>
      </c>
      <c r="N112" s="65" t="str">
        <f t="shared" si="12"/>
        <v>[Efford, M. (2024b). &lt;i&gt;secr 4.6 - spatially explicit capture-recapture in R.&lt;/i&gt; &lt;a target="_blank" href="https://cran.r-project.org/web/packages/secr/vignettes/secr-overview.pdf"&gt;{https://cran.r-project.org/web/packages/secr/vignettes/secr-overview.pdf}]{#efford_2024b}&lt;br&gt;&lt;br&gt;</v>
      </c>
      <c r="O112" s="64" t="s">
        <v>3507</v>
      </c>
      <c r="P112" s="64" t="s">
        <v>984</v>
      </c>
      <c r="Q112" s="64" t="str">
        <f t="shared" si="8"/>
        <v>{{ rtxt_efford_2024b }}</v>
      </c>
      <c r="R112" s="64" t="str">
        <f t="shared" si="9"/>
        <v>{{ rbib_efford_2024b }}</v>
      </c>
      <c r="S112" s="63" t="str">
        <f t="shared" si="13"/>
        <v>Efford, M. (2024b). &lt;i&gt;secr 4.6 - spatially explicit capture-recapture in R.&lt;/i&gt; &lt;a href="https://cran.r-project.org/web/packages/secr/vignettes/secr-overview.pdf" target="_blank"&gt;https://cran.r-project.org/web/packages/secr/vignettes/secr-overview.pdf&lt;/a&gt;&lt;span style="color:white"&gt;[.]{#efford_2024b}&lt;/span&gt;&lt;br&gt;&lt;br&gt;</v>
      </c>
      <c r="T112" s="64" t="str">
        <f t="shared" si="11"/>
        <v xml:space="preserve">    rtxt_efford_2024b: "&lt;a href=\"/08_references.html#efford_2024b\" target=\"_blank\"&gt;Efford, 2024b&lt;/a&gt;"</v>
      </c>
      <c r="U112" s="64" t="str">
        <f t="shared" si="10"/>
        <v xml:space="preserve">    rbib_efford_2024b: "Efford, M. (2024b). *secr 4.6 - spatially explicit capture-recapture in R.* &lt;https://cran.r-project.org/web/packages/secr/vignettes/secr-overview.pdf&gt;"</v>
      </c>
      <c r="V112" s="64"/>
    </row>
    <row r="113" spans="1:22" ht="15.75">
      <c r="A113" s="64"/>
      <c r="B113" s="77" t="b">
        <v>1</v>
      </c>
      <c r="C113" s="77" t="b">
        <v>0</v>
      </c>
      <c r="D113" s="77" t="b">
        <v>0</v>
      </c>
      <c r="E113" s="64" t="s">
        <v>2246</v>
      </c>
      <c r="F113" s="64" t="s">
        <v>3522</v>
      </c>
      <c r="G113" s="64" t="s">
        <v>3521</v>
      </c>
      <c r="H113" s="64" t="s">
        <v>3521</v>
      </c>
      <c r="I113" s="64" t="b">
        <v>1</v>
      </c>
      <c r="J113" s="66" t="s">
        <v>3520</v>
      </c>
      <c r="K113" s="66" t="s">
        <v>3960</v>
      </c>
      <c r="L113" s="64" t="s">
        <v>4412</v>
      </c>
      <c r="M113" s="64" t="s">
        <v>6114</v>
      </c>
      <c r="N113" s="65" t="str">
        <f t="shared" si="12"/>
        <v>[Efford, M. G. (2022). &lt;i&gt;Mark-resight in secr 4. 5. 1-20. &lt;/i&gt; &lt;a target="_blank" href="https://www.otago.ac.nz/Density/pdfs/secr-markresight.pdf"&gt;{https://www.otago.ac.nz/Density/pdfs/secr-markresight.pdf}]{#efford_2022}&lt;br&gt;&lt;br&gt;</v>
      </c>
      <c r="O113" s="64" t="s">
        <v>3519</v>
      </c>
      <c r="P113" s="64" t="s">
        <v>984</v>
      </c>
      <c r="Q113" s="64" t="str">
        <f t="shared" si="8"/>
        <v>{{ rtxt_efford_2022 }}</v>
      </c>
      <c r="R113" s="64" t="str">
        <f t="shared" si="9"/>
        <v>{{ rbib_efford_2022 }}</v>
      </c>
      <c r="S113" s="63" t="str">
        <f t="shared" si="13"/>
        <v>Efford, M. G. (2022). &lt;i&gt;Mark-resight in secr 4. 5. 1-20. &lt;/i&gt; &lt;a href="https://www.otago.ac.nz/Density/pdfs/secr-markresight.pdf" target="_blank"&gt;https://www.otago.ac.nz/Density/pdfs/secr-markresight.pdf&lt;/a&gt;&lt;span style="color:white"&gt;[.]{#efford_2022}&lt;/span&gt;&lt;br&gt;&lt;br&gt;</v>
      </c>
      <c r="T113" s="64" t="str">
        <f t="shared" si="11"/>
        <v xml:space="preserve">    rtxt_efford_2022: "&lt;a href=\"/08_references.html#efford_2022\" target=\"_blank\"&gt;Efford, 2022&lt;/a&gt;"</v>
      </c>
      <c r="U113" s="64" t="str">
        <f t="shared" si="10"/>
        <v xml:space="preserve">    rbib_efford_2022: "Efford, M. G. (2022). *Mark-resight in secr 4. 5. 1-20*. &lt;https://www.otago.ac.nz/Density/pdfs/secr-markresight.pdf&gt;"</v>
      </c>
      <c r="V113" s="64"/>
    </row>
    <row r="114" spans="1:22" ht="15.75">
      <c r="A114" s="64"/>
      <c r="B114" s="77" t="b">
        <v>1</v>
      </c>
      <c r="C114" s="77" t="b">
        <v>0</v>
      </c>
      <c r="D114" s="77" t="b">
        <v>0</v>
      </c>
      <c r="E114" s="64" t="s">
        <v>1904</v>
      </c>
      <c r="F114" s="64" t="s">
        <v>3506</v>
      </c>
      <c r="G114" s="64" t="s">
        <v>3505</v>
      </c>
      <c r="H114" s="64" t="s">
        <v>3505</v>
      </c>
      <c r="I114" s="64" t="b">
        <v>1</v>
      </c>
      <c r="J114" s="66" t="s">
        <v>3504</v>
      </c>
      <c r="K114" s="66" t="s">
        <v>3960</v>
      </c>
      <c r="L114" s="64" t="s">
        <v>4413</v>
      </c>
      <c r="M114" s="64" t="s">
        <v>5895</v>
      </c>
      <c r="N114" s="65" t="str">
        <f t="shared" si="12"/>
        <v>[Efford, M. G., &amp; Boulanger, J. (2019). Fast Evaluation of Study Designs for Spatially Explicit Capture-Recapture. &lt;i&gt;Methods in Ecology and Evolution, 10&lt;/i&gt;(9), 1529-1535. &lt;a target="_blank" href="https://doi.org/10.1111/2041-210X.13239"&gt;{https://doi.org/10.1111/2041-210X.13239}]{#efford_boulanger_2019}&lt;br&gt;&lt;br&gt;</v>
      </c>
      <c r="O114" s="64" t="s">
        <v>3503</v>
      </c>
      <c r="P114" s="64" t="s">
        <v>984</v>
      </c>
      <c r="Q114" s="64" t="str">
        <f t="shared" si="8"/>
        <v>{{ rtxt_efford_boulanger_2019 }}</v>
      </c>
      <c r="R114" s="64" t="str">
        <f t="shared" si="9"/>
        <v>{{ rbib_efford_boulanger_2019 }}</v>
      </c>
      <c r="S114" s="63" t="str">
        <f t="shared" si="13"/>
        <v>Efford, M. G., &amp; Boulanger, J. (2019). Fast Evaluation of Study Designs for Spatially Explicit Capture-Recapture. &lt;i&gt;Methods in Ecology and Evolution, 10&lt;/i&gt;(9), 1529-1535. &lt;a href="https://doi.org/10.1111/2041-210X.13239" target="_blank"&gt;https://doi.org/10.1111/2041-210X.13239&lt;/a&gt;&lt;span style="color:white"&gt;[.]{#efford_boulanger_2019}&lt;/span&gt;&lt;br&gt;&lt;br&gt;</v>
      </c>
      <c r="T114" s="64" t="str">
        <f t="shared" si="11"/>
        <v xml:space="preserve">    rtxt_efford_boulanger_2019: "&lt;a href=\"/08_references.html#efford_boulanger_2019\" target=\"_blank\"&gt;Efford &amp; Boulanger, 2019&lt;/a&gt;"</v>
      </c>
      <c r="U114" s="64" t="str">
        <f t="shared" si="10"/>
        <v xml:space="preserve">    rbib_efford_boulanger_2019: "Efford, M. G., &amp; Boulanger, J. (2019). Fast Evaluation of Study Designs for Spatially Explicit Capture-Recapture. *Methods in Ecology and Evolution, 10*(9), 1529-1535. &lt;https://doi.org/10.1111/2041-210X.13239&gt;"</v>
      </c>
      <c r="V114" s="64"/>
    </row>
    <row r="115" spans="1:22" ht="15.75">
      <c r="A115" s="64"/>
      <c r="B115" s="77"/>
      <c r="C115" s="77"/>
      <c r="D115" s="77"/>
      <c r="E115" s="64" t="s">
        <v>1904</v>
      </c>
      <c r="F115" s="64" t="s">
        <v>3502</v>
      </c>
      <c r="G115" s="64" t="s">
        <v>3501</v>
      </c>
      <c r="H115" s="64" t="s">
        <v>3501</v>
      </c>
      <c r="I115" s="64" t="b">
        <v>1</v>
      </c>
      <c r="J115" s="66" t="s">
        <v>3500</v>
      </c>
      <c r="K115" s="66" t="s">
        <v>3960</v>
      </c>
      <c r="L115" s="64" t="s">
        <v>4414</v>
      </c>
      <c r="M115" s="64" t="s">
        <v>6000</v>
      </c>
      <c r="N115" s="65" t="str">
        <f t="shared" si="12"/>
        <v>[Efford, M. G., &amp; Dawson, D. K. (2012). Occupancy in continuous habitat. &lt;i&gt;Ecosphere, 3&lt;/i&gt;(4). Article 32. &lt;a target="_blank" href="https://doi.org/10.1890/es11-00308.1"&gt;{https://doi.org/10.1890/es11-00308.1}]{#efford_dawson_2012}&lt;br&gt;&lt;br&gt;</v>
      </c>
      <c r="O115" s="64" t="s">
        <v>3499</v>
      </c>
      <c r="P115" s="64" t="s">
        <v>984</v>
      </c>
      <c r="Q115" s="64" t="str">
        <f t="shared" si="8"/>
        <v>{{ rtxt_efford_dawson_2012 }}</v>
      </c>
      <c r="R115" s="64" t="str">
        <f t="shared" si="9"/>
        <v>{{ rbib_efford_dawson_2012 }}</v>
      </c>
      <c r="S115" s="63" t="str">
        <f t="shared" si="13"/>
        <v>Efford, M. G., &amp; Dawson, D. K. (2012). Occupancy in continuous habitat. &lt;i&gt;Ecosphere, 3&lt;/i&gt;(4). Article 32. &lt;a href="https://doi.org/10.1890/es11-00308.1" target="_blank"&gt;https://doi.org/10.1890/es11-00308.1&lt;/a&gt;&lt;span style="color:white"&gt;[.]{#efford_dawson_2012}&lt;/span&gt;&lt;br&gt;&lt;br&gt;</v>
      </c>
      <c r="T115" s="64" t="str">
        <f t="shared" si="11"/>
        <v xml:space="preserve">    rtxt_efford_dawson_2012: "&lt;a href=\"/08_references.html#efford_dawson_2012\" target=\"_blank\"&gt;Efford &amp; Dawson, 2012&lt;/a&gt;"</v>
      </c>
      <c r="U115" s="64" t="str">
        <f t="shared" si="10"/>
        <v xml:space="preserve">    rbib_efford_dawson_2012: "Efford, M. G., &amp; Dawson, D. K. (2012). Occupancy in continuous habitat. *Ecosphere, 3*(4). Article 32. &lt;https://doi.org/10.1890/es11-00308.1&gt;"</v>
      </c>
      <c r="V115" s="64"/>
    </row>
    <row r="116" spans="1:22" ht="15.75">
      <c r="A116" s="64"/>
      <c r="B116" s="77" t="b">
        <v>1</v>
      </c>
      <c r="C116" s="77" t="b">
        <v>0</v>
      </c>
      <c r="D116" s="77" t="b">
        <v>0</v>
      </c>
      <c r="E116" s="64" t="s">
        <v>1904</v>
      </c>
      <c r="F116" s="64" t="s">
        <v>3484</v>
      </c>
      <c r="G116" s="64" t="s">
        <v>3483</v>
      </c>
      <c r="H116" s="64" t="s">
        <v>3483</v>
      </c>
      <c r="I116" s="64" t="b">
        <v>1</v>
      </c>
      <c r="J116" s="66" t="s">
        <v>3482</v>
      </c>
      <c r="K116" s="66" t="s">
        <v>3960</v>
      </c>
      <c r="L116" s="64" t="s">
        <v>4415</v>
      </c>
      <c r="M116" s="64" t="s">
        <v>5906</v>
      </c>
      <c r="N116" s="65" t="str">
        <f t="shared" si="12"/>
        <v>[Efford, M. G., &amp; Hunter, C. M. (2018). Spatial Capture-mark-resight Estimation of Animal Population Density. &lt;i&gt;Biometrics, 74&lt;/i&gt;(2), 411-420. &lt;a target="_blank" href="https://doi.org/10.1111/biom.12766"&gt;{https://doi.org/10.1111/biom.12766}]{#efford_hunter_2018}&lt;br&gt;&lt;br&gt;</v>
      </c>
      <c r="O116" s="64" t="s">
        <v>3481</v>
      </c>
      <c r="P116" s="64" t="s">
        <v>984</v>
      </c>
      <c r="Q116" s="64" t="str">
        <f t="shared" si="8"/>
        <v>{{ rtxt_efford_hunter_2018 }}</v>
      </c>
      <c r="R116" s="64" t="str">
        <f t="shared" si="9"/>
        <v>{{ rbib_efford_hunter_2018 }}</v>
      </c>
      <c r="S116" s="63" t="str">
        <f t="shared" si="13"/>
        <v>Efford, M. G., &amp; Hunter, C. M. (2018). Spatial Capture-mark-resight Estimation of Animal Population Density. &lt;i&gt;Biometrics, 74&lt;/i&gt;(2), 411-420. &lt;a href="https://doi.org/10.1111/biom.12766" target="_blank"&gt;https://doi.org/10.1111/biom.12766&lt;/a&gt;&lt;span style="color:white"&gt;[.]{#efford_hunter_2018}&lt;/span&gt;&lt;br&gt;&lt;br&gt;</v>
      </c>
      <c r="T116" s="64" t="str">
        <f t="shared" si="11"/>
        <v xml:space="preserve">    rtxt_efford_hunter_2018: "&lt;a href=\"/08_references.html#efford_hunter_2018\" target=\"_blank\"&gt;Efford &amp; Hunter, 2018&lt;/a&gt;"</v>
      </c>
      <c r="U116" s="64" t="str">
        <f t="shared" si="10"/>
        <v xml:space="preserve">    rbib_efford_hunter_2018: "Efford, M. G., &amp; Hunter, C. M. (2018). Spatial Capture-mark-resight Estimation of Animal Population Density. *Biometrics, 74*(2), 411-420. &lt;https://doi.org/10.1111/biom.12766&gt;"</v>
      </c>
      <c r="V116" s="64"/>
    </row>
    <row r="117" spans="1:22" ht="15.75">
      <c r="A117" s="64"/>
      <c r="B117" s="77" t="b">
        <v>1</v>
      </c>
      <c r="C117" s="77" t="b">
        <v>0</v>
      </c>
      <c r="D117" s="77" t="b">
        <v>0</v>
      </c>
      <c r="E117" s="64" t="s">
        <v>1904</v>
      </c>
      <c r="F117" s="64" t="s">
        <v>3494</v>
      </c>
      <c r="G117" s="64" t="s">
        <v>3493</v>
      </c>
      <c r="H117" s="64" t="s">
        <v>3492</v>
      </c>
      <c r="I117" s="64" t="b">
        <v>1</v>
      </c>
      <c r="J117" s="66" t="s">
        <v>3491</v>
      </c>
      <c r="K117" s="66" t="s">
        <v>3960</v>
      </c>
      <c r="L117" s="64" t="s">
        <v>4416</v>
      </c>
      <c r="M117" s="64" t="s">
        <v>5778</v>
      </c>
      <c r="N117" s="65" t="str">
        <f t="shared" si="12"/>
        <v>[Efford,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href="https://doi.org/10.1007/978-0-387-78151-8_11"&gt;{https://doi.org/10.1007/978-0-387-78151-8_11}]{#efford_et_al_2009a}&lt;br&gt;&lt;br&gt;</v>
      </c>
      <c r="O117" s="64" t="s">
        <v>3490</v>
      </c>
      <c r="P117" s="64" t="s">
        <v>984</v>
      </c>
      <c r="Q117" s="64" t="str">
        <f t="shared" si="8"/>
        <v>{{ rtxt_efford_et_al_2009a }}</v>
      </c>
      <c r="R117" s="64" t="str">
        <f t="shared" si="9"/>
        <v>{{ rbib_efford_et_al_2009a }}</v>
      </c>
      <c r="S117" s="63" t="str">
        <f t="shared" si="13"/>
        <v>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target="_blank"&gt;https://doi.org/10.1007/978-0-387-78151-8_11&lt;/a&gt;&lt;span style="color:white"&gt;[.]{#efford_et_al_2009a}&lt;/span&gt;&lt;br&gt;&lt;br&gt;</v>
      </c>
      <c r="T117" s="64" t="str">
        <f t="shared" si="11"/>
        <v xml:space="preserve">    rtxt_efford_et_al_2009a: "&lt;a href=\"/08_references.html#efford_et_al_2009a\" target=\"_blank\"&gt;Efford et al., 2009a&lt;/a&gt;"</v>
      </c>
      <c r="U117" s="64" t="str">
        <f t="shared" si="10"/>
        <v xml:space="preserve">    rbib_efford_et_al_2009a: "Efford, M. G., Borchers, D. L., &amp; Byrom, A. E. (2009a). Density Estimation by Spatially Explicit Capture-Recapture: Likelihood-Based Methods. *In* D. L. Thomson, E. G. Cooch, &amp; M. J. Conroy (Eds.), *Modeling Demographic Processes In Marked Populations* (pp. 255-269). &lt;https://doi.org/10.1007/978-0-387-78151-8_11&gt;"</v>
      </c>
      <c r="V117" s="64"/>
    </row>
    <row r="118" spans="1:22" ht="15.75">
      <c r="A118" s="64"/>
      <c r="B118" s="77" t="b">
        <v>1</v>
      </c>
      <c r="C118" s="77" t="b">
        <v>0</v>
      </c>
      <c r="D118" s="77" t="b">
        <v>0</v>
      </c>
      <c r="E118" s="64" t="s">
        <v>1904</v>
      </c>
      <c r="F118" s="64" t="s">
        <v>3489</v>
      </c>
      <c r="G118" s="64" t="s">
        <v>3488</v>
      </c>
      <c r="H118" s="64" t="s">
        <v>3487</v>
      </c>
      <c r="I118" s="64" t="b">
        <v>1</v>
      </c>
      <c r="J118" s="66" t="s">
        <v>3486</v>
      </c>
      <c r="K118" s="66" t="s">
        <v>3960</v>
      </c>
      <c r="L118" s="64" t="s">
        <v>4417</v>
      </c>
      <c r="M118" s="64" t="s">
        <v>5994</v>
      </c>
      <c r="N118" s="65" t="str">
        <f t="shared" si="12"/>
        <v>[Efford, M. G., Dawson, D. K., &amp; Borchers, D. L. (2009b). Population Density estimated from locations of individuals on a passive detector array. &lt;i&gt;Ecology, 90&lt;/i&gt;(10), 2676-2682. &lt;a target="_blank" href="https://doi.org/10.1890/08-1735.1"&gt;{https://doi.org/10.1890/08-1735.1}]{#efford_et_al_2009b}&lt;br&gt;&lt;br&gt;</v>
      </c>
      <c r="O118" s="64" t="s">
        <v>3485</v>
      </c>
      <c r="P118" s="64" t="s">
        <v>984</v>
      </c>
      <c r="Q118" s="64" t="str">
        <f t="shared" si="8"/>
        <v>{{ rtxt_efford_et_al_2009b }}</v>
      </c>
      <c r="R118" s="64" t="str">
        <f t="shared" si="9"/>
        <v>{{ rbib_efford_et_al_2009b }}</v>
      </c>
      <c r="S118" s="63" t="str">
        <f t="shared" si="13"/>
        <v>Efford, M. G., Dawson, D. K., &amp; Borchers, D. L. (2009b). Population Density estimated from locations of individuals on a passive detector array. &lt;i&gt;Ecology, 90&lt;/i&gt;(10), 2676-2682. &lt;a href="https://doi.org/10.1890/08-1735.1" target="_blank"&gt;https://doi.org/10.1890/08-1735.1&lt;/a&gt;&lt;span style="color:white"&gt;[.]{#efford_et_al_2009b}&lt;/span&gt;&lt;br&gt;&lt;br&gt;</v>
      </c>
      <c r="T118" s="64" t="str">
        <f t="shared" si="11"/>
        <v xml:space="preserve">    rtxt_efford_et_al_2009b: "&lt;a href=\"/08_references.html#efford_et_al_2009b\" target=\"_blank\"&gt;Efford et al., 2009b&lt;/a&gt;"</v>
      </c>
      <c r="U118" s="64" t="str">
        <f t="shared" si="10"/>
        <v xml:space="preserve">    rbib_efford_et_al_2009b: "Efford, M. G., Dawson, D. K., &amp; Borchers, D. L. (2009b). Population Density estimated from locations of individuals on a passive detector array. *Ecology, 90*(10), 2676-2682. &lt;https://doi.org/10.1890/08-1735.1&gt;"</v>
      </c>
      <c r="V118" s="64"/>
    </row>
    <row r="119" spans="1:22" ht="15.75">
      <c r="A119" s="64"/>
      <c r="B119" s="77"/>
      <c r="C119" s="77"/>
      <c r="D119" s="77"/>
      <c r="E119" s="64" t="s">
        <v>1904</v>
      </c>
      <c r="F119" s="64" t="s">
        <v>3498</v>
      </c>
      <c r="G119" s="64" t="s">
        <v>3497</v>
      </c>
      <c r="H119" s="64"/>
      <c r="I119" s="64" t="b">
        <v>1</v>
      </c>
      <c r="J119" s="66" t="s">
        <v>3496</v>
      </c>
      <c r="K119" s="66" t="s">
        <v>3960</v>
      </c>
      <c r="L119" s="64" t="s">
        <v>4418</v>
      </c>
      <c r="M119" s="64" t="s">
        <v>6019</v>
      </c>
      <c r="N119" s="65" t="str">
        <f t="shared" si="12"/>
        <v>[Efford, M. G., Dawson, D. K., &amp; Robbins, C. S. (2004). DENSITY: Software for analysing capture-recapture data from passive detector arrays. &lt;i&gt;Animal Biodiversity and Conservation, 27&lt;/i&gt;(1), 217-228. &lt;a target="_blank" href="https://doi.org/10.32800/abc.2004.27.0217"&gt;{https://doi.org/10.32800/abc.2004.27.0217}]{#efford_et_al_2004}&lt;br&gt;&lt;br&gt;</v>
      </c>
      <c r="O119" s="64" t="s">
        <v>3495</v>
      </c>
      <c r="P119" s="64" t="s">
        <v>984</v>
      </c>
      <c r="Q119" s="64" t="str">
        <f t="shared" si="8"/>
        <v>{{ rtxt_efford_et_al_2004 }}</v>
      </c>
      <c r="R119" s="64" t="str">
        <f t="shared" si="9"/>
        <v>{{ rbib_efford_et_al_2004 }}</v>
      </c>
      <c r="S119" s="63" t="str">
        <f t="shared" si="13"/>
        <v>Efford, M. G., Dawson, D. K., &amp; Robbins, C. S. (2004). DENSITY: Software for analysing capture-recapture data from passive detector arrays. &lt;i&gt;Animal Biodiversity and Conservation, 27&lt;/i&gt;(1), 217-228. &lt;a href="https://doi.org/10.32800/abc.2004.27.0217" target="_blank"&gt;https://doi.org/10.32800/abc.2004.27.0217&lt;/a&gt;&lt;span style="color:white"&gt;[.]{#efford_et_al_2004}&lt;/span&gt;&lt;br&gt;&lt;br&gt;</v>
      </c>
      <c r="T119" s="64" t="str">
        <f t="shared" si="11"/>
        <v xml:space="preserve">    rtxt_efford_et_al_2004: "&lt;a href=\"/08_references.html#efford_et_al_2004\" target=\"_blank\"&gt;Efford et al., 2004&lt;/a&gt;"</v>
      </c>
      <c r="U119" s="64" t="str">
        <f t="shared" si="10"/>
        <v xml:space="preserve">    rbib_efford_et_al_2004: "Efford, M. G., Dawson, D. K., &amp; Robbins, C. S. (2004). DENSITY: Software for analysing capture-recapture data from passive detector arrays. *Animal Biodiversity and Conservation, 27*(1), 217-228. &lt;https://doi.org/10.32800/abc.2004.27.0217&gt;"</v>
      </c>
      <c r="V119" s="64"/>
    </row>
    <row r="120" spans="1:22" ht="15.75">
      <c r="A120" s="64"/>
      <c r="B120" s="77" t="b">
        <v>1</v>
      </c>
      <c r="C120" s="77" t="b">
        <v>0</v>
      </c>
      <c r="D120" s="77" t="b">
        <v>0</v>
      </c>
      <c r="E120" s="64" t="s">
        <v>1904</v>
      </c>
      <c r="F120" s="64" t="s">
        <v>3480</v>
      </c>
      <c r="G120" s="64" t="s">
        <v>3479</v>
      </c>
      <c r="H120" s="64" t="s">
        <v>3478</v>
      </c>
      <c r="I120" s="64" t="b">
        <v>1</v>
      </c>
      <c r="J120" s="66" t="s">
        <v>3477</v>
      </c>
      <c r="K120" s="66" t="s">
        <v>3960</v>
      </c>
      <c r="L120" s="64" t="s">
        <v>4419</v>
      </c>
      <c r="M120" s="64" t="s">
        <v>5798</v>
      </c>
      <c r="N120" s="65" t="str">
        <f t="shared" si="12"/>
        <v>[Espartosa, K. D., Pinotti, B. T., &amp; Pardini, R. (2011). Performance of Camera Trapping and Track Counts for Surveying Large Mammals in Rainforest Remnants. &lt;i&gt;Biodiversity Conservation, 20&lt;/i&gt;(12), 2815-2829. &lt;a target="_blank" href="https://doi.org/10.1007/s10531-011-0110-4"&gt;{https://doi.org/10.1007/s10531-011-0110-4}]{#espartosa_et_al_2011}&lt;br&gt;&lt;br&gt;</v>
      </c>
      <c r="O120" s="64" t="s">
        <v>3476</v>
      </c>
      <c r="P120" s="64" t="s">
        <v>984</v>
      </c>
      <c r="Q120" s="64" t="str">
        <f t="shared" si="8"/>
        <v>{{ rtxt_espartosa_et_al_2011 }}</v>
      </c>
      <c r="R120" s="64" t="str">
        <f t="shared" si="9"/>
        <v>{{ rbib_espartosa_et_al_2011 }}</v>
      </c>
      <c r="S120" s="63" t="str">
        <f t="shared" si="13"/>
        <v>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target="_blank"&gt;https://doi.org/10.1007/s10531-011-0110-4&lt;/a&gt;&lt;span style="color:white"&gt;[.]{#espartosa_et_al_2011}&lt;/span&gt;&lt;br&gt;&lt;br&gt;</v>
      </c>
      <c r="T120" s="64" t="str">
        <f t="shared" si="11"/>
        <v xml:space="preserve">    rtxt_espartosa_et_al_2011: "&lt;a href=\"/08_references.html#espartosa_et_al_2011\" target=\"_blank\"&gt;Espartosa et al., 2011&lt;/a&gt;"</v>
      </c>
      <c r="U120" s="64" t="str">
        <f t="shared" si="10"/>
        <v xml:space="preserve">    rbib_espartosa_et_al_2011: "Espartosa, K. D., Pinotti, B. T., &amp; Pardini, R. (2011). Performance of Camera Trapping and Track Counts for Surveying Large Mammals in Rainforest Remnants. *Biodiversity Conservation, 20*(12), 2815-2829. &lt;https://doi.org/10.1007/s10531-011-0110-4&gt;"</v>
      </c>
      <c r="V120" s="64"/>
    </row>
    <row r="121" spans="1:22" ht="15.75">
      <c r="A121" s="64"/>
      <c r="B121" s="77"/>
      <c r="C121" s="77"/>
      <c r="D121" s="77"/>
      <c r="E121" s="64" t="s">
        <v>1904</v>
      </c>
      <c r="F121" s="64" t="s">
        <v>3475</v>
      </c>
      <c r="G121" s="65" t="s">
        <v>3471</v>
      </c>
      <c r="H121" s="64" t="s">
        <v>3474</v>
      </c>
      <c r="I121" s="64" t="b">
        <v>1</v>
      </c>
      <c r="J121" s="66" t="s">
        <v>3473</v>
      </c>
      <c r="K121" s="66" t="s">
        <v>3960</v>
      </c>
      <c r="L121" s="64" t="s">
        <v>4420</v>
      </c>
      <c r="M121" s="64" t="s">
        <v>5972</v>
      </c>
      <c r="N121" s="65" t="str">
        <f t="shared" si="12"/>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href="https://doi.org/10.1371/journal.pone.0179489"&gt;{https://doi.org/10.1371/journal.pone.0179489}]{#esteveo_et_al_2017}&lt;br&gt;&lt;br&gt;</v>
      </c>
      <c r="O121" s="64" t="s">
        <v>3469</v>
      </c>
      <c r="P121" s="64" t="s">
        <v>984</v>
      </c>
      <c r="Q121" s="64" t="str">
        <f t="shared" si="8"/>
        <v>{{ rtxt_esteveo_et_al_2017 }}</v>
      </c>
      <c r="R121" s="64" t="str">
        <f t="shared" si="9"/>
        <v>{{ rbib_esteveo_et_al_2017 }}</v>
      </c>
      <c r="S121" s="63" t="str">
        <f t="shared" si="13"/>
        <v>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style="color:white"&gt;[.]{#esteveo_et_al_2017}&lt;/span&gt;&lt;br&gt;&lt;br&gt;</v>
      </c>
      <c r="T121" s="64" t="str">
        <f t="shared" si="11"/>
        <v xml:space="preserve">    rtxt_esteveo_et_al_2017: "&lt;a href=\"/08_references.html#esteveo_et_al_2017\" target=\"_blank\"&gt;Estevo et al., 2017&lt;/a&gt;"</v>
      </c>
      <c r="U121" s="64" t="str">
        <f t="shared" si="10"/>
        <v xml:space="preserve">    rbib_esteveo_et_al_2017: "Estevo, C. A., Nagy-Reis, M. B., &amp; Nichols, J. D. (2017). When habitat matters: Habitat preferences can modulate co-occurrence patterns of similar sympatric species. *PLOS ONE, 12*(7), e0179489. &lt;https://doi.org/10.1371/journal.pone.0179489&gt;"</v>
      </c>
      <c r="V121" s="64"/>
    </row>
    <row r="122" spans="1:22" ht="15.75">
      <c r="A122" s="64"/>
      <c r="B122" s="77"/>
      <c r="C122" s="77"/>
      <c r="D122" s="77"/>
      <c r="E122" s="64" t="s">
        <v>1904</v>
      </c>
      <c r="F122" s="64" t="s">
        <v>3472</v>
      </c>
      <c r="G122" s="64" t="s">
        <v>3471</v>
      </c>
      <c r="H122" s="64" t="s">
        <v>3471</v>
      </c>
      <c r="I122" s="64" t="b">
        <v>1</v>
      </c>
      <c r="J122" s="66" t="s">
        <v>3470</v>
      </c>
      <c r="K122" s="66" t="s">
        <v>3960</v>
      </c>
      <c r="L122" s="64" t="s">
        <v>4421</v>
      </c>
      <c r="M122" s="64" t="s">
        <v>5973</v>
      </c>
      <c r="N122" s="65" t="str">
        <f t="shared" si="12"/>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href="https://doi.org/10.1371/journal.pone.0179489"&gt;{https://doi.org/10.1371/journal.pone.0179489}]{#estevo_et_al_2017}&lt;br&gt;&lt;br&gt;</v>
      </c>
      <c r="O122" s="64" t="s">
        <v>3469</v>
      </c>
      <c r="P122" s="64" t="s">
        <v>984</v>
      </c>
      <c r="Q122" s="64" t="str">
        <f t="shared" si="8"/>
        <v>{{ rtxt_estevo_et_al_2017 }}</v>
      </c>
      <c r="R122" s="64" t="str">
        <f t="shared" si="9"/>
        <v>{{ rbib_estevo_et_al_2017 }}</v>
      </c>
      <c r="S122" s="63" t="str">
        <f t="shared" si="13"/>
        <v>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style="color:white"&gt;[.]{#estevo_et_al_2017}&lt;/span&gt;&lt;br&gt;&lt;br&gt;</v>
      </c>
      <c r="T122" s="64" t="str">
        <f t="shared" si="11"/>
        <v xml:space="preserve">    rtxt_estevo_et_al_2017: "&lt;a href=\"/08_references.html#estevo_et_al_2017\" target=\"_blank\"&gt;Estevo et al., 2017&lt;/a&gt;"</v>
      </c>
      <c r="U122" s="64" t="str">
        <f t="shared" si="10"/>
        <v xml:space="preserve">    rbib_estevo_et_al_2017: "Estevo, C. A., Nagy-Reis, M. B., &amp; Nichols, J. D. (2017). When habitat matters: Habitat preferences can modulate co-occurrence patterns of similar sympatric species. *PLOS One, 12*(7), e0179489. &lt;https://doi.org/10.1371/journal.pone.0179489&gt;"</v>
      </c>
      <c r="V122" s="64"/>
    </row>
    <row r="123" spans="1:22" ht="15.75">
      <c r="A123" s="64"/>
      <c r="B123" s="77"/>
      <c r="C123" s="77"/>
      <c r="D123" s="77"/>
      <c r="E123" s="64" t="s">
        <v>1904</v>
      </c>
      <c r="F123" s="64" t="s">
        <v>3468</v>
      </c>
      <c r="G123" s="65" t="s">
        <v>3467</v>
      </c>
      <c r="H123" s="65" t="s">
        <v>3467</v>
      </c>
      <c r="I123" s="64" t="b">
        <v>1</v>
      </c>
      <c r="J123" s="66" t="s">
        <v>3466</v>
      </c>
      <c r="K123" s="66" t="s">
        <v>3960</v>
      </c>
      <c r="L123" s="64" t="s">
        <v>4422</v>
      </c>
      <c r="M123" s="64" t="s">
        <v>5885</v>
      </c>
      <c r="N123" s="65" t="str">
        <f t="shared" si="12"/>
        <v>[Evans, M. J. &amp; Rittenhouse, T. A. G. (2018). Evaluating Spatially Explicit Density Estimates of Unmarked Wildlife Detected by Remote Cameras. &lt;i&gt;The Journal of Applied Ecology 55&lt;/i&gt;(6), 2565-74. &lt;a target="_blank" href="https://doi.org/10.1111/1365-2664.13194"&gt;{https://doi.org/10.1111/1365-2664.13194}]{#evans_rittenhouse_2018}&lt;br&gt;&lt;br&gt;</v>
      </c>
      <c r="O123" s="64" t="s">
        <v>3465</v>
      </c>
      <c r="P123" s="64" t="s">
        <v>984</v>
      </c>
      <c r="Q123" s="64" t="str">
        <f t="shared" si="8"/>
        <v>{{ rtxt_evans_rittenhouse_2018 }}</v>
      </c>
      <c r="R123" s="64" t="str">
        <f t="shared" si="9"/>
        <v>{{ rbib_evans_rittenhouse_2018 }}</v>
      </c>
      <c r="S123" s="63" t="str">
        <f t="shared" si="13"/>
        <v>Evans, M. J. &amp; Rittenhouse, T. A. G. (2018). Evaluating Spatially Explicit Density Estimates of Unmarked Wildlife Detected by Remote Cameras. &lt;i&gt;The Journal of Applied Ecology 55&lt;/i&gt;(6), 2565-74. &lt;a href="https://doi.org/10.1111/1365-2664.13194" target="_blank"&gt;https://doi.org/10.1111/1365-2664.13194&lt;/a&gt;&lt;span style="color:white"&gt;[.]{#evans_rittenhouse_2018}&lt;/span&gt;&lt;br&gt;&lt;br&gt;</v>
      </c>
      <c r="T123" s="64" t="str">
        <f t="shared" si="11"/>
        <v xml:space="preserve">    rtxt_evans_rittenhouse_2018: "&lt;a href=\"/08_references.html#evans_rittenhouse_2018\" target=\"_blank\"&gt;Evans &amp; Rittenhouse, 2018&lt;/a&gt;"</v>
      </c>
      <c r="U123" s="64" t="str">
        <f t="shared" si="10"/>
        <v xml:space="preserve">    rbib_evans_rittenhouse_2018: "Evans, M. J. &amp; Rittenhouse, T. A. G. (2018). Evaluating Spatially Explicit Density Estimates of Unmarked Wildlife Detected by Remote Cameras. *The Journal of Applied Ecology 55*(6), 2565-74. &lt;https://doi.org/10.1111/1365-2664.13194&gt;"</v>
      </c>
      <c r="V123" s="64"/>
    </row>
    <row r="124" spans="1:22" ht="15.75">
      <c r="A124" s="64"/>
      <c r="B124" s="77"/>
      <c r="C124" s="77"/>
      <c r="D124" s="77"/>
      <c r="E124" s="64" t="s">
        <v>1904</v>
      </c>
      <c r="F124" s="64" t="s">
        <v>3464</v>
      </c>
      <c r="G124" s="64" t="s">
        <v>3463</v>
      </c>
      <c r="H124" s="64" t="s">
        <v>3463</v>
      </c>
      <c r="I124" s="64" t="b">
        <v>1</v>
      </c>
      <c r="J124" s="66" t="s">
        <v>3462</v>
      </c>
      <c r="K124" s="66" t="s">
        <v>3960</v>
      </c>
      <c r="L124" s="64" t="s">
        <v>4423</v>
      </c>
      <c r="M124" s="64" t="s">
        <v>5789</v>
      </c>
      <c r="N124" s="65" t="str">
        <f t="shared" si="12"/>
        <v>[Fancourt, B. A. (2016). Avoiding the subject: The implications of avoidance behaviour for detecting predators. &lt;i&gt;Behavioral Ecology and Sociobiology, 70&lt;/i&gt;(9), 1535-1546. &lt;a target="_blank" href="https://doi.org/10.1007/s00265-016-2162-7"&gt;{https://doi.org/10.1007/s00265-016-2162-7}]{#fancourt_2016}&lt;br&gt;&lt;br&gt;</v>
      </c>
      <c r="O124" s="64" t="s">
        <v>3461</v>
      </c>
      <c r="P124" s="64" t="s">
        <v>984</v>
      </c>
      <c r="Q124" s="64" t="str">
        <f t="shared" si="8"/>
        <v>{{ rtxt_fancourt_2016 }}</v>
      </c>
      <c r="R124" s="64" t="str">
        <f t="shared" si="9"/>
        <v>{{ rbib_fancourt_2016 }}</v>
      </c>
      <c r="S124" s="63" t="str">
        <f t="shared" si="13"/>
        <v>Fancourt, B. A. (2016). Avoiding the subject: The implications of avoidance behaviour for detecting predators. &lt;i&gt;Behavioral Ecology and Sociobiology, 70&lt;/i&gt;(9), 1535-1546. &lt;a href="https://doi.org/10.1007/s00265-016-2162-7" target="_blank"&gt;https://doi.org/10.1007/s00265-016-2162-7&lt;/a&gt;&lt;span style="color:white"&gt;[.]{#fancourt_2016}&lt;/span&gt;&lt;br&gt;&lt;br&gt;</v>
      </c>
      <c r="T124" s="64" t="str">
        <f t="shared" si="11"/>
        <v xml:space="preserve">    rtxt_fancourt_2016: "&lt;a href=\"/08_references.html#fancourt_2016\" target=\"_blank\"&gt;Fancourt, 2016&lt;/a&gt;"</v>
      </c>
      <c r="U124" s="64" t="str">
        <f t="shared" si="10"/>
        <v xml:space="preserve">    rbib_fancourt_2016: "Fancourt, B. A. (2016). Avoiding the subject: The implications of avoidance behaviour for detecting predators. *Behavioral Ecology and Sociobiology, 70*(9), 1535-1546. &lt;https://doi.org/10.1007/s00265-016-2162-7&gt;"</v>
      </c>
      <c r="V124" s="64"/>
    </row>
    <row r="125" spans="1:22" ht="15.75">
      <c r="A125" s="64"/>
      <c r="B125" s="77" t="b">
        <v>0</v>
      </c>
      <c r="C125" s="77" t="b">
        <v>1</v>
      </c>
      <c r="D125" s="77" t="b">
        <v>0</v>
      </c>
      <c r="E125" s="64" t="s">
        <v>1904</v>
      </c>
      <c r="F125" s="64" t="s">
        <v>3460</v>
      </c>
      <c r="G125" s="64" t="s">
        <v>3459</v>
      </c>
      <c r="H125" s="64" t="s">
        <v>3459</v>
      </c>
      <c r="I125" s="64" t="b">
        <v>1</v>
      </c>
      <c r="J125" s="66" t="s">
        <v>3458</v>
      </c>
      <c r="K125" s="66" t="s">
        <v>3960</v>
      </c>
      <c r="L125" s="64" t="s">
        <v>4424</v>
      </c>
      <c r="M125" s="64" t="s">
        <v>5825</v>
      </c>
      <c r="N125" s="65" t="str">
        <f t="shared" si="12"/>
        <v>[Fegraus,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href="https://doi.org/10.1016/j.ecoinf.2011.06.003"&gt;{https://doi.org/10.1016/j.ecoinf.2011.06.003}]{#fegraus_et_al_2011}&lt;br&gt;&lt;br&gt;</v>
      </c>
      <c r="O125" s="64" t="s">
        <v>3457</v>
      </c>
      <c r="P125" s="64" t="s">
        <v>984</v>
      </c>
      <c r="Q125" s="64" t="str">
        <f t="shared" si="8"/>
        <v>{{ rtxt_fegraus_et_al_2011 }}</v>
      </c>
      <c r="R125" s="64" t="str">
        <f t="shared" si="9"/>
        <v>{{ rbib_fegraus_et_al_2011 }}</v>
      </c>
      <c r="S125" s="63" t="str">
        <f t="shared" si="13"/>
        <v>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target="_blank"&gt;https://doi.org/10.1016/j.ecoinf.2011.06.003&lt;/a&gt;&lt;span style="color:white"&gt;[.]{#fegraus_et_al_2011}&lt;/span&gt;&lt;br&gt;&lt;br&gt;</v>
      </c>
      <c r="T125" s="64" t="str">
        <f t="shared" si="11"/>
        <v xml:space="preserve">    rtxt_fegraus_et_al_2011: "&lt;a href=\"/08_references.html#fegraus_et_al_2011\" target=\"_blank\"&gt;Fegraus et al., 2011&lt;/a&gt;"</v>
      </c>
      <c r="U125" s="64" t="str">
        <f t="shared" si="10"/>
        <v xml:space="preserve">    rbib_fegraus_et_al_2011: "Fegraus, E. H., Lin, K., Ahumada, J. A., Baru, C., Chandra, S., &amp; Youn, C. (2011). Data acquisition and management software for camera trap data: A case study from the TEAM Network. *Ecological Informatics, 6*(6), 345-353. &lt;https://doi.org/10.1016/j.ecoinf.2011.06.003&gt;"</v>
      </c>
      <c r="V125" s="64"/>
    </row>
    <row r="126" spans="1:22" ht="15.75">
      <c r="A126" s="64"/>
      <c r="B126" s="77" t="b">
        <v>1</v>
      </c>
      <c r="C126" s="77" t="b">
        <v>0</v>
      </c>
      <c r="D126" s="77" t="b">
        <v>0</v>
      </c>
      <c r="E126" s="64" t="s">
        <v>1904</v>
      </c>
      <c r="F126" s="64" t="s">
        <v>3456</v>
      </c>
      <c r="G126" s="64" t="s">
        <v>3455</v>
      </c>
      <c r="H126" s="64" t="s">
        <v>3454</v>
      </c>
      <c r="I126" s="64" t="b">
        <v>1</v>
      </c>
      <c r="J126" s="66" t="s">
        <v>3453</v>
      </c>
      <c r="K126" s="66" t="s">
        <v>3960</v>
      </c>
      <c r="L126" s="64" t="s">
        <v>4425</v>
      </c>
      <c r="M126" s="64" t="s">
        <v>5833</v>
      </c>
      <c r="N126" s="65" t="str">
        <f t="shared" si="12"/>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href="https://doi.org/10.1016/j.gecco.2022.e02104"&gt;{https://doi.org/10.1016/j.gecco.2022.e02104}]{#fennell_et_al_2022}&lt;br&gt;&lt;br&gt;</v>
      </c>
      <c r="O126" s="64" t="s">
        <v>3452</v>
      </c>
      <c r="P126" s="64" t="s">
        <v>984</v>
      </c>
      <c r="Q126" s="64" t="str">
        <f t="shared" si="8"/>
        <v>{{ rtxt_fennell_et_al_2022 }}</v>
      </c>
      <c r="R126" s="64" t="str">
        <f t="shared" si="9"/>
        <v>{{ rbib_fennell_et_al_2022 }}</v>
      </c>
      <c r="S126" s="63" t="str">
        <f t="shared" si="13"/>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target="_blank"&gt;https://doi.org/10.1016/j.gecco.2022.e02104&lt;/a&gt;&lt;span style="color:white"&gt;[.]{#fennell_et_al_2022}&lt;/span&gt;&lt;br&gt;&lt;br&gt;</v>
      </c>
      <c r="T126" s="64" t="str">
        <f t="shared" si="11"/>
        <v xml:space="preserve">    rtxt_fennell_et_al_2022: "&lt;a href=\"/08_references.html#fennell_et_al_2022\" target=\"_blank\"&gt;Fennell et al., 2022&lt;/a&gt;"</v>
      </c>
      <c r="U126" s="64" t="str">
        <f t="shared" si="10"/>
        <v xml:space="preserve">    rbib_fennell_et_al_2022: "Fennell,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v>
      </c>
      <c r="V126" s="64"/>
    </row>
    <row r="127" spans="1:22" ht="15.75">
      <c r="E127" s="64" t="s">
        <v>1945</v>
      </c>
      <c r="F127" s="109" t="s">
        <v>5297</v>
      </c>
      <c r="G127" s="63" t="s">
        <v>5299</v>
      </c>
      <c r="I127" s="64" t="b">
        <v>1</v>
      </c>
      <c r="J127" s="66" t="s">
        <v>5298</v>
      </c>
      <c r="K127" s="66" t="s">
        <v>3960</v>
      </c>
      <c r="L127" s="110" t="s">
        <v>5675</v>
      </c>
      <c r="M127" s="110" t="s">
        <v>6140</v>
      </c>
      <c r="N127" s="65" t="str">
        <f t="shared" si="12"/>
        <v>[Ferguson, L. (2021, Apr 27). &lt;i&gt;Dispersal &amp; Animal Home Range.&lt;/i&gt;  [Video]. YouTube. &lt;a target="_blank" href="https://www.youtube.com/watch?v=7447x_f-now"&gt;{https://www.youtube.com/watch?v=7447x_f-now}]{#ferguson_2021}&lt;br&gt;&lt;br&gt;</v>
      </c>
      <c r="O127" s="63" t="s">
        <v>5671</v>
      </c>
      <c r="P127" s="102" t="s">
        <v>5307</v>
      </c>
      <c r="Q127" s="64" t="str">
        <f t="shared" si="8"/>
        <v>{{ rtxt_ferguson_2021 }}</v>
      </c>
      <c r="R127" s="64" t="str">
        <f t="shared" si="9"/>
        <v>{{ rbib_ferguson_2021 }}</v>
      </c>
      <c r="S127" s="63" t="str">
        <f t="shared" si="13"/>
        <v>Ferguson, L. (2021, Apr 27). &lt;i&gt;Dispersal &amp; Animal Home Range.&lt;/i&gt;  [Video]. YouTube. &lt;a href="https://www.youtube.com/watch?v=7447x_f-now" target="_blank"&gt;https://www.youtube.com/watch?v=7447x_f-now&lt;/a&gt;&lt;span style="color:white"&gt;[.]{#ferguson_2021}&lt;/span&gt;&lt;br&gt;&lt;br&gt;</v>
      </c>
      <c r="T127" s="64" t="str">
        <f t="shared" si="11"/>
        <v xml:space="preserve">    rtxt_ferguson_2021: "&lt;a href=\"/08_references.html#ferguson_2021\" target=\"_blank\"&gt;Ferguson, 2021&lt;/a&gt;"</v>
      </c>
      <c r="U127" s="64" t="str">
        <f t="shared" si="10"/>
        <v xml:space="preserve">    rbib_ferguson_2021: "Ferguson, L. (2021, Apr 27). *Dispersal &amp; Animal Home Range.*  [Video]. YouTube. &lt;https://www.youtube.com/watch?v=7447x_f-now&gt;"</v>
      </c>
    </row>
    <row r="128" spans="1:22" ht="15.75">
      <c r="A128" s="64"/>
      <c r="B128" s="77" t="b">
        <v>0</v>
      </c>
      <c r="C128" s="77" t="b">
        <v>0</v>
      </c>
      <c r="D128" s="77" t="b">
        <v>1</v>
      </c>
      <c r="E128" s="64" t="s">
        <v>1904</v>
      </c>
      <c r="F128" s="64" t="s">
        <v>3451</v>
      </c>
      <c r="G128" s="64" t="s">
        <v>3450</v>
      </c>
      <c r="H128" s="64" t="s">
        <v>3450</v>
      </c>
      <c r="I128" s="64" t="b">
        <v>1</v>
      </c>
      <c r="J128" s="66" t="s">
        <v>3449</v>
      </c>
      <c r="K128" s="66" t="s">
        <v>3960</v>
      </c>
      <c r="L128" s="64" t="s">
        <v>4426</v>
      </c>
      <c r="M128" s="64" t="s">
        <v>5803</v>
      </c>
      <c r="N128" s="65" t="str">
        <f t="shared" si="12"/>
        <v>[Ferreira-Rodríguez, N., &amp; Pombal, M. A. (2019). Bait effectiveness in camera trap studies in the Iberian Peninsula. &lt;i&gt;Mammal Research, 64&lt;/i&gt;(2), 155-164. &lt;a target="_blank" href="https://doi.org/10.1007/s13364-018-00414-1"&gt;{https://doi.org/10.1007/s13364-018-00414-1}]{#ferreira_rodriguez_et_al_2019}&lt;br&gt;&lt;br&gt;</v>
      </c>
      <c r="O128" s="64" t="s">
        <v>3448</v>
      </c>
      <c r="P128" s="64" t="s">
        <v>984</v>
      </c>
      <c r="Q128" s="64" t="str">
        <f t="shared" si="8"/>
        <v>{{ rtxt_ferreira_rodriguez_et_al_2019 }}</v>
      </c>
      <c r="R128" s="64" t="str">
        <f t="shared" si="9"/>
        <v>{{ rbib_ferreira_rodriguez_et_al_2019 }}</v>
      </c>
      <c r="S128" s="63" t="str">
        <f t="shared" si="13"/>
        <v>Ferreira-Rodríguez, N., &amp; Pombal, M. A. (2019). Bait effectiveness in camera trap studies in the Iberian Peninsula. &lt;i&gt;Mammal Research, 64&lt;/i&gt;(2), 155-164. &lt;a href="https://doi.org/10.1007/s13364-018-00414-1" target="_blank"&gt;https://doi.org/10.1007/s13364-018-00414-1&lt;/a&gt;&lt;span style="color:white"&gt;[.]{#ferreira_rodriguez_et_al_2019}&lt;/span&gt;&lt;br&gt;&lt;br&gt;</v>
      </c>
      <c r="T128" s="64" t="str">
        <f t="shared" si="11"/>
        <v xml:space="preserve">    rtxt_ferreira_rodriguez_et_al_2019: "&lt;a href=\"/08_references.html#ferreira_rodriguez_et_al_2019\" target=\"_blank\"&gt;Ferreira-Rodríguez et al., 2019&lt;/a&gt;"</v>
      </c>
      <c r="U128" s="64" t="str">
        <f t="shared" si="10"/>
        <v xml:space="preserve">    rbib_ferreira_rodriguez_et_al_2019: "Ferreira-Rodríguez, N., &amp; Pombal, M. A. (2019). Bait effectiveness in camera trap studies in the Iberian Peninsula. *Mammal Research, 64*(2), 155-164. &lt;https://doi.org/10.1007/s13364-018-00414-1&gt;"</v>
      </c>
      <c r="V128" s="64"/>
    </row>
    <row r="129" spans="1:22" ht="15.75">
      <c r="A129" s="64"/>
      <c r="B129" s="77"/>
      <c r="C129" s="77"/>
      <c r="D129" s="77"/>
      <c r="E129" s="64" t="s">
        <v>1950</v>
      </c>
      <c r="F129" s="64" t="s">
        <v>3447</v>
      </c>
      <c r="G129" s="64" t="s">
        <v>3446</v>
      </c>
      <c r="H129" s="64"/>
      <c r="I129" s="64" t="b">
        <v>1</v>
      </c>
      <c r="J129" s="66" t="s">
        <v>3445</v>
      </c>
      <c r="K129" s="66" t="s">
        <v>3960</v>
      </c>
      <c r="L129" s="64" t="s">
        <v>4427</v>
      </c>
      <c r="M129" s="64" t="s">
        <v>6047</v>
      </c>
      <c r="N129" s="65" t="str">
        <f t="shared" si="12"/>
        <v>[Fidino, M. (2021a) &lt;i&gt;multi-state-occupancy-models.&lt;/i&gt; &lt;a target="_blank" href="https://github.com/mfidino/integrated-occupancy-model"&gt;{https://github.com/mfidino/integrated-occupancy-model}]{#fidino_2021a}&lt;br&gt;&lt;br&gt;</v>
      </c>
      <c r="O129" s="64" t="s">
        <v>3437</v>
      </c>
      <c r="P129" s="64" t="s">
        <v>984</v>
      </c>
      <c r="Q129" s="64" t="str">
        <f t="shared" si="8"/>
        <v>{{ rtxt_fidino_2021a }}</v>
      </c>
      <c r="R129" s="64" t="str">
        <f t="shared" si="9"/>
        <v>{{ rbib_fidino_2021a }}</v>
      </c>
      <c r="S129" s="63" t="str">
        <f t="shared" si="13"/>
        <v>Fidino, M. (2021a) &lt;i&gt;multi-state-occupancy-models.&lt;/i&gt; &lt;a href="https://github.com/mfidino/integrated-occupancy-model" target="_blank"&gt;https://github.com/mfidino/integrated-occupancy-model&lt;/a&gt;&lt;span style="color:white"&gt;[.]{#fidino_2021a}&lt;/span&gt;&lt;br&gt;&lt;br&gt;</v>
      </c>
      <c r="T129" s="64" t="str">
        <f t="shared" si="11"/>
        <v xml:space="preserve">    rtxt_fidino_2021a: "&lt;a href=\"/08_references.html#fidino_2021a\" target=\"_blank\"&gt;Fidino, 2021a&lt;/a&gt;"</v>
      </c>
      <c r="U129" s="64" t="str">
        <f t="shared" si="10"/>
        <v xml:space="preserve">    rbib_fidino_2021a: "Fidino, M. (2021a) *multi-state-occupancy-models.* &lt;https://github.com/mfidino/integrated-occupancy-model&gt;"</v>
      </c>
      <c r="V129" s="64"/>
    </row>
    <row r="130" spans="1:22" ht="15.75">
      <c r="A130" s="64"/>
      <c r="B130" s="77"/>
      <c r="C130" s="77"/>
      <c r="D130" s="77"/>
      <c r="E130" s="64" t="s">
        <v>1950</v>
      </c>
      <c r="F130" s="64" t="s">
        <v>3444</v>
      </c>
      <c r="G130" s="64" t="s">
        <v>3443</v>
      </c>
      <c r="H130" s="64"/>
      <c r="I130" s="64" t="b">
        <v>1</v>
      </c>
      <c r="J130" s="71" t="s">
        <v>3442</v>
      </c>
      <c r="K130" s="66" t="s">
        <v>3960</v>
      </c>
      <c r="L130" s="64" t="s">
        <v>4428</v>
      </c>
      <c r="M130" s="64" t="s">
        <v>6063</v>
      </c>
      <c r="N130" s="65" t="str">
        <f t="shared" si="12"/>
        <v>[Fidino, M. (2021b) &lt;i&gt;A gentle introduction to an integrated occupancy model that combines presence-only and detection/non-detection data, and how to fit it in JAGS&lt;/i&gt; &lt;a target="_blank" href="https://masonfidino.com/bayesian_integrated_model"&gt;{https://masonfidino.com/bayesian_integrated_model}]{#fidino_2021b}&lt;br&gt;&lt;br&gt;</v>
      </c>
      <c r="O130" s="64" t="s">
        <v>3441</v>
      </c>
      <c r="P130" s="64" t="s">
        <v>984</v>
      </c>
      <c r="Q130" s="64" t="str">
        <f t="shared" ref="Q130:Q193" si="14">"{{ rtxt_"&amp;F130&amp;" }}"</f>
        <v>{{ rtxt_fidino_2021b }}</v>
      </c>
      <c r="R130" s="64" t="str">
        <f t="shared" ref="R130:R193" si="15">"{{ rbib_"&amp;F130&amp;" }}"</f>
        <v>{{ rbib_fidino_2021b }}</v>
      </c>
      <c r="S130" s="63" t="str">
        <f t="shared" si="13"/>
        <v>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target="_blank"&gt;https://masonfidino.com/bayesian_integrated_model&lt;/a&gt;&lt;span style="color:white"&gt;[.]{#fidino_2021b}&lt;/span&gt;&lt;br&gt;&lt;br&gt;</v>
      </c>
      <c r="T130" s="64" t="str">
        <f t="shared" si="11"/>
        <v xml:space="preserve">    rtxt_fidino_2021b: "&lt;a href=\"/08_references.html#fidino_2021b\" target=\"_blank\"&gt;Fidino, 2021b&lt;/a&gt;"</v>
      </c>
      <c r="U130" s="64" t="str">
        <f t="shared" ref="U130:U193" si="16">"    rbib_"&amp;F130&amp;": "&amp;""""&amp;J130&amp;""""</f>
        <v xml:space="preserve">    rbib_fidino_2021b: "Fidino, M. (2021b) *A gentle introduction to an integrated occupancy model that combines presence-only and detection/non-detection data, and how to fit it in JAGS* &lt;https://masonfidino.com/bayesian_integrated_model&gt;"</v>
      </c>
      <c r="V130" s="64"/>
    </row>
    <row r="131" spans="1:22" ht="15.75">
      <c r="A131" s="64"/>
      <c r="B131" s="77"/>
      <c r="C131" s="77"/>
      <c r="D131" s="77"/>
      <c r="E131" s="64" t="s">
        <v>1950</v>
      </c>
      <c r="F131" s="64" t="s">
        <v>3440</v>
      </c>
      <c r="G131" s="64" t="s">
        <v>3439</v>
      </c>
      <c r="H131" s="64"/>
      <c r="I131" s="64" t="b">
        <v>1</v>
      </c>
      <c r="J131" s="71" t="s">
        <v>3438</v>
      </c>
      <c r="K131" s="66" t="s">
        <v>3960</v>
      </c>
      <c r="L131" s="64" t="s">
        <v>4429</v>
      </c>
      <c r="M131" s="64" t="s">
        <v>6048</v>
      </c>
      <c r="N131" s="65" t="str">
        <f t="shared" si="12"/>
        <v>[Fidino, M. (2021c) &lt;i&gt;integrated-occupancy-models&lt;/i&gt; &lt;a target="_blank" href="https://github.com/mfidino/integrated-occupancy-model"&gt;{https://github.com/mfidino/integrated-occupancy-model}]{#fidino_2021c}&lt;br&gt;&lt;br&gt;</v>
      </c>
      <c r="O131" s="64" t="s">
        <v>3437</v>
      </c>
      <c r="P131" s="64" t="s">
        <v>984</v>
      </c>
      <c r="Q131" s="64" t="str">
        <f t="shared" si="14"/>
        <v>{{ rtxt_fidino_2021c }}</v>
      </c>
      <c r="R131" s="64" t="str">
        <f t="shared" si="15"/>
        <v>{{ rbib_fidino_2021c }}</v>
      </c>
      <c r="S131" s="63" t="str">
        <f t="shared" si="13"/>
        <v>Fidino, M. (2021c) &lt;i&gt;integrated-occupancy-models&lt;/i&gt; &lt;a href="https://github.com/mfidino/integrated-occupancy-model" target="_blank"&gt;https://github.com/mfidino/integrated-occupancy-model&lt;/a&gt;&lt;span style="color:white"&gt;[.]{#fidino_2021c}&lt;/span&gt;&lt;br&gt;&lt;br&gt;</v>
      </c>
      <c r="T131" s="64" t="str">
        <f t="shared" ref="T131:T194" si="17">"    rtxt_"&amp;F131&amp;": "&amp;""""&amp;"&lt;a href=\"&amp;""""&amp;"/08_references.html#"&amp;F131&amp;"\"&amp;""""&amp;" target=\"&amp;""""&amp;"_blank\"&amp;""""&amp;"&gt;"&amp;G131&amp;"&lt;/a&gt;"&amp;""""</f>
        <v xml:space="preserve">    rtxt_fidino_2021c: "&lt;a href=\"/08_references.html#fidino_2021c\" target=\"_blank\"&gt;Fidino, 2021c&lt;/a&gt;"</v>
      </c>
      <c r="U131" s="64" t="str">
        <f t="shared" si="16"/>
        <v xml:space="preserve">    rbib_fidino_2021c: "Fidino, M. (2021c) *integrated-occupancy-models* &lt;https://github.com/mfidino/integrated-occupancy-model&gt;"</v>
      </c>
      <c r="V131" s="64"/>
    </row>
    <row r="132" spans="1:22" ht="15.75">
      <c r="A132" s="64"/>
      <c r="B132" s="77"/>
      <c r="C132" s="77"/>
      <c r="D132" s="77"/>
      <c r="E132" s="64" t="s">
        <v>1950</v>
      </c>
      <c r="F132" s="64" t="s">
        <v>3436</v>
      </c>
      <c r="G132" s="64" t="s">
        <v>3435</v>
      </c>
      <c r="H132" s="64"/>
      <c r="I132" s="64" t="b">
        <v>1</v>
      </c>
      <c r="J132" s="71" t="s">
        <v>3434</v>
      </c>
      <c r="K132" s="66" t="s">
        <v>3960</v>
      </c>
      <c r="L132" s="64" t="s">
        <v>4430</v>
      </c>
      <c r="M132" s="64" t="s">
        <v>6062</v>
      </c>
      <c r="N132" s="65" t="str">
        <f t="shared" si="12"/>
        <v>[Fidino, M. (2021d) &lt;i&gt;So, you don't have enough data to fit a dynamic occupancy model? An introduction to auto-logistic occupancy models.&lt;/i&gt; &lt;a target="_blank" href="https://masonfidino.com/autologistic_occupancy_model"&gt;{https://masonfidino.com/autologistic_occupancy_model}]{#fidino_2021d}&lt;br&gt;&lt;br&gt;</v>
      </c>
      <c r="O132" s="64" t="s">
        <v>3433</v>
      </c>
      <c r="P132" s="64" t="s">
        <v>984</v>
      </c>
      <c r="Q132" s="64" t="str">
        <f t="shared" si="14"/>
        <v>{{ rtxt_fidino_2021d }}</v>
      </c>
      <c r="R132" s="64" t="str">
        <f t="shared" si="15"/>
        <v>{{ rbib_fidino_2021d }}</v>
      </c>
      <c r="S132" s="63" t="str">
        <f t="shared" si="13"/>
        <v>Fidino, M. (2021d) &lt;i&gt;So, you don't have enough data to fit a dynamic occupancy model? An introduction to auto-logistic occupancy models.&lt;/i&gt; &lt;a href="https://masonfidino.com/autologistic_occupancy_model" target="_blank"&gt;https://masonfidino.com/autologistic_occupancy_model&lt;/a&gt;&lt;span style="color:white"&gt;[.]{#fidino_2021d}&lt;/span&gt;&lt;br&gt;&lt;br&gt;</v>
      </c>
      <c r="T132" s="64" t="str">
        <f t="shared" si="17"/>
        <v xml:space="preserve">    rtxt_fidino_2021d: "&lt;a href=\"/08_references.html#fidino_2021d\" target=\"_blank\"&gt;Fidino, 2021d&lt;/a&gt;"</v>
      </c>
      <c r="U132" s="64" t="str">
        <f t="shared" si="16"/>
        <v xml:space="preserve">    rbib_fidino_2021d: "Fidino, M. (2021d) *So, you don't have enough data to fit a dynamic occupancy model? An introduction to auto-logistic occupancy models.* &lt;https://masonfidino.com/autologistic_occupancy_model&gt;"</v>
      </c>
      <c r="V132" s="64"/>
    </row>
    <row r="133" spans="1:22" ht="15.75">
      <c r="A133" s="64"/>
      <c r="B133" s="77"/>
      <c r="C133" s="77"/>
      <c r="D133" s="77"/>
      <c r="E133" s="64" t="s">
        <v>1950</v>
      </c>
      <c r="F133" s="64" t="s">
        <v>3432</v>
      </c>
      <c r="G133" s="64" t="s">
        <v>3431</v>
      </c>
      <c r="H133" s="64"/>
      <c r="I133" s="64" t="b">
        <v>1</v>
      </c>
      <c r="J133" s="66" t="s">
        <v>3430</v>
      </c>
      <c r="K133" s="66" t="s">
        <v>3960</v>
      </c>
      <c r="L133" s="64" t="s">
        <v>4431</v>
      </c>
      <c r="M133" s="64" t="s">
        <v>6045</v>
      </c>
      <c r="N133" s="65" t="str">
        <f t="shared" ref="N133:N196" si="18">"["&amp;L133&amp;"]{#"&amp;F133&amp;"}&lt;br&gt;&lt;br&gt;"</f>
        <v>[Fidino, M. (2021e) &lt;i&gt;auto-logistic-occupancy.&lt;/i&gt; &lt;a target="_blank" href="https://github.com/mfidino/auto-logistic-occupancy"&gt;{https://github.com/mfidino/auto-logistic-occupancy}]{#fidino_2021e}&lt;br&gt;&lt;br&gt;</v>
      </c>
      <c r="O133" s="64" t="s">
        <v>3429</v>
      </c>
      <c r="P133" s="64" t="s">
        <v>984</v>
      </c>
      <c r="Q133" s="64" t="str">
        <f t="shared" si="14"/>
        <v>{{ rtxt_fidino_2021e }}</v>
      </c>
      <c r="R133" s="64" t="str">
        <f t="shared" si="15"/>
        <v>{{ rbib_fidino_2021e }}</v>
      </c>
      <c r="S133" s="63" t="str">
        <f t="shared" si="13"/>
        <v>Fidino, M. (2021e) &lt;i&gt;auto-logistic-occupancy.&lt;/i&gt; &lt;a href="https://github.com/mfidino/auto-logistic-occupancy" target="_blank"&gt;https://github.com/mfidino/auto-logistic-occupancy&lt;/a&gt;&lt;span style="color:white"&gt;[.]{#fidino_2021e}&lt;/span&gt;&lt;br&gt;&lt;br&gt;</v>
      </c>
      <c r="T133" s="64" t="str">
        <f t="shared" si="17"/>
        <v xml:space="preserve">    rtxt_fidino_2021e: "&lt;a href=\"/08_references.html#fidino_2021e\" target=\"_blank\"&gt;Fidino, 2021e&lt;/a&gt;"</v>
      </c>
      <c r="U133" s="64" t="str">
        <f t="shared" si="16"/>
        <v xml:space="preserve">    rbib_fidino_2021e: "Fidino, M. (2021e) *auto-logistic-occupancy.* &lt;https://github.com/mfidino/auto-logistic-occupancy&gt;"</v>
      </c>
      <c r="V133" s="64"/>
    </row>
    <row r="134" spans="1:22" ht="15.75">
      <c r="A134" s="64"/>
      <c r="B134" s="77"/>
      <c r="C134" s="77"/>
      <c r="D134" s="77"/>
      <c r="E134" s="64" t="s">
        <v>2246</v>
      </c>
      <c r="F134" s="64" t="s">
        <v>3428</v>
      </c>
      <c r="G134" s="64" t="s">
        <v>3427</v>
      </c>
      <c r="H134" s="64"/>
      <c r="I134" s="64" t="b">
        <v>1</v>
      </c>
      <c r="J134" s="66" t="s">
        <v>3426</v>
      </c>
      <c r="K134" s="66" t="s">
        <v>3960</v>
      </c>
      <c r="L134" s="64" t="s">
        <v>4432</v>
      </c>
      <c r="M134" s="64" t="s">
        <v>6064</v>
      </c>
      <c r="N134" s="65" t="str">
        <f t="shared" si="18"/>
        <v>[Fidino, M. (2021F) &lt;i&gt;Using the mgcvmgcv package to create a generalized additive occupancy model in R.&lt;/i&gt; &lt;a target="_blank" href="https://masonfidino.com/generalized_additive_occupancy_model"&gt;{https://masonfidino.com/generalized_additive_occupancy_model}]{#fidino_2021f}&lt;br&gt;&lt;br&gt;</v>
      </c>
      <c r="O134" s="64" t="s">
        <v>3425</v>
      </c>
      <c r="P134" s="64" t="s">
        <v>984</v>
      </c>
      <c r="Q134" s="64" t="str">
        <f t="shared" si="14"/>
        <v>{{ rtxt_fidino_2021f }}</v>
      </c>
      <c r="R134" s="64" t="str">
        <f t="shared" si="15"/>
        <v>{{ rbib_fidino_2021f }}</v>
      </c>
      <c r="S134" s="63" t="str">
        <f t="shared" si="13"/>
        <v>Fidino, M. (2021F) &lt;i&gt;Using the mgcvmgcv package to create a generalized additive occupancy model in R.&lt;/i&gt; &lt;a href="https://masonfidino.com/generalized_additive_occupancy_model" target="_blank"&gt;https://masonfidino.com/generalized_additive_occupancy_model&lt;/a&gt;&lt;span style="color:white"&gt;[.]{#fidino_2021f}&lt;/span&gt;&lt;br&gt;&lt;br&gt;</v>
      </c>
      <c r="T134" s="64" t="str">
        <f t="shared" si="17"/>
        <v xml:space="preserve">    rtxt_fidino_2021f: "&lt;a href=\"/08_references.html#fidino_2021f\" target=\"_blank\"&gt;Fidino, 2021f&lt;/a&gt;"</v>
      </c>
      <c r="U134" s="64" t="str">
        <f t="shared" si="16"/>
        <v xml:space="preserve">    rbib_fidino_2021f: "Fidino, M. (2021F) *Using the mgcvmgcv package to create a generalized additive occupancy model in R.* &lt;https://masonfidino.com/generalized_additive_occupancy_model&gt;"</v>
      </c>
      <c r="V134" s="64"/>
    </row>
    <row r="135" spans="1:22" ht="15.75">
      <c r="A135" s="64"/>
      <c r="B135" s="77"/>
      <c r="C135" s="77"/>
      <c r="D135" s="77"/>
      <c r="E135" s="64" t="s">
        <v>2246</v>
      </c>
      <c r="F135" s="64" t="s">
        <v>3424</v>
      </c>
      <c r="G135" s="64" t="s">
        <v>3423</v>
      </c>
      <c r="H135" s="64"/>
      <c r="I135" s="64" t="b">
        <v>1</v>
      </c>
      <c r="J135" s="66" t="s">
        <v>3422</v>
      </c>
      <c r="K135" s="66" t="s">
        <v>3960</v>
      </c>
      <c r="L135" s="64" t="s">
        <v>4433</v>
      </c>
      <c r="M135" s="64" t="s">
        <v>6046</v>
      </c>
      <c r="N135" s="65" t="str">
        <f t="shared" si="18"/>
        <v>[Fidino, M. (2023) &lt;i&gt;autoOcc: An R package for fitting autologistic occupancy models.&lt;/i&gt; R package version 0.1.1, &lt;a target="_blank" href="https://github.com/mfidino/autoOcc"&gt;{https://github.com/mfidino/autoOcc}]{#fidino_2023}&lt;br&gt;&lt;br&gt;</v>
      </c>
      <c r="O135" s="64" t="s">
        <v>3421</v>
      </c>
      <c r="P135" s="64" t="s">
        <v>984</v>
      </c>
      <c r="Q135" s="64" t="str">
        <f t="shared" si="14"/>
        <v>{{ rtxt_fidino_2023 }}</v>
      </c>
      <c r="R135" s="64" t="str">
        <f t="shared" si="15"/>
        <v>{{ rbib_fidino_2023 }}</v>
      </c>
      <c r="S135" s="63" t="str">
        <f t="shared" si="13"/>
        <v>Fidino, M. (2023) &lt;i&gt;autoOcc: An R package for fitting autologistic occupancy models.&lt;/i&gt; R package version 0.1.1, &lt;a href="https://github.com/mfidino/autoOcc" target="_blank"&gt;https://github.com/mfidino/autoOcc&lt;/a&gt;&lt;span style="color:white"&gt;[.]{#fidino_2023}&lt;/span&gt;&lt;br&gt;&lt;br&gt;</v>
      </c>
      <c r="T135" s="64" t="str">
        <f t="shared" si="17"/>
        <v xml:space="preserve">    rtxt_fidino_2023: "&lt;a href=\"/08_references.html#fidino_2023\" target=\"_blank\"&gt;Fidino, 2023&lt;/a&gt;"</v>
      </c>
      <c r="U135" s="64" t="str">
        <f t="shared" si="16"/>
        <v xml:space="preserve">    rbib_fidino_2023: "Fidino, M. (2023) *autoOcc: An R package for fitting autologistic occupancy models.* R package version 0.1.1, &lt;https://github.com/mfidino/autoOcc&gt;"</v>
      </c>
      <c r="V135" s="64"/>
    </row>
    <row r="136" spans="1:22" ht="15.75">
      <c r="A136" s="64"/>
      <c r="B136" s="77"/>
      <c r="C136" s="77"/>
      <c r="D136" s="77"/>
      <c r="E136" s="64" t="s">
        <v>1904</v>
      </c>
      <c r="F136" s="64" t="s">
        <v>3416</v>
      </c>
      <c r="G136" s="70" t="s">
        <v>3415</v>
      </c>
      <c r="H136" s="64"/>
      <c r="I136" s="64" t="b">
        <v>1</v>
      </c>
      <c r="J136" s="69" t="s">
        <v>3414</v>
      </c>
      <c r="K136" s="66" t="s">
        <v>3960</v>
      </c>
      <c r="L136" s="64" t="s">
        <v>4434</v>
      </c>
      <c r="M136" s="64" t="s">
        <v>5735</v>
      </c>
      <c r="N136" s="65" t="str">
        <f t="shared" si="18"/>
        <v>[Fidino, M., &amp; Magle, S. B. (2017). Using Fourier series to predict periodic patterns in dynamic occupancy models. &lt;i&gt;Ecosphere,8&lt;/i&gt;(9) , e01944. &lt;a target="_blank" href="https://doi.org/10.1002/ecs2.1944"&gt;{https://doi.org/10.1002/ecs2.1944}]{#fidino_magle_2017}&lt;br&gt;&lt;br&gt;</v>
      </c>
      <c r="O136" s="64" t="s">
        <v>3413</v>
      </c>
      <c r="P136" s="64" t="s">
        <v>984</v>
      </c>
      <c r="Q136" s="64" t="str">
        <f t="shared" si="14"/>
        <v>{{ rtxt_fidino_magle_2017 }}</v>
      </c>
      <c r="R136" s="64" t="str">
        <f t="shared" si="15"/>
        <v>{{ rbib_fidino_magle_2017 }}</v>
      </c>
      <c r="S136" s="63" t="str">
        <f t="shared" si="13"/>
        <v>Fidino, M., &amp; Magle, S. B. (2017). Using Fourier series to predict periodic patterns in dynamic occupancy models. &lt;i&gt;Ecosphere,8&lt;/i&gt;(9) , e01944. &lt;a href="https://doi.org/10.1002/ecs2.1944" target="_blank"&gt;https://doi.org/10.1002/ecs2.1944&lt;/a&gt;&lt;span style="color:white"&gt;[.]{#fidino_magle_2017}&lt;/span&gt;&lt;br&gt;&lt;br&gt;</v>
      </c>
      <c r="T136" s="64" t="str">
        <f t="shared" si="17"/>
        <v xml:space="preserve">    rtxt_fidino_magle_2017: "&lt;a href=\"/08_references.html#fidino_magle_2017\" target=\"_blank\"&gt;Fidino &amp; Magle, 2017&lt;/a&gt;"</v>
      </c>
      <c r="U136" s="64" t="str">
        <f t="shared" si="16"/>
        <v xml:space="preserve">    rbib_fidino_magle_2017: "Fidino, M., &amp; Magle, S. B. (2017). Using Fourier series to predict periodic patterns in dynamic occupancy models. *Ecosphere, 8*(9) , e01944. &lt;https://doi.org/10.1002/ecs2.1944&gt;"</v>
      </c>
      <c r="V136" s="64"/>
    </row>
    <row r="137" spans="1:22" ht="15.75">
      <c r="A137" s="64"/>
      <c r="B137" s="77" t="b">
        <v>0</v>
      </c>
      <c r="C137" s="77" t="b">
        <v>0</v>
      </c>
      <c r="D137" s="77" t="b">
        <v>1</v>
      </c>
      <c r="E137" s="64" t="s">
        <v>1904</v>
      </c>
      <c r="F137" s="64" t="s">
        <v>3420</v>
      </c>
      <c r="G137" s="64" t="s">
        <v>3419</v>
      </c>
      <c r="H137" s="64" t="s">
        <v>3419</v>
      </c>
      <c r="I137" s="64" t="b">
        <v>1</v>
      </c>
      <c r="J137" s="66" t="s">
        <v>3418</v>
      </c>
      <c r="K137" s="66" t="s">
        <v>3960</v>
      </c>
      <c r="L137" s="64" t="s">
        <v>4435</v>
      </c>
      <c r="M137" s="64" t="s">
        <v>5771</v>
      </c>
      <c r="N137" s="65" t="str">
        <f t="shared" si="18"/>
        <v>[Fidino, M., Barnas, G. R., Lehrer, E. W., Murray, M. H., &amp; Magle, S. B. (2020). Effect of Lure on Detecting Mammals with Camera Traps. &lt;i&gt;Wildlife Society Bulletin&lt;/i&gt;. &lt;a target="_blank" href="https://doi.org/10.1002/wsb.1122"&gt;{https://doi.org/10.1002/wsb.1122}]{#fidino_et_al_2020}&lt;br&gt;&lt;br&gt;</v>
      </c>
      <c r="O137" s="64" t="s">
        <v>3417</v>
      </c>
      <c r="P137" s="64" t="s">
        <v>984</v>
      </c>
      <c r="Q137" s="64" t="str">
        <f t="shared" si="14"/>
        <v>{{ rtxt_fidino_et_al_2020 }}</v>
      </c>
      <c r="R137" s="64" t="str">
        <f t="shared" si="15"/>
        <v>{{ rbib_fidino_et_al_2020 }}</v>
      </c>
      <c r="S137" s="63" t="str">
        <f t="shared" si="13"/>
        <v>Fidino, M., Barnas, G. R., Lehrer, E. W., Murray, M. H., &amp; Magle, S. B. (2020). Effect of Lure on Detecting Mammals with Camera Traps. &lt;i&gt;Wildlife Society Bulletin&lt;/i&gt;. &lt;a href="https://doi.org/10.1002/wsb.1122" target="_blank"&gt;https://doi.org/10.1002/wsb.1122&lt;/a&gt;&lt;span style="color:white"&gt;[.]{#fidino_et_al_2020}&lt;/span&gt;&lt;br&gt;&lt;br&gt;</v>
      </c>
      <c r="T137" s="64" t="str">
        <f t="shared" si="17"/>
        <v xml:space="preserve">    rtxt_fidino_et_al_2020: "&lt;a href=\"/08_references.html#fidino_et_al_2020\" target=\"_blank\"&gt;Fidino et al., 2020&lt;/a&gt;"</v>
      </c>
      <c r="U137" s="64" t="str">
        <f t="shared" si="16"/>
        <v xml:space="preserve">    rbib_fidino_et_al_2020: "Fidino, M., Barnas, G. R., Lehrer, E. W., Murray, M. H., &amp; Magle, S. B. (2020). Effect of Lure on Detecting Mammals with Camera Traps. *Wildlife Society Bulletin*. &lt;https://doi.org/10.1002/wsb.1122&gt;"</v>
      </c>
      <c r="V137" s="64"/>
    </row>
    <row r="138" spans="1:22" ht="15.75">
      <c r="A138" s="64"/>
      <c r="B138" s="77" t="b">
        <v>1</v>
      </c>
      <c r="C138" s="77" t="b">
        <v>0</v>
      </c>
      <c r="D138" s="77" t="b">
        <v>0</v>
      </c>
      <c r="E138" s="64" t="s">
        <v>1904</v>
      </c>
      <c r="F138" s="64" t="s">
        <v>3412</v>
      </c>
      <c r="G138" s="64" t="s">
        <v>3411</v>
      </c>
      <c r="H138" s="64" t="s">
        <v>3410</v>
      </c>
      <c r="I138" s="64" t="b">
        <v>1</v>
      </c>
      <c r="J138" s="66" t="s">
        <v>3409</v>
      </c>
      <c r="K138" s="66" t="s">
        <v>3960</v>
      </c>
      <c r="L138" s="64" t="s">
        <v>4436</v>
      </c>
      <c r="M138" s="64" t="s">
        <v>5804</v>
      </c>
      <c r="N138" s="65" t="str">
        <f t="shared" si="18"/>
        <v>[Findlay,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href="https://doi.org/10.1007/s13364-020-00478-y"&gt;{https://doi.org/10.1007/s13364-020-00478-y}]{#findlay_et_al_2020}&lt;br&gt;&lt;br&gt;</v>
      </c>
      <c r="O138" s="64" t="s">
        <v>3408</v>
      </c>
      <c r="P138" s="64" t="s">
        <v>984</v>
      </c>
      <c r="Q138" s="64" t="str">
        <f t="shared" si="14"/>
        <v>{{ rtxt_findlay_et_al_2020 }}</v>
      </c>
      <c r="R138" s="64" t="str">
        <f t="shared" si="15"/>
        <v>{{ rbib_findlay_et_al_2020 }}</v>
      </c>
      <c r="S138" s="63" t="str">
        <f t="shared" si="13"/>
        <v>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target="_blank"&gt;https://doi.org/10.1007/s13364-020-00478-y&lt;/a&gt;&lt;span style="color:white"&gt;[.]{#findlay_et_al_2020}&lt;/span&gt;&lt;br&gt;&lt;br&gt;</v>
      </c>
      <c r="T138" s="64" t="str">
        <f t="shared" si="17"/>
        <v xml:space="preserve">    rtxt_findlay_et_al_2020: "&lt;a href=\"/08_references.html#findlay_et_al_2020\" target=\"_blank\"&gt;Findlay et al., 2020&lt;/a&gt;"</v>
      </c>
      <c r="U138" s="64" t="str">
        <f t="shared" si="16"/>
        <v xml:space="preserve">    rbib_findlay_et_al_2020: "Findlay, M. A., Briers, R. A., &amp; White, P. J. C. (2020). Component processes of detection probability in camera-trap studies: understanding the occurrence of false-negatives. *Mammal Research, 65*, 167-180. &lt;https://doi.org/10.1007/s13364-020-00478-y&gt;"</v>
      </c>
      <c r="V138" s="64"/>
    </row>
    <row r="139" spans="1:22" ht="15.75">
      <c r="A139" s="64"/>
      <c r="B139" s="77" t="b">
        <v>1</v>
      </c>
      <c r="C139" s="77" t="b">
        <v>1</v>
      </c>
      <c r="D139" s="77" t="b">
        <v>0</v>
      </c>
      <c r="E139" s="64" t="s">
        <v>1904</v>
      </c>
      <c r="F139" s="64" t="s">
        <v>3407</v>
      </c>
      <c r="G139" s="64" t="s">
        <v>3406</v>
      </c>
      <c r="H139" s="64" t="s">
        <v>3406</v>
      </c>
      <c r="I139" s="64" t="b">
        <v>1</v>
      </c>
      <c r="J139" s="66" t="s">
        <v>3405</v>
      </c>
      <c r="K139" s="66" t="s">
        <v>3960</v>
      </c>
      <c r="L139" s="64" t="s">
        <v>4437</v>
      </c>
      <c r="M139" s="64" t="s">
        <v>5717</v>
      </c>
      <c r="N139" s="65" t="str">
        <f t="shared" si="18"/>
        <v>[Fisher, J. T., &amp; Burton, C. (2012). &lt;i&gt;Monitoring Mammals in Alberta: Recommendations for Remote Camera Trapping&lt;/i&gt;. Alberta Innovates - Technology Futures &amp; Alberta Biodiversity Monitoring Institute. &lt;a target="_blank" href="https://doi.org/0.13140/RG.2.1.3944.3680"&gt;{https://doi.org/0.13140/RG.2.1.3944.3680}]{#fisher_burton_2012}&lt;br&gt;&lt;br&gt;</v>
      </c>
      <c r="O139" s="64" t="s">
        <v>3404</v>
      </c>
      <c r="P139" s="64" t="s">
        <v>984</v>
      </c>
      <c r="Q139" s="64" t="str">
        <f t="shared" si="14"/>
        <v>{{ rtxt_fisher_burton_2012 }}</v>
      </c>
      <c r="R139" s="64" t="str">
        <f t="shared" si="15"/>
        <v>{{ rbib_fisher_burton_2012 }}</v>
      </c>
      <c r="S139" s="63" t="str">
        <f t="shared" si="13"/>
        <v>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target="_blank"&gt;https://doi.org/0.13140/RG.2.1.3944.3680&lt;/a&gt;&lt;span style="color:white"&gt;[.]{#fisher_burton_2012}&lt;/span&gt;&lt;br&gt;&lt;br&gt;</v>
      </c>
      <c r="T139" s="64" t="str">
        <f t="shared" si="17"/>
        <v xml:space="preserve">    rtxt_fisher_burton_2012: "&lt;a href=\"/08_references.html#fisher_burton_2012\" target=\"_blank\"&gt;Fisher &amp; Burton, 2012&lt;/a&gt;"</v>
      </c>
      <c r="U139" s="64" t="str">
        <f t="shared" si="16"/>
        <v xml:space="preserve">    rbib_fisher_burton_2012: "Fisher, J. T., &amp; Burton, C. (2012). *Monitoring Mammals in Alberta: Recommendations for Remote Camera Trapping*. Alberta Innovates - Technology Futures &amp; Alberta Biodiversity Monitoring Institute. &lt;https://doi.org/0.13140/RG.2.1.3944.3680&gt;"</v>
      </c>
      <c r="V139" s="64"/>
    </row>
    <row r="140" spans="1:22" ht="15.75">
      <c r="A140" s="64"/>
      <c r="B140" s="77" t="b">
        <v>0</v>
      </c>
      <c r="C140" s="77" t="b">
        <v>0</v>
      </c>
      <c r="D140" s="77" t="b">
        <v>1</v>
      </c>
      <c r="E140" s="64" t="s">
        <v>1904</v>
      </c>
      <c r="F140" s="64" t="s">
        <v>3403</v>
      </c>
      <c r="G140" s="64" t="s">
        <v>3402</v>
      </c>
      <c r="H140" s="64" t="s">
        <v>3402</v>
      </c>
      <c r="I140" s="64" t="b">
        <v>1</v>
      </c>
      <c r="J140" s="66" t="s">
        <v>3401</v>
      </c>
      <c r="K140" s="66" t="s">
        <v>3960</v>
      </c>
      <c r="L140" s="64" t="s">
        <v>4438</v>
      </c>
      <c r="M140" s="64" t="s">
        <v>5728</v>
      </c>
      <c r="N140" s="65" t="str">
        <f t="shared" si="18"/>
        <v>[Fisher, J. T., Anholt, B., &amp; Volpe, J. P. (2011). Body Mass Explains Characteristic Scales of Habitat Selection in Terrestrial Mammals. &lt;i&gt;Ecology and Evolution&lt;i&gt;, &lt;i&gt;1&lt;/i&gt;(4), 517-528. &lt;a target="_blank" href="https://doi.org/10.1002/ece3.45"&gt;{https://doi.org/10.1002/ece3.45}]{#fisher_et_al_2011}&lt;br&gt;&lt;br&gt;</v>
      </c>
      <c r="O140" s="64" t="s">
        <v>3400</v>
      </c>
      <c r="P140" s="64" t="s">
        <v>984</v>
      </c>
      <c r="Q140" s="64" t="str">
        <f t="shared" si="14"/>
        <v>{{ rtxt_fisher_et_al_2011 }}</v>
      </c>
      <c r="R140" s="64" t="str">
        <f t="shared" si="15"/>
        <v>{{ rbib_fisher_et_al_2011 }}</v>
      </c>
      <c r="S140" s="63" t="str">
        <f t="shared" si="13"/>
        <v>Fisher, J. T., Anholt, B., &amp; Volpe, J. P. (2011). Body Mass Explains Characteristic Scales of Habitat Selection in Terrestrial Mammals. &lt;i&gt;Ecology and Evolution&lt;i&gt;, &lt;i&gt;1&lt;/i&gt;(4), 517-528. &lt;a href="https://doi.org/10.1002/ece3.45" target="_blank"&gt;https://doi.org/10.1002/ece3.45&lt;/a&gt;&lt;span style="color:white"&gt;[.]{#fisher_et_al_2011}&lt;/span&gt;&lt;br&gt;&lt;br&gt;</v>
      </c>
      <c r="T140" s="64" t="str">
        <f t="shared" si="17"/>
        <v xml:space="preserve">    rtxt_fisher_et_al_2011: "&lt;a href=\"/08_references.html#fisher_et_al_2011\" target=\"_blank\"&gt;Fisher et al., 2011&lt;/a&gt;"</v>
      </c>
      <c r="U140" s="64" t="str">
        <f t="shared" si="16"/>
        <v xml:space="preserve">    rbib_fisher_et_al_2011: "Fisher, J. T., Anholt, B., &amp; Volpe, J. P. (2011). Body Mass Explains Characteristic Scales of Habitat Selection in Terrestrial Mammals. *Ecology and Evolution, 1*(4), 517-528. &lt;https://doi.org/10.1002/ece3.45&gt;"</v>
      </c>
      <c r="V140" s="64"/>
    </row>
    <row r="141" spans="1:22" ht="15.75">
      <c r="A141" s="64"/>
      <c r="B141" s="77" t="b">
        <v>1</v>
      </c>
      <c r="C141" s="77" t="b">
        <v>1</v>
      </c>
      <c r="D141" s="77" t="b">
        <v>0</v>
      </c>
      <c r="E141" s="64" t="s">
        <v>1904</v>
      </c>
      <c r="F141" s="64" t="s">
        <v>3399</v>
      </c>
      <c r="G141" s="64" t="s">
        <v>3398</v>
      </c>
      <c r="H141" s="64" t="s">
        <v>3397</v>
      </c>
      <c r="I141" s="64" t="b">
        <v>1</v>
      </c>
      <c r="J141" s="66" t="s">
        <v>3396</v>
      </c>
      <c r="K141" s="66" t="s">
        <v>3960</v>
      </c>
      <c r="L141" s="64" t="s">
        <v>4439</v>
      </c>
      <c r="M141" s="64" t="s">
        <v>5908</v>
      </c>
      <c r="N141" s="65" t="str">
        <f t="shared" si="18"/>
        <v>[Fisher, J. T., Wheatley, M., &amp; Mackenzie, D. (2014). Spatial Patterns of Breeding Success of Grizzly Bears derived from Hierarchical Multistate Models. &lt;i&gt;Conservation Biology, 28&lt;/i&gt;(5), 1249-1259. &lt;a target="_blank" href="https://doi.org/10.1111/cobi.12302"&gt;{https://doi.org/10.1111/cobi.12302}]{#fisher_et_al_2014}&lt;br&gt;&lt;br&gt;</v>
      </c>
      <c r="O141" s="64" t="s">
        <v>3395</v>
      </c>
      <c r="P141" s="64" t="s">
        <v>984</v>
      </c>
      <c r="Q141" s="64" t="str">
        <f t="shared" si="14"/>
        <v>{{ rtxt_fisher_et_al_2014 }}</v>
      </c>
      <c r="R141" s="64" t="str">
        <f t="shared" si="15"/>
        <v>{{ rbib_fisher_et_al_2014 }}</v>
      </c>
      <c r="S141" s="63" t="str">
        <f t="shared" si="13"/>
        <v>Fisher, J. T., Wheatley, M., &amp; Mackenzie, D. (2014). Spatial Patterns of Breeding Success of Grizzly Bears derived from Hierarchical Multistate Models. &lt;i&gt;Conservation Biology, 28&lt;/i&gt;(5), 1249-1259. &lt;a href="https://doi.org/10.1111/cobi.12302" target="_blank"&gt;https://doi.org/10.1111/cobi.12302&lt;/a&gt;&lt;span style="color:white"&gt;[.]{#fisher_et_al_2014}&lt;/span&gt;&lt;br&gt;&lt;br&gt;</v>
      </c>
      <c r="T141" s="64" t="str">
        <f t="shared" si="17"/>
        <v xml:space="preserve">    rtxt_fisher_et_al_2014: "&lt;a href=\"/08_references.html#fisher_et_al_2014\" target=\"_blank\"&gt;Fisher et al., 2014&lt;/a&gt;"</v>
      </c>
      <c r="U141" s="64" t="str">
        <f t="shared" si="16"/>
        <v xml:space="preserve">    rbib_fisher_et_al_2014: "Fisher, J. T., Wheatley, M., &amp; Mackenzie, D. (2014). Spatial Patterns of Breeding Success of Grizzly Bears derived from Hierarchical Multistate Models. *Conservation Biology, 28*(5), 1249-1259. &lt;https://doi.org/10.1111/cobi.12302&gt;"</v>
      </c>
      <c r="V141" s="64"/>
    </row>
    <row r="142" spans="1:22" ht="15.75">
      <c r="A142" s="64"/>
      <c r="B142" s="77"/>
      <c r="C142" s="77"/>
      <c r="D142" s="77"/>
      <c r="E142" s="64" t="s">
        <v>2246</v>
      </c>
      <c r="F142" s="64" t="s">
        <v>3040</v>
      </c>
      <c r="G142" s="64" t="s">
        <v>3039</v>
      </c>
      <c r="H142" s="64"/>
      <c r="I142" s="64" t="b">
        <v>1</v>
      </c>
      <c r="J142" s="66" t="s">
        <v>3038</v>
      </c>
      <c r="K142" s="66" t="s">
        <v>3960</v>
      </c>
      <c r="L142" s="64" t="s">
        <v>4440</v>
      </c>
      <c r="M142" s="64" t="s">
        <v>6100</v>
      </c>
      <c r="N142" s="65" t="str">
        <f t="shared" si="18"/>
        <v>[Fiske, I. &amp; Chandler, R. (2011). unmarked: An R Package for Fitting Hierarchical Models of Wildlife Occurrence and Abundance. &lt;i&gt;Journal of Statistical Software, 43&lt;/i&gt;(10), 1-23. &lt;a target="_blank" href="https://www.jstatsoft.org/v43/i10"&gt;{https://www.jstatsoft.org/v43/i10}]{#kellner_et_al_2023}&lt;br&gt;&lt;br&gt;</v>
      </c>
      <c r="O142" s="64" t="s">
        <v>3037</v>
      </c>
      <c r="P142" s="64" t="s">
        <v>984</v>
      </c>
      <c r="Q142" s="64" t="str">
        <f t="shared" si="14"/>
        <v>{{ rtxt_kellner_et_al_2023 }}</v>
      </c>
      <c r="R142" s="64" t="str">
        <f t="shared" si="15"/>
        <v>{{ rbib_kellner_et_al_2023 }}</v>
      </c>
      <c r="S142" s="63" t="str">
        <f t="shared" si="13"/>
        <v>Fiske, I. &amp; Chandler, R. (2011). unmarked: An R Package for Fitting Hierarchical Models of Wildlife Occurrence and Abundance. &lt;i&gt;Journal of Statistical Software, 43&lt;/i&gt;(10), 1-23. &lt;a href="https://www.jstatsoft.org/v43/i10" target="_blank"&gt;https://www.jstatsoft.org/v43/i10&lt;/a&gt;&lt;span style="color:white"&gt;[.]{#kellner_et_al_2023}&lt;/span&gt;&lt;br&gt;&lt;br&gt;</v>
      </c>
      <c r="T142" s="64" t="str">
        <f t="shared" si="17"/>
        <v xml:space="preserve">    rtxt_kellner_et_al_2023: "&lt;a href=\"/08_references.html#kellner_et_al_2023\" target=\"_blank\"&gt;Kellner et al., 2023&lt;/a&gt;"</v>
      </c>
      <c r="U142" s="64" t="str">
        <f t="shared" si="16"/>
        <v xml:space="preserve">    rbib_kellner_et_al_2023: "Fiske, I. &amp; Chandler, R. (2011). unmarked: An R Package for Fitting Hierarchical Models of Wildlife Occurrence and Abundance. *Journal of Statistical Software, 43* (10), 1-23. &lt;https://www.jstatsoft.org/v43/i10&gt;"</v>
      </c>
      <c r="V142" s="64"/>
    </row>
    <row r="143" spans="1:22" ht="15.75">
      <c r="A143" s="64"/>
      <c r="B143" s="77" t="b">
        <v>0</v>
      </c>
      <c r="C143" s="77" t="b">
        <v>0</v>
      </c>
      <c r="D143" s="77"/>
      <c r="E143" s="64" t="s">
        <v>984</v>
      </c>
      <c r="F143" s="64" t="s">
        <v>3390</v>
      </c>
      <c r="G143" s="64" t="s">
        <v>3389</v>
      </c>
      <c r="H143" s="64" t="s">
        <v>3389</v>
      </c>
      <c r="I143" s="64" t="b">
        <v>1</v>
      </c>
      <c r="J143" s="66" t="s">
        <v>3388</v>
      </c>
      <c r="K143" s="66" t="s">
        <v>3960</v>
      </c>
      <c r="L143" s="64" t="s">
        <v>4441</v>
      </c>
      <c r="M143" s="64" t="s">
        <v>6123</v>
      </c>
      <c r="N143" s="65" t="str">
        <f t="shared" si="18"/>
        <v>[Flather,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flather_sieg_2007}&lt;br&gt;&lt;br&gt;</v>
      </c>
      <c r="O143" s="64" t="s">
        <v>3387</v>
      </c>
      <c r="P143" s="64" t="s">
        <v>984</v>
      </c>
      <c r="Q143" s="64" t="str">
        <f t="shared" si="14"/>
        <v>{{ rtxt_flather_sieg_2007 }}</v>
      </c>
      <c r="R143" s="64" t="str">
        <f t="shared" si="15"/>
        <v>{{ rbib_flather_sieg_2007 }}</v>
      </c>
      <c r="S143" s="63" t="str">
        <f t="shared" si="13"/>
        <v>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style="color:white"&gt;[.]{#flather_sieg_2007}&lt;/span&gt;&lt;br&gt;&lt;br&gt;</v>
      </c>
      <c r="T143" s="64" t="str">
        <f t="shared" si="17"/>
        <v xml:space="preserve">    rtxt_flather_sieg_2007: "&lt;a href=\"/08_references.html#flather_sieg_2007\" target=\"_blank\"&gt;Flather &amp; Sieg, 2007&lt;/a&gt;"</v>
      </c>
      <c r="U143" s="64" t="str">
        <f t="shared" si="16"/>
        <v xml:space="preserve">    rbib_flather_sieg_2007: "Flather,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v>
      </c>
      <c r="V143" s="64"/>
    </row>
    <row r="144" spans="1:22" ht="15.75">
      <c r="A144" s="64"/>
      <c r="B144" s="77"/>
      <c r="C144" s="77"/>
      <c r="D144" s="77"/>
      <c r="E144" s="64" t="s">
        <v>1904</v>
      </c>
      <c r="F144" s="64" t="s">
        <v>3386</v>
      </c>
      <c r="G144" s="64" t="s">
        <v>3385</v>
      </c>
      <c r="H144" s="64" t="s">
        <v>3385</v>
      </c>
      <c r="I144" s="64" t="b">
        <v>1</v>
      </c>
      <c r="J144" s="64" t="s">
        <v>3384</v>
      </c>
      <c r="K144" s="66" t="s">
        <v>3960</v>
      </c>
      <c r="L144" s="64" t="s">
        <v>4442</v>
      </c>
      <c r="M144" s="64" t="s">
        <v>5723</v>
      </c>
      <c r="N144" s="65" t="str">
        <f t="shared" si="18"/>
        <v>[Fleming, J., Grant, E. H. C., Sterrett, S. C., &amp; Sutherland, C. (2021). Experimental evaluation of spatial capture-recapture study design. &lt;i&gt;Ecological Applications, 31&lt;/i&gt;(7), e02419. &lt;a target="_blank" href="https://doi.org/10.1002/eap.2419"&gt;{https://doi.org/10.1002/eap.2419}]{#fleming_et_al_2021}&lt;br&gt;&lt;br&gt;</v>
      </c>
      <c r="O144" s="64" t="s">
        <v>3383</v>
      </c>
      <c r="P144" s="64" t="s">
        <v>984</v>
      </c>
      <c r="Q144" s="64" t="str">
        <f t="shared" si="14"/>
        <v>{{ rtxt_fleming_et_al_2021 }}</v>
      </c>
      <c r="R144" s="64" t="str">
        <f t="shared" si="15"/>
        <v>{{ rbib_fleming_et_al_2021 }}</v>
      </c>
      <c r="S144" s="63" t="str">
        <f t="shared" si="13"/>
        <v>Fleming, J., Grant, E. H. C., Sterrett, S. C., &amp; Sutherland, C. (2021). Experimental evaluation of spatial capture-recapture study design. &lt;i&gt;Ecological Applications, 31&lt;/i&gt;(7), e02419. &lt;a href="https://doi.org/10.1002/eap.2419" target="_blank"&gt;https://doi.org/10.1002/eap.2419&lt;/a&gt;&lt;span style="color:white"&gt;[.]{#fleming_et_al_2021}&lt;/span&gt;&lt;br&gt;&lt;br&gt;</v>
      </c>
      <c r="T144" s="64" t="str">
        <f t="shared" si="17"/>
        <v xml:space="preserve">    rtxt_fleming_et_al_2021: "&lt;a href=\"/08_references.html#fleming_et_al_2021\" target=\"_blank\"&gt;Fleming et al., 2021&lt;/a&gt;"</v>
      </c>
      <c r="U144" s="64" t="str">
        <f t="shared" si="16"/>
        <v xml:space="preserve">    rbib_fleming_et_al_2021: "Fleming, J., Grant, E. H. C., Sterrett, S. C., &amp; Sutherland, C. (2021). Experimental evaluation of spatial capture-recapture study design. *Ecological Applications, 31*(7), e02419. &lt;https://doi.org/10.1002/eap.2419&gt;"</v>
      </c>
      <c r="V144" s="64"/>
    </row>
    <row r="145" spans="1:22" ht="15.75">
      <c r="A145" s="64"/>
      <c r="B145" s="77"/>
      <c r="C145" s="77"/>
      <c r="D145" s="77"/>
      <c r="E145" s="64" t="s">
        <v>1904</v>
      </c>
      <c r="F145" s="64" t="s">
        <v>3382</v>
      </c>
      <c r="G145" s="64" t="s">
        <v>3381</v>
      </c>
      <c r="H145" s="64" t="s">
        <v>3381</v>
      </c>
      <c r="I145" s="64" t="b">
        <v>1</v>
      </c>
      <c r="J145" s="66" t="s">
        <v>3380</v>
      </c>
      <c r="K145" s="66" t="s">
        <v>3960</v>
      </c>
      <c r="L145" s="64" t="s">
        <v>4443</v>
      </c>
      <c r="M145" s="64" t="s">
        <v>6034</v>
      </c>
      <c r="N145" s="65" t="str">
        <f t="shared" si="18"/>
        <v>[Foca, J. M. (2021). &lt;i&gt;Camera Traps for Evaluating Ungulate Densities and Interspecific Interactions in the Beaver Hills Region of Alberta&lt;/i&gt;. [Master's thesis, University of Alberta]. &lt;a target="_blank" href="https://doi.org/10.7939/r3-bm8f-yj13"&gt;{https://doi.org/10.7939/r3-bm8f-yj13}]{#foca_2021}&lt;br&gt;&lt;br&gt;</v>
      </c>
      <c r="O145" s="64" t="s">
        <v>3379</v>
      </c>
      <c r="P145" s="64" t="s">
        <v>984</v>
      </c>
      <c r="Q145" s="64" t="str">
        <f t="shared" si="14"/>
        <v>{{ rtxt_foca_2021 }}</v>
      </c>
      <c r="R145" s="64" t="str">
        <f t="shared" si="15"/>
        <v>{{ rbib_foca_2021 }}</v>
      </c>
      <c r="S145" s="63" t="str">
        <f t="shared" ref="S145:S208" si="19">M145&amp;IF(O145&lt;&gt;"-",(" &lt;a href="&amp;""""&amp;O145&amp;""""&amp;" target="&amp;""""&amp;"_blank"&amp;""""&amp;"&gt;"&amp;O145&amp;"&lt;/a&gt;&lt;span style="&amp;""""&amp;"color:white"&amp;""""&amp;"&gt;[.]{#"&amp;F145&amp;"}&lt;/span&gt;&lt;br&gt;&lt;br&gt;"),"")</f>
        <v>Foca, J. M. (2021). &lt;i&gt;Camera Traps for Evaluating Ungulate Densities and Interspecific Interactions in the Beaver Hills Region of Alberta&lt;/i&gt;. [Master's thesis, University of Alberta]. &lt;a href="https://doi.org/10.7939/r3-bm8f-yj13" target="_blank"&gt;https://doi.org/10.7939/r3-bm8f-yj13&lt;/a&gt;&lt;span style="color:white"&gt;[.]{#foca_2021}&lt;/span&gt;&lt;br&gt;&lt;br&gt;</v>
      </c>
      <c r="T145" s="64" t="str">
        <f t="shared" si="17"/>
        <v xml:space="preserve">    rtxt_foca_2021: "&lt;a href=\"/08_references.html#foca_2021\" target=\"_blank\"&gt;Foca, 2021&lt;/a&gt;"</v>
      </c>
      <c r="U145" s="64" t="str">
        <f t="shared" si="16"/>
        <v xml:space="preserve">    rbib_foca_2021: "Foca, J. M. (2021). *Camera Traps for Evaluating Ungulate Densities and Interspecific Interactions in the Beaver Hills Region of Alberta*. [Master's thesis, University of Alberta]. &lt;https://doi.org/10.7939/r3-bm8f-yj13&gt;"</v>
      </c>
      <c r="V145" s="64"/>
    </row>
    <row r="146" spans="1:22" ht="15.75">
      <c r="A146" s="64"/>
      <c r="B146" s="77"/>
      <c r="C146" s="77"/>
      <c r="D146" s="77"/>
      <c r="E146" s="64" t="s">
        <v>1904</v>
      </c>
      <c r="F146" s="64" t="s">
        <v>3378</v>
      </c>
      <c r="G146" s="65" t="s">
        <v>3377</v>
      </c>
      <c r="H146" s="65" t="s">
        <v>3377</v>
      </c>
      <c r="I146" s="64" t="b">
        <v>1</v>
      </c>
      <c r="J146" s="64" t="s">
        <v>3376</v>
      </c>
      <c r="K146" s="66" t="s">
        <v>3960</v>
      </c>
      <c r="L146" s="64" t="s">
        <v>4444</v>
      </c>
      <c r="M146" s="64" t="s">
        <v>5796</v>
      </c>
      <c r="N146" s="65" t="str">
        <f t="shared" si="18"/>
        <v>[Ford,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href="https://doi.org/10.1007/s10344-020-01385-y"&gt;{https://doi.org/10.1007/s10344-020-01385-y}]{#ford_et_al_2020}&lt;br&gt;&lt;br&gt;</v>
      </c>
      <c r="O146" s="64" t="s">
        <v>3375</v>
      </c>
      <c r="P146" s="64" t="s">
        <v>984</v>
      </c>
      <c r="Q146" s="64" t="str">
        <f t="shared" si="14"/>
        <v>{{ rtxt_ford_et_al_2020 }}</v>
      </c>
      <c r="R146" s="64" t="str">
        <f t="shared" si="15"/>
        <v>{{ rbib_ford_et_al_2020 }}</v>
      </c>
      <c r="S146" s="63" t="str">
        <f t="shared" si="19"/>
        <v>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target="_blank"&gt;https://doi.org/10.1007/s10344-020-01385-y&lt;/a&gt;&lt;span style="color:white"&gt;[.]{#ford_et_al_2020}&lt;/span&gt;&lt;br&gt;&lt;br&gt;</v>
      </c>
      <c r="T146" s="64" t="str">
        <f t="shared" si="17"/>
        <v xml:space="preserve">    rtxt_ford_et_al_2020: "&lt;a href=\"/08_references.html#ford_et_al_2020\" target=\"_blank\"&gt;Ford et al., 2020&lt;/a&gt;"</v>
      </c>
      <c r="U146" s="64" t="str">
        <f t="shared" si="16"/>
        <v xml:space="preserve">    rbib_ford_et_al_2020: "Ford, A. T., Sunter, E. J., Fauvelle, C., Bradshaw, J. L., Ford, B., Hutchen, J., Phillipow, N., &amp; Teichman, K. J. (2020). Effective corridor width: Linking the spatial ecology of wildlife with land use policy. *European Journal of Wildlife Research, 66*(4), 69. &lt;https://doi.org/10.1007/s10344-020-01385-y&gt;"</v>
      </c>
      <c r="V146" s="64"/>
    </row>
    <row r="147" spans="1:22" ht="15.75">
      <c r="A147" s="64"/>
      <c r="B147" s="77" t="b">
        <v>1</v>
      </c>
      <c r="C147" s="77" t="b">
        <v>1</v>
      </c>
      <c r="D147" s="77" t="b">
        <v>0</v>
      </c>
      <c r="E147" s="64" t="s">
        <v>1904</v>
      </c>
      <c r="F147" s="64" t="s">
        <v>3374</v>
      </c>
      <c r="G147" s="64" t="s">
        <v>3373</v>
      </c>
      <c r="H147" s="64" t="s">
        <v>3373</v>
      </c>
      <c r="I147" s="64" t="b">
        <v>1</v>
      </c>
      <c r="J147" s="66" t="s">
        <v>3372</v>
      </c>
      <c r="K147" s="66" t="s">
        <v>3960</v>
      </c>
      <c r="L147" s="64" t="s">
        <v>4445</v>
      </c>
      <c r="M147" s="64" t="s">
        <v>6023</v>
      </c>
      <c r="N147" s="65" t="str">
        <f t="shared" si="18"/>
        <v>[Forrester, T., O'Brien, T., Fegraus, E., Jansen, P. A., Palmer, J., Kays, R., Ahumada, J., Stern, B., &amp; McShea, W. (2016). An Open Standard for Camera Trap Data. &lt;i&gt;Biodiversity Data Journal, 4&lt;/i&gt;, e10197. &lt;a target="_blank" href="https://doi.org/10.3897/BDJ.4.e10197"&gt;{https://doi.org/10.3897/BDJ.4.e10197}]{#forrester_et_al_2016}&lt;br&gt;&lt;br&gt;</v>
      </c>
      <c r="O147" s="64" t="s">
        <v>3371</v>
      </c>
      <c r="P147" s="64" t="s">
        <v>984</v>
      </c>
      <c r="Q147" s="64" t="str">
        <f t="shared" si="14"/>
        <v>{{ rtxt_forrester_et_al_2016 }}</v>
      </c>
      <c r="R147" s="64" t="str">
        <f t="shared" si="15"/>
        <v>{{ rbib_forrester_et_al_2016 }}</v>
      </c>
      <c r="S147" s="63" t="str">
        <f t="shared" si="19"/>
        <v>Forrester, T., O'Brien, T., Fegraus, E., Jansen, P. A., Palmer, J., Kays, R., Ahumada, J., Stern, B., &amp; McShea, W. (2016). An Open Standard for Camera Trap Data. &lt;i&gt;Biodiversity Data Journal, 4&lt;/i&gt;, e10197. &lt;a href="https://doi.org/10.3897/BDJ.4.e10197" target="_blank"&gt;https://doi.org/10.3897/BDJ.4.e10197&lt;/a&gt;&lt;span style="color:white"&gt;[.]{#forrester_et_al_2016}&lt;/span&gt;&lt;br&gt;&lt;br&gt;</v>
      </c>
      <c r="T147" s="64" t="str">
        <f t="shared" si="17"/>
        <v xml:space="preserve">    rtxt_forrester_et_al_2016: "&lt;a href=\"/08_references.html#forrester_et_al_2016\" target=\"_blank\"&gt;Forrester et al., 2016&lt;/a&gt;"</v>
      </c>
      <c r="U147" s="64" t="str">
        <f t="shared" si="16"/>
        <v xml:space="preserve">    rbib_forrester_et_al_2016: "Forrester, T., O'Brien, T., Fegraus, E., Jansen, P. A., Palmer, J., Kays, R., Ahumada, J., Stern, B., &amp; McShea, W. (2016). An Open Standard for Camera Trap Data. *Biodiversity Data Journal, 4*, e10197. &lt;https://doi.org/10.3897/BDJ.4.e10197&gt;"</v>
      </c>
      <c r="V147" s="64"/>
    </row>
    <row r="148" spans="1:22" ht="15.75">
      <c r="A148" s="64"/>
      <c r="B148" s="77" t="b">
        <v>1</v>
      </c>
      <c r="C148" s="77" t="b">
        <v>0</v>
      </c>
      <c r="D148" s="77" t="b">
        <v>0</v>
      </c>
      <c r="E148" s="64" t="s">
        <v>1904</v>
      </c>
      <c r="F148" s="64" t="s">
        <v>3370</v>
      </c>
      <c r="G148" s="64" t="s">
        <v>3369</v>
      </c>
      <c r="H148" s="64" t="s">
        <v>3369</v>
      </c>
      <c r="I148" s="64" t="b">
        <v>1</v>
      </c>
      <c r="J148" s="66" t="s">
        <v>3368</v>
      </c>
      <c r="K148" s="66" t="s">
        <v>3960</v>
      </c>
      <c r="L148" s="64" t="s">
        <v>4446</v>
      </c>
      <c r="M148" s="64" t="s">
        <v>5753</v>
      </c>
      <c r="N148" s="65" t="str">
        <f t="shared" si="18"/>
        <v>[Foster, R. J., &amp; Harmsen, B. J. (2012). A Critique of Density Estimation from Camera Trap Data. &lt;i&gt;Journal of&lt;i&gt; &lt;i&gt;Wildlife Management, 76&lt;/i&gt;(2), 224-36. &lt;a target="_blank" href="https://doi.org/10.1002/jwmg.275"&gt;{https://doi.org/10.1002/jwmg.275}]{#foster_harmsen_2012}&lt;br&gt;&lt;br&gt;</v>
      </c>
      <c r="O148" s="64" t="s">
        <v>3367</v>
      </c>
      <c r="P148" s="64" t="s">
        <v>984</v>
      </c>
      <c r="Q148" s="64" t="str">
        <f t="shared" si="14"/>
        <v>{{ rtxt_foster_harmsen_2012 }}</v>
      </c>
      <c r="R148" s="64" t="str">
        <f t="shared" si="15"/>
        <v>{{ rbib_foster_harmsen_2012 }}</v>
      </c>
      <c r="S148" s="63" t="str">
        <f t="shared" si="19"/>
        <v>Foster, R. J., &amp; Harmsen, B. J. (2012). A Critique of Density Estimation from Camera Trap Data. &lt;i&gt;Journal of&lt;i&gt; &lt;i&gt;Wildlife Management, 76&lt;/i&gt;(2), 224-36. &lt;a href="https://doi.org/10.1002/jwmg.275" target="_blank"&gt;https://doi.org/10.1002/jwmg.275&lt;/a&gt;&lt;span style="color:white"&gt;[.]{#foster_harmsen_2012}&lt;/span&gt;&lt;br&gt;&lt;br&gt;</v>
      </c>
      <c r="T148" s="64" t="str">
        <f t="shared" si="17"/>
        <v xml:space="preserve">    rtxt_foster_harmsen_2012: "&lt;a href=\"/08_references.html#foster_harmsen_2012\" target=\"_blank\"&gt;Foster &amp; Harmsen, 2012&lt;/a&gt;"</v>
      </c>
      <c r="U148" s="64" t="str">
        <f t="shared" si="16"/>
        <v xml:space="preserve">    rbib_foster_harmsen_2012: "Foster, R. J., &amp; Harmsen, B. J. (2012). A Critique of Density Estimation from Camera Trap Data. *Journal of* *Wildlife Management, 76*(2), 224-36. &lt;https://doi.org/10.1002/jwmg.275&gt;"</v>
      </c>
      <c r="V148" s="64"/>
    </row>
    <row r="149" spans="1:22" ht="15.75">
      <c r="A149" s="64"/>
      <c r="B149" s="77" t="b">
        <v>1</v>
      </c>
      <c r="C149" s="77" t="b">
        <v>0</v>
      </c>
      <c r="D149" s="77" t="b">
        <v>0</v>
      </c>
      <c r="E149" s="64" t="s">
        <v>1904</v>
      </c>
      <c r="F149" s="64" t="s">
        <v>3366</v>
      </c>
      <c r="G149" s="64" t="s">
        <v>3365</v>
      </c>
      <c r="H149" s="64" t="s">
        <v>3365</v>
      </c>
      <c r="I149" s="64" t="b">
        <v>1</v>
      </c>
      <c r="J149" s="66" t="s">
        <v>3364</v>
      </c>
      <c r="K149" s="66" t="s">
        <v>3960</v>
      </c>
      <c r="L149" s="64" t="s">
        <v>4447</v>
      </c>
      <c r="M149" s="64" t="s">
        <v>5713</v>
      </c>
      <c r="N149" s="65" t="str">
        <f t="shared" si="18"/>
        <v>[Found, R., &amp; Patterson, B. R. (2020). Assessing Ungulate Populations in Temperate North America. &lt;i&gt;Canadian Wildlife Biology and Management, 9&lt;/i&gt;(1), 21-42. &lt;a target="_blank" href="https://cwbm.ca/wp-content/uploads/2020/05/Found-Patterson.pdf"&gt;{https://cwbm.ca/wp-content/uploads/2020/05/Found-Patterson.pdf}]{#found_patterson_2020}&lt;br&gt;&lt;br&gt;</v>
      </c>
      <c r="O149" s="64" t="s">
        <v>3363</v>
      </c>
      <c r="P149" s="64" t="s">
        <v>984</v>
      </c>
      <c r="Q149" s="64" t="str">
        <f t="shared" si="14"/>
        <v>{{ rtxt_found_patterson_2020 }}</v>
      </c>
      <c r="R149" s="64" t="str">
        <f t="shared" si="15"/>
        <v>{{ rbib_found_patterson_2020 }}</v>
      </c>
      <c r="S149" s="63" t="str">
        <f t="shared" si="19"/>
        <v>Found, R., &amp; Patterson, B. R. (2020). Assessing Ungulate Populations in Temperate North America. &lt;i&gt;Canadian Wildlife Biology and Management, 9&lt;/i&gt;(1), 21-42. &lt;a href="https://cwbm.ca/wp-content/uploads/2020/05/Found-Patterson.pdf" target="_blank"&gt;https://cwbm.ca/wp-content/uploads/2020/05/Found-Patterson.pdf&lt;/a&gt;&lt;span style="color:white"&gt;[.]{#found_patterson_2020}&lt;/span&gt;&lt;br&gt;&lt;br&gt;</v>
      </c>
      <c r="T149" s="64" t="str">
        <f t="shared" si="17"/>
        <v xml:space="preserve">    rtxt_found_patterson_2020: "&lt;a href=\"/08_references.html#found_patterson_2020\" target=\"_blank\"&gt;Found &amp; Patterson, 2020&lt;/a&gt;"</v>
      </c>
      <c r="U149" s="64" t="str">
        <f t="shared" si="16"/>
        <v xml:space="preserve">    rbib_found_patterson_2020: "Found, R., &amp; Patterson, B. R. (2020). Assessing Ungulate Populations in Temperate North America. *Canadian Wildlife Biology and Management, 9*(1), 21-42. &lt;https://cwbm.ca/wp-content/uploads/2020/05/Found-Patterson.pdf&gt;"</v>
      </c>
      <c r="V149" s="64"/>
    </row>
    <row r="150" spans="1:22" ht="15.75">
      <c r="A150" s="64"/>
      <c r="B150" s="77" t="b">
        <v>0</v>
      </c>
      <c r="C150" s="77" t="b">
        <v>0</v>
      </c>
      <c r="D150" s="77"/>
      <c r="E150" s="64" t="s">
        <v>1904</v>
      </c>
      <c r="F150" s="64" t="s">
        <v>3362</v>
      </c>
      <c r="G150" s="64" t="s">
        <v>3361</v>
      </c>
      <c r="H150" s="64" t="s">
        <v>3361</v>
      </c>
      <c r="I150" s="64" t="b">
        <v>1</v>
      </c>
      <c r="J150" s="66" t="s">
        <v>3360</v>
      </c>
      <c r="K150" s="66" t="s">
        <v>3960</v>
      </c>
      <c r="L150" s="64" t="s">
        <v>4448</v>
      </c>
      <c r="M150" s="64" t="s">
        <v>5953</v>
      </c>
      <c r="N150" s="65" t="str">
        <f t="shared" si="18"/>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href="https://doi.org/10.1186/s13750-022-00264-0"&gt;{https://doi.org/10.1186/s13750-022-00264-0}]{#frampton_et_al_2022}&lt;br&gt;&lt;br&gt;</v>
      </c>
      <c r="O150" s="64" t="s">
        <v>3359</v>
      </c>
      <c r="P150" s="64" t="s">
        <v>984</v>
      </c>
      <c r="Q150" s="64" t="str">
        <f t="shared" si="14"/>
        <v>{{ rtxt_frampton_et_al_2022 }}</v>
      </c>
      <c r="R150" s="64" t="str">
        <f t="shared" si="15"/>
        <v>{{ rbib_frampton_et_al_2022 }}</v>
      </c>
      <c r="S150" s="63" t="str">
        <f t="shared" si="19"/>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target="_blank"&gt;https://doi.org/10.1186/s13750-022-00264-0&lt;/a&gt;&lt;span style="color:white"&gt;[.]{#frampton_et_al_2022}&lt;/span&gt;&lt;br&gt;&lt;br&gt;</v>
      </c>
      <c r="T150" s="64" t="str">
        <f t="shared" si="17"/>
        <v xml:space="preserve">    rtxt_frampton_et_al_2022: "&lt;a href=\"/08_references.html#frampton_et_al_2022\" target=\"_blank\"&gt;Frampton et al., 2022&lt;/a&gt;"</v>
      </c>
      <c r="U150" s="64" t="str">
        <f t="shared" si="16"/>
        <v xml:space="preserve">    rbib_frampton_et_al_2022: "Frampton,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v>
      </c>
      <c r="V150" s="64"/>
    </row>
    <row r="151" spans="1:22" ht="15.75">
      <c r="A151" s="64"/>
      <c r="B151" s="77"/>
      <c r="C151" s="77"/>
      <c r="D151" s="77"/>
      <c r="E151" s="64" t="s">
        <v>2246</v>
      </c>
      <c r="F151" s="64" t="s">
        <v>3358</v>
      </c>
      <c r="G151" s="64" t="s">
        <v>3357</v>
      </c>
      <c r="H151" s="64"/>
      <c r="I151" s="64" t="b">
        <v>1</v>
      </c>
      <c r="J151" s="66" t="s">
        <v>3356</v>
      </c>
      <c r="K151" s="66" t="s">
        <v>3960</v>
      </c>
      <c r="L151" s="64" t="s">
        <v>4449</v>
      </c>
      <c r="M151" s="64" t="s">
        <v>6098</v>
      </c>
      <c r="N151" s="65" t="str">
        <f t="shared" si="18"/>
        <v>[Freeman, E. A. &amp; Moisen, G. (2008). PresenceAbsence: An R Package for Presence Absence Analysis. &lt;i&gt;Journal of Statistical Software, 23&lt;/i&gt;(11). &lt;a target="_blank" href="https://www.fs.usda.gov/rm/pubs_other/rmrs_2008_freeman_e001.pdf"&gt;{https://www.fs.usda.gov/rm/pubs_other/rmrs_2008_freeman_e001.pdf}]{#freeman_gretchen_2008}&lt;br&gt;&lt;br&gt;</v>
      </c>
      <c r="O151" s="64" t="s">
        <v>3355</v>
      </c>
      <c r="P151" s="64" t="s">
        <v>984</v>
      </c>
      <c r="Q151" s="64" t="str">
        <f t="shared" si="14"/>
        <v>{{ rtxt_freeman_gretchen_2008 }}</v>
      </c>
      <c r="R151" s="64" t="str">
        <f t="shared" si="15"/>
        <v>{{ rbib_freeman_gretchen_2008 }}</v>
      </c>
      <c r="S151" s="63" t="str">
        <f t="shared" si="19"/>
        <v>Freeman, E. A. &amp; Moisen, G. (2008). PresenceAbsence: An R Package for Presence Absence Analysis. &lt;i&gt;Journal of Statistical Software, 23&lt;/i&gt;(11). &lt;a href="https://www.fs.usda.gov/rm/pubs_other/rmrs_2008_freeman_e001.pdf" target="_blank"&gt;https://www.fs.usda.gov/rm/pubs_other/rmrs_2008_freeman_e001.pdf&lt;/a&gt;&lt;span style="color:white"&gt;[.]{#freeman_gretchen_2008}&lt;/span&gt;&lt;br&gt;&lt;br&gt;</v>
      </c>
      <c r="T151" s="64" t="str">
        <f t="shared" si="17"/>
        <v xml:space="preserve">    rtxt_freeman_gretchen_2008: "&lt;a href=\"/08_references.html#freeman_gretchen_2008\" target=\"_blank\"&gt;Freeman &amp; Moisen, 2008&lt;/a&gt;"</v>
      </c>
      <c r="U151" s="64" t="str">
        <f t="shared" si="16"/>
        <v xml:space="preserve">    rbib_freeman_gretchen_2008: "Freeman, E. A. &amp; Moisen, G. (2008). PresenceAbsence: An R Package for Presence Absence Analysis. *Journal of Statistical Software, 23*(11). &lt;https://www.fs.usda.gov/rm/pubs_other/rmrs_2008_freeman_e001.pdf&gt;"</v>
      </c>
      <c r="V151" s="64"/>
    </row>
    <row r="152" spans="1:22" ht="15.75">
      <c r="A152" s="64"/>
      <c r="B152" s="77" t="b">
        <v>1</v>
      </c>
      <c r="C152" s="77" t="b">
        <v>1</v>
      </c>
      <c r="D152" s="77" t="b">
        <v>0</v>
      </c>
      <c r="E152" s="64" t="s">
        <v>1904</v>
      </c>
      <c r="F152" s="64" t="s">
        <v>3354</v>
      </c>
      <c r="G152" s="64" t="s">
        <v>3353</v>
      </c>
      <c r="H152" s="64" t="s">
        <v>3353</v>
      </c>
      <c r="I152" s="64" t="b">
        <v>1</v>
      </c>
      <c r="J152" s="66" t="s">
        <v>3352</v>
      </c>
      <c r="K152" s="66" t="s">
        <v>3960</v>
      </c>
      <c r="L152" s="64" t="s">
        <v>4450</v>
      </c>
      <c r="M152" s="64" t="s">
        <v>6173</v>
      </c>
      <c r="N152" s="65" t="str">
        <f t="shared" si="18"/>
        <v>[Frey,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href="https://zslpublications.onlinelibrary.wiley.com/doi/10.1002/rse2.60"&gt;{https://zslpublications.onlinelibrary.wiley.com/doi/10.1002/rse2.60}]{#frey_et_al_2017}&lt;br&gt;&lt;br&gt;</v>
      </c>
      <c r="O152" s="64" t="s">
        <v>3351</v>
      </c>
      <c r="P152" s="64" t="s">
        <v>984</v>
      </c>
      <c r="Q152" s="64" t="str">
        <f t="shared" si="14"/>
        <v>{{ rtxt_frey_et_al_2017 }}</v>
      </c>
      <c r="R152" s="64" t="str">
        <f t="shared" si="15"/>
        <v>{{ rbib_frey_et_al_2017 }}</v>
      </c>
      <c r="S152" s="63" t="str">
        <f t="shared" si="19"/>
        <v>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target="_blank"&gt;https://zslpublications.onlinelibrary.wiley.com/doi/10.1002/rse2.60&lt;/a&gt;&lt;span style="color:white"&gt;[.]{#frey_et_al_2017}&lt;/span&gt;&lt;br&gt;&lt;br&gt;</v>
      </c>
      <c r="T152" s="64" t="str">
        <f t="shared" si="17"/>
        <v xml:space="preserve">    rtxt_frey_et_al_2017: "&lt;a href=\"/08_references.html#frey_et_al_2017\" target=\"_blank\"&gt;Frey et al., 2017&lt;/a&gt;"</v>
      </c>
      <c r="U152" s="64" t="str">
        <f t="shared" si="16"/>
        <v xml:space="preserve">    rbib_frey_et_al_2017: "Frey,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v>
      </c>
      <c r="V152" s="64"/>
    </row>
    <row r="153" spans="1:22" ht="15.75">
      <c r="A153" s="64"/>
      <c r="B153" s="77" t="b">
        <v>1</v>
      </c>
      <c r="C153" s="77" t="b">
        <v>0</v>
      </c>
      <c r="D153" s="77" t="b">
        <v>0</v>
      </c>
      <c r="E153" s="64" t="s">
        <v>1904</v>
      </c>
      <c r="F153" s="64" t="s">
        <v>3346</v>
      </c>
      <c r="G153" s="64" t="s">
        <v>3345</v>
      </c>
      <c r="H153" s="64" t="s">
        <v>3345</v>
      </c>
      <c r="I153" s="64" t="b">
        <v>1</v>
      </c>
      <c r="J153" s="66" t="s">
        <v>3344</v>
      </c>
      <c r="K153" s="66" t="s">
        <v>3960</v>
      </c>
      <c r="L153" s="64" t="s">
        <v>4451</v>
      </c>
      <c r="M153" s="64" t="s">
        <v>6029</v>
      </c>
      <c r="N153" s="65" t="str">
        <f t="shared" si="18"/>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href="https://doi.org/10.7554/eLife.74756"&gt;{https://doi.org/10.7554/eLife.74756}]{#gallo_et_al_2022}&lt;br&gt;&lt;br&gt;</v>
      </c>
      <c r="O153" s="64" t="s">
        <v>3343</v>
      </c>
      <c r="P153" s="64" t="s">
        <v>984</v>
      </c>
      <c r="Q153" s="64" t="str">
        <f t="shared" si="14"/>
        <v>{{ rtxt_gallo_et_al_2022 }}</v>
      </c>
      <c r="R153" s="64" t="str">
        <f t="shared" si="15"/>
        <v>{{ rbib_gallo_et_al_2022 }}</v>
      </c>
      <c r="S153" s="63" t="str">
        <f t="shared" si="19"/>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target="_blank"&gt;https://doi.org/10.7554/eLife.74756&lt;/a&gt;&lt;span style="color:white"&gt;[.]{#gallo_et_al_2022}&lt;/span&gt;&lt;br&gt;&lt;br&gt;</v>
      </c>
      <c r="T153" s="64" t="str">
        <f t="shared" si="17"/>
        <v xml:space="preserve">    rtxt_gallo_et_al_2022: "&lt;a href=\"/08_references.html#gallo_et_al_2022\" target=\"_blank\"&gt;Gallo et al., 2022&lt;/a&gt;"</v>
      </c>
      <c r="U153" s="64" t="str">
        <f t="shared" si="16"/>
        <v xml:space="preserve">    rbib_gallo_et_al_2022: "Gallo,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v>
      </c>
      <c r="V153" s="64"/>
    </row>
    <row r="154" spans="1:22" ht="15.75">
      <c r="A154" s="64"/>
      <c r="B154" s="77"/>
      <c r="C154" s="77"/>
      <c r="D154" s="77"/>
      <c r="E154" s="64" t="s">
        <v>1904</v>
      </c>
      <c r="F154" s="64" t="s">
        <v>3350</v>
      </c>
      <c r="G154" s="64" t="s">
        <v>3349</v>
      </c>
      <c r="H154" s="64" t="s">
        <v>3349</v>
      </c>
      <c r="I154" s="64" t="b">
        <v>1</v>
      </c>
      <c r="J154" s="66" t="s">
        <v>3348</v>
      </c>
      <c r="K154" s="66" t="s">
        <v>3960</v>
      </c>
      <c r="L154" s="64" t="s">
        <v>4452</v>
      </c>
      <c r="M154" s="64" t="s">
        <v>5875</v>
      </c>
      <c r="N154" s="65" t="str">
        <f t="shared" si="18"/>
        <v>[Gallo, T., Fidino, M., Lehrer, E. W., &amp; Magle, S. (2019). Urbanization Alters Predator-Avoidance Behaviours. &lt;i&gt;Journal of Animal Ecology, 88&lt;/i&gt;(5), 793-803. &lt;a target="_blank" href="https://doi.org/10.1111/1365-2656.12967"&gt;{https://doi.org/10.1111/1365-2656.12967}]{#gallo_et_al_2019}&lt;br&gt;&lt;br&gt;</v>
      </c>
      <c r="O154" s="64" t="s">
        <v>3347</v>
      </c>
      <c r="P154" s="64" t="s">
        <v>984</v>
      </c>
      <c r="Q154" s="64" t="str">
        <f t="shared" si="14"/>
        <v>{{ rtxt_gallo_et_al_2019 }}</v>
      </c>
      <c r="R154" s="64" t="str">
        <f t="shared" si="15"/>
        <v>{{ rbib_gallo_et_al_2019 }}</v>
      </c>
      <c r="S154" s="63" t="str">
        <f t="shared" si="19"/>
        <v>Gallo, T., Fidino, M., Lehrer, E. W., &amp; Magle, S. (2019). Urbanization Alters Predator-Avoidance Behaviours. &lt;i&gt;Journal of Animal Ecology, 88&lt;/i&gt;(5), 793-803. &lt;a href="https://doi.org/10.1111/1365-2656.12967" target="_blank"&gt;https://doi.org/10.1111/1365-2656.12967&lt;/a&gt;&lt;span style="color:white"&gt;[.]{#gallo_et_al_2019}&lt;/span&gt;&lt;br&gt;&lt;br&gt;</v>
      </c>
      <c r="T154" s="64" t="str">
        <f t="shared" si="17"/>
        <v xml:space="preserve">    rtxt_gallo_et_al_2019: "&lt;a href=\"/08_references.html#gallo_et_al_2019\" target=\"_blank\"&gt;Gallo et al., 2019&lt;/a&gt;"</v>
      </c>
      <c r="U154" s="64" t="str">
        <f t="shared" si="16"/>
        <v xml:space="preserve">    rbib_gallo_et_al_2019: "Gallo, T., Fidino, M., Lehrer, E. W., &amp; Magle, S. (2019). Urbanization Alters Predator-Avoidance Behaviours. *Journal of Animal Ecology, 88*(5), 793-803. &lt;https://doi.org/10.1111/1365-2656.12967&gt;"</v>
      </c>
      <c r="V154" s="64"/>
    </row>
    <row r="155" spans="1:22" ht="15.75">
      <c r="A155" s="64"/>
      <c r="B155" s="77" t="b">
        <v>1</v>
      </c>
      <c r="C155" s="77" t="b">
        <v>0</v>
      </c>
      <c r="D155" s="77" t="b">
        <v>0</v>
      </c>
      <c r="E155" s="64" t="s">
        <v>1904</v>
      </c>
      <c r="F155" s="64" t="s">
        <v>3342</v>
      </c>
      <c r="G155" s="64" t="s">
        <v>3341</v>
      </c>
      <c r="H155" s="64" t="s">
        <v>3341</v>
      </c>
      <c r="I155" s="64" t="b">
        <v>1</v>
      </c>
      <c r="J155" s="66" t="s">
        <v>3340</v>
      </c>
      <c r="K155" s="66" t="s">
        <v>3960</v>
      </c>
      <c r="L155" s="64" t="s">
        <v>4453</v>
      </c>
      <c r="M155" s="64" t="s">
        <v>5822</v>
      </c>
      <c r="N155" s="65" t="str">
        <f t="shared" si="18"/>
        <v>[Gálvez,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href="https://doi.org/10.1016/j.biocon.2016.10.019"&gt;{https://doi.org/10.1016/j.biocon.2016.10.019}]{#galvez_et_al_2016}&lt;br&gt;&lt;br&gt;</v>
      </c>
      <c r="O155" s="64" t="s">
        <v>3339</v>
      </c>
      <c r="P155" s="64" t="s">
        <v>984</v>
      </c>
      <c r="Q155" s="64" t="str">
        <f t="shared" si="14"/>
        <v>{{ rtxt_galvez_et_al_2016 }}</v>
      </c>
      <c r="R155" s="64" t="str">
        <f t="shared" si="15"/>
        <v>{{ rbib_galvez_et_al_2016 }}</v>
      </c>
      <c r="S155" s="63" t="str">
        <f t="shared" si="19"/>
        <v>Gálvez, N., Guillera-Arroita, G., Morgan, B. J. T., &amp; Davies, Z. G. (2016). Cost-Efficient Effort Allocation for Camera-Trap Occupancy Surveys of Mammals. &lt;i&gt;Biological Conservation&lt;i&gt;, &lt;i&gt;204&lt;/i&gt;(B), 350-359. &lt;a href="https://doi.org/10.1016/j.biocon.2016.10.019" target="_blank"&gt;https://doi.org/10.1016/j.biocon.2016.10.019&lt;/a&gt;&lt;span style="color:white"&gt;[.]{#galvez_et_al_2016}&lt;/span&gt;&lt;br&gt;&lt;br&gt;</v>
      </c>
      <c r="T155" s="64" t="str">
        <f t="shared" si="17"/>
        <v xml:space="preserve">    rtxt_galvez_et_al_2016: "&lt;a href=\"/08_references.html#galvez_et_al_2016\" target=\"_blank\"&gt;Gálvez et al., 2016&lt;/a&gt;"</v>
      </c>
      <c r="U155" s="64" t="str">
        <f t="shared" si="16"/>
        <v xml:space="preserve">    rbib_galvez_et_al_2016: "Gálvez, N., Guillera-Arroita, G., Morgan, B. J. T., &amp; Davies, Z. G. (2016). Cost-Efficient Effort Allocation for Camera-Trap Occupancy Surveys of Mammals. *Biological Conservation, 204*(B), 350-359. &lt;https://doi.org/10.1016/j.biocon.2016.10.019&gt;"</v>
      </c>
      <c r="V155" s="64"/>
    </row>
    <row r="156" spans="1:22" ht="15.75">
      <c r="A156" s="64"/>
      <c r="B156" s="77" t="b">
        <v>1</v>
      </c>
      <c r="C156" s="77" t="b">
        <v>0</v>
      </c>
      <c r="D156" s="77" t="b">
        <v>0</v>
      </c>
      <c r="E156" s="64" t="s">
        <v>1904</v>
      </c>
      <c r="F156" s="64" t="s">
        <v>3338</v>
      </c>
      <c r="G156" s="64" t="s">
        <v>3337</v>
      </c>
      <c r="H156" s="64" t="s">
        <v>3337</v>
      </c>
      <c r="I156" s="64" t="b">
        <v>1</v>
      </c>
      <c r="J156" s="66" t="s">
        <v>3336</v>
      </c>
      <c r="K156" s="66" t="s">
        <v>3960</v>
      </c>
      <c r="L156" s="64" t="s">
        <v>4454</v>
      </c>
      <c r="M156" s="64" t="s">
        <v>6002</v>
      </c>
      <c r="N156" s="65" t="str">
        <f t="shared" si="18"/>
        <v>[Ganskopp, D. C., &amp; Johnson, D. D. (2007). GPS Error in Studies Addressing Animal Movements and Activities. &lt;i&gt;Rangeland Ecology and Management, 60&lt;/i&gt;, 350-358. &lt;a target="_blank" href="https://doi.org/10.2111/1551-5028(2007)60[350:GEISAA]2.0.CO;2"&gt;{https://doi.org/10.2111/1551-5028(2007)60[350:GEISAA]2.0.CO;2}]{#ganskopp_johnson_2007}&lt;br&gt;&lt;br&gt;</v>
      </c>
      <c r="O156" s="64" t="s">
        <v>3335</v>
      </c>
      <c r="P156" s="64" t="s">
        <v>984</v>
      </c>
      <c r="Q156" s="64" t="str">
        <f t="shared" si="14"/>
        <v>{{ rtxt_ganskopp_johnson_2007 }}</v>
      </c>
      <c r="R156" s="64" t="str">
        <f t="shared" si="15"/>
        <v>{{ rbib_ganskopp_johnson_2007 }}</v>
      </c>
      <c r="S156" s="63" t="str">
        <f t="shared" si="19"/>
        <v>Ganskopp, D. C., &amp; Johnson, D. D. (2007). GPS Error in Studies Addressing Animal Movements and Activities. &lt;i&gt;Rangeland Ecology and Management, 60&lt;/i&gt;, 350-358. &lt;a href="https://doi.org/10.2111/1551-5028(2007)60[350:GEISAA]2.0.CO;2" target="_blank"&gt;https://doi.org/10.2111/1551-5028(2007)60[350:GEISAA]2.0.CO;2&lt;/a&gt;&lt;span style="color:white"&gt;[.]{#ganskopp_johnson_2007}&lt;/span&gt;&lt;br&gt;&lt;br&gt;</v>
      </c>
      <c r="T156" s="64" t="str">
        <f t="shared" si="17"/>
        <v xml:space="preserve">    rtxt_ganskopp_johnson_2007: "&lt;a href=\"/08_references.html#ganskopp_johnson_2007\" target=\"_blank\"&gt;Ganskopp &amp; Johnson, 2007&lt;/a&gt;"</v>
      </c>
      <c r="U156" s="64" t="str">
        <f t="shared" si="16"/>
        <v xml:space="preserve">    rbib_ganskopp_johnson_2007: "Ganskopp, D. C., &amp; Johnson, D. D. (2007). GPS Error in Studies Addressing Animal Movements and Activities. *Rangeland Ecology and Management, 60*, 350-358. &lt;https://doi.org/10.2111/1551-5028(2007)60[350:GEISAA]2.0.CO;2&gt;"</v>
      </c>
      <c r="V156" s="64"/>
    </row>
    <row r="157" spans="1:22" ht="15.75">
      <c r="A157" s="64"/>
      <c r="B157" s="77"/>
      <c r="C157" s="77"/>
      <c r="D157" s="77"/>
      <c r="E157" s="64" t="s">
        <v>1904</v>
      </c>
      <c r="F157" s="64" t="s">
        <v>3334</v>
      </c>
      <c r="G157" s="64" t="s">
        <v>3333</v>
      </c>
      <c r="H157" s="64" t="s">
        <v>3333</v>
      </c>
      <c r="I157" s="64" t="b">
        <v>1</v>
      </c>
      <c r="J157" s="66" t="s">
        <v>3332</v>
      </c>
      <c r="K157" s="66" t="s">
        <v>3960</v>
      </c>
      <c r="L157" s="64" t="s">
        <v>4455</v>
      </c>
      <c r="M157" s="64" t="s">
        <v>5814</v>
      </c>
      <c r="N157" s="65" t="str">
        <f t="shared" si="18"/>
        <v>[Garamszegi, L. Z. (2016). A simple statistical guide for the analysis of behaviour when data are constrained due to practical or ethical reasons. &lt;i&gt;Animal Behaviour, 120&lt;/i&gt;, 223-234. &lt;a target="_blank" href="https://doi.org/10.1016/j.anbehav.2015.11.009"&gt;{https://doi.org/10.1016/j.anbehav.2015.11.009}]{#garamszegi_2016}&lt;br&gt;&lt;br&gt;</v>
      </c>
      <c r="O157" s="64" t="s">
        <v>3331</v>
      </c>
      <c r="P157" s="64" t="s">
        <v>984</v>
      </c>
      <c r="Q157" s="64" t="str">
        <f t="shared" si="14"/>
        <v>{{ rtxt_garamszegi_2016 }}</v>
      </c>
      <c r="R157" s="64" t="str">
        <f t="shared" si="15"/>
        <v>{{ rbib_garamszegi_2016 }}</v>
      </c>
      <c r="S157" s="63" t="str">
        <f t="shared" si="19"/>
        <v>Garamszegi, L. Z. (2016). A simple statistical guide for the analysis of behaviour when data are constrained due to practical or ethical reasons. &lt;i&gt;Animal Behaviour, 120&lt;/i&gt;, 223-234. &lt;a href="https://doi.org/10.1016/j.anbehav.2015.11.009" target="_blank"&gt;https://doi.org/10.1016/j.anbehav.2015.11.009&lt;/a&gt;&lt;span style="color:white"&gt;[.]{#garamszegi_2016}&lt;/span&gt;&lt;br&gt;&lt;br&gt;</v>
      </c>
      <c r="T157" s="64" t="str">
        <f t="shared" si="17"/>
        <v xml:space="preserve">    rtxt_garamszegi_2016: "&lt;a href=\"/08_references.html#garamszegi_2016\" target=\"_blank\"&gt;Garamszegi, 2016&lt;/a&gt;"</v>
      </c>
      <c r="U157" s="64" t="str">
        <f t="shared" si="16"/>
        <v xml:space="preserve">    rbib_garamszegi_2016: "Garamszegi, L. Z. (2016). A simple statistical guide for the analysis of behaviour when data are constrained due to practical or ethical reasons. *Animal Behaviour, 120*, 223-234. &lt;https://doi.org/10.1016/j.anbehav.2015.11.009&gt;"</v>
      </c>
      <c r="V157" s="64"/>
    </row>
    <row r="158" spans="1:22" ht="15.75">
      <c r="A158" s="64"/>
      <c r="B158" s="77"/>
      <c r="C158" s="77"/>
      <c r="D158" s="77"/>
      <c r="E158" s="64" t="s">
        <v>1904</v>
      </c>
      <c r="F158" s="64" t="s">
        <v>3326</v>
      </c>
      <c r="G158" s="65" t="s">
        <v>3325</v>
      </c>
      <c r="H158" s="65" t="s">
        <v>3325</v>
      </c>
      <c r="I158" s="64" t="b">
        <v>1</v>
      </c>
      <c r="J158" s="66" t="s">
        <v>3324</v>
      </c>
      <c r="K158" s="66" t="s">
        <v>3960</v>
      </c>
      <c r="L158" s="64" t="s">
        <v>4456</v>
      </c>
      <c r="M158" s="64" t="s">
        <v>5750</v>
      </c>
      <c r="N158" s="65" t="str">
        <f t="shared" si="18"/>
        <v>[Garland, L., Neilson, E., Avgar, T., Bayne, E., &amp; Boutin, S. (2020). Random Encounter and Staying Time Model Testing with Human Volunteers. &lt;i&gt;The Journal of Wildlife Management, 84&lt;/i&gt;(6), 1179-1184. &lt;a target="_blank" href="https://doi.org/10.1002/jwmg.21879"&gt;{https://doi.org/10.1002/jwmg.21879}]{#garland_et_al_2020}&lt;br&gt;&lt;br&gt;</v>
      </c>
      <c r="O158" s="64" t="s">
        <v>3323</v>
      </c>
      <c r="P158" s="64" t="s">
        <v>984</v>
      </c>
      <c r="Q158" s="64" t="str">
        <f t="shared" si="14"/>
        <v>{{ rtxt_garland_et_al_2020 }}</v>
      </c>
      <c r="R158" s="64" t="str">
        <f t="shared" si="15"/>
        <v>{{ rbib_garland_et_al_2020 }}</v>
      </c>
      <c r="S158" s="63" t="str">
        <f t="shared" si="19"/>
        <v>Garland, L., Neilson, E., Avgar, T., Bayne, E., &amp; Boutin, S. (2020). Random Encounter and Staying Time Model Testing with Human Volunteers. &lt;i&gt;The Journal of Wildlife Management, 84&lt;/i&gt;(6), 1179-1184. &lt;a href="https://doi.org/10.1002/jwmg.21879" target="_blank"&gt;https://doi.org/10.1002/jwmg.21879&lt;/a&gt;&lt;span style="color:white"&gt;[.]{#garland_et_al_2020}&lt;/span&gt;&lt;br&gt;&lt;br&gt;</v>
      </c>
      <c r="T158" s="64" t="str">
        <f t="shared" si="17"/>
        <v xml:space="preserve">    rtxt_garland_et_al_2020: "&lt;a href=\"/08_references.html#garland_et_al_2020\" target=\"_blank\"&gt;Garland et al., 2020&lt;/a&gt;"</v>
      </c>
      <c r="U158" s="64" t="str">
        <f t="shared" si="16"/>
        <v xml:space="preserve">    rbib_garland_et_al_2020: "Garland, L., Neilson, E., Avgar, T., Bayne, E., &amp; Boutin, S. (2020). Random Encounter and Staying Time Model Testing with Human Volunteers. *The Journal of Wildlife Management, 84*(6), 1179-1184. &lt;https://doi.org/10.1002/jwmg.21879&gt;"</v>
      </c>
      <c r="V158" s="64"/>
    </row>
    <row r="159" spans="1:22" ht="15.75">
      <c r="A159" s="64"/>
      <c r="B159" s="77"/>
      <c r="C159" s="77"/>
      <c r="D159" s="77"/>
      <c r="E159" s="64" t="s">
        <v>1904</v>
      </c>
      <c r="F159" s="65" t="s">
        <v>3330</v>
      </c>
      <c r="G159" s="65" t="s">
        <v>3329</v>
      </c>
      <c r="H159" s="65" t="s">
        <v>3329</v>
      </c>
      <c r="I159" s="64" t="b">
        <v>1</v>
      </c>
      <c r="J159" s="66" t="s">
        <v>3328</v>
      </c>
      <c r="K159" s="66" t="s">
        <v>3960</v>
      </c>
      <c r="L159" s="64" t="s">
        <v>4457</v>
      </c>
      <c r="M159" s="64" t="s">
        <v>5932</v>
      </c>
      <c r="N159" s="65" t="str">
        <f t="shared" si="18"/>
        <v>[Garland, T. (1983). The relation between maximal running speed and body mass in terrestrial mammals. &lt;i&gt;Journal of Zoology, 199&lt;/i&gt;(2), 157-170. &lt;a target="_blank" href="https://doi.org/10.1111/j.1469-7998.1983.tb02087.x"&gt;{https://doi.org/10.1111/j.1469-7998.1983.tb02087.x}]{#garland_1983}&lt;br&gt;&lt;br&gt;</v>
      </c>
      <c r="O159" s="64" t="s">
        <v>3327</v>
      </c>
      <c r="P159" s="64" t="s">
        <v>984</v>
      </c>
      <c r="Q159" s="64" t="str">
        <f t="shared" si="14"/>
        <v>{{ rtxt_garland_1983 }}</v>
      </c>
      <c r="R159" s="64" t="str">
        <f t="shared" si="15"/>
        <v>{{ rbib_garland_1983 }}</v>
      </c>
      <c r="S159" s="63" t="str">
        <f t="shared" si="19"/>
        <v>Garland, T. (1983). The relation between maximal running speed and body mass in terrestrial mammals. &lt;i&gt;Journal of Zoology, 199&lt;/i&gt;(2), 157-170. &lt;a href="https://doi.org/10.1111/j.1469-7998.1983.tb02087.x" target="_blank"&gt;https://doi.org/10.1111/j.1469-7998.1983.tb02087.x&lt;/a&gt;&lt;span style="color:white"&gt;[.]{#garland_1983}&lt;/span&gt;&lt;br&gt;&lt;br&gt;</v>
      </c>
      <c r="T159" s="64" t="str">
        <f t="shared" si="17"/>
        <v xml:space="preserve">    rtxt_garland_1983: "&lt;a href=\"/08_references.html#garland_1983\" target=\"_blank\"&gt;Garland, 1983&lt;/a&gt;"</v>
      </c>
      <c r="U159" s="64" t="str">
        <f t="shared" si="16"/>
        <v xml:space="preserve">    rbib_garland_1983: "Garland, T. (1983). The relation between maximal running speed and body mass in terrestrial mammals. *Journal of Zoology, 199*(2), 157-170. &lt;https://doi.org/10.1111/j.1469-7998.1983.tb02087.x&gt;"</v>
      </c>
      <c r="V159" s="64"/>
    </row>
    <row r="160" spans="1:22" ht="15.75">
      <c r="A160" s="64"/>
      <c r="B160" s="77"/>
      <c r="C160" s="77"/>
      <c r="D160" s="77"/>
      <c r="E160" s="64" t="s">
        <v>1904</v>
      </c>
      <c r="F160" s="64" t="s">
        <v>3322</v>
      </c>
      <c r="G160" s="65" t="s">
        <v>3321</v>
      </c>
      <c r="H160" s="65" t="s">
        <v>3321</v>
      </c>
      <c r="I160" s="64" t="b">
        <v>1</v>
      </c>
      <c r="J160" s="66" t="s">
        <v>3320</v>
      </c>
      <c r="K160" s="66" t="s">
        <v>3960</v>
      </c>
      <c r="L160" s="64" t="s">
        <v>4458</v>
      </c>
      <c r="M160" s="64" t="s">
        <v>5849</v>
      </c>
      <c r="N160" s="65" t="str">
        <f t="shared" si="18"/>
        <v>[Gaston, K. J., Blackburn, T. M., Greenwood, J. J. D., Gregory, R. D., Quinn, R. M., &amp; Lawton, J. H. (2000). Abundance-Occupancy Relationships. &lt;i&gt;The Journal of Applied Ecology, 37&lt;/i&gt;(s1), 39-59. &lt;a target="_blank" href="https://doi.org/10.1046/j.1365-2664.2000.00485.x"&gt;{https://doi.org/10.1046/j.1365-2664.2000.00485.x}]{#gaston_et_al_2000}&lt;br&gt;&lt;br&gt;</v>
      </c>
      <c r="O160" s="64" t="s">
        <v>3319</v>
      </c>
      <c r="P160" s="64" t="s">
        <v>984</v>
      </c>
      <c r="Q160" s="64" t="str">
        <f t="shared" si="14"/>
        <v>{{ rtxt_gaston_et_al_2000 }}</v>
      </c>
      <c r="R160" s="64" t="str">
        <f t="shared" si="15"/>
        <v>{{ rbib_gaston_et_al_2000 }}</v>
      </c>
      <c r="S160" s="63" t="str">
        <f t="shared" si="19"/>
        <v>Gaston, K. J., Blackburn, T. M., Greenwood, J. J. D., Gregory, R. D., Quinn, R. M., &amp; Lawton, J. H. (2000). Abundance-Occupancy Relationships. &lt;i&gt;The Journal of Applied Ecology, 37&lt;/i&gt;(s1), 39-59. &lt;a href="https://doi.org/10.1046/j.1365-2664.2000.00485.x" target="_blank"&gt;https://doi.org/10.1046/j.1365-2664.2000.00485.x&lt;/a&gt;&lt;span style="color:white"&gt;[.]{#gaston_et_al_2000}&lt;/span&gt;&lt;br&gt;&lt;br&gt;</v>
      </c>
      <c r="T160" s="64" t="str">
        <f t="shared" si="17"/>
        <v xml:space="preserve">    rtxt_gaston_et_al_2000: "&lt;a href=\"/08_references.html#gaston_et_al_2000\" target=\"_blank\"&gt;Gaston et al., 2000&lt;/a&gt;"</v>
      </c>
      <c r="U160" s="64" t="str">
        <f t="shared" si="16"/>
        <v xml:space="preserve">    rbib_gaston_et_al_2000: "Gaston, K. J., Blackburn, T. M., Greenwood, J. J. D., Gregory, R. D., Quinn, R. M., &amp; Lawton, J. H. (2000). Abundance-Occupancy Relationships. *The Journal of Applied Ecology, 37*(s1), 39-59. &lt;https://doi.org/10.1046/j.1365-2664.2000.00485.x&gt;"</v>
      </c>
      <c r="V160" s="64"/>
    </row>
    <row r="161" spans="1:22" ht="15.75">
      <c r="A161" s="64"/>
      <c r="B161" s="77"/>
      <c r="C161" s="77"/>
      <c r="D161" s="77"/>
      <c r="E161" s="64" t="s">
        <v>1904</v>
      </c>
      <c r="F161" s="64" t="s">
        <v>3310</v>
      </c>
      <c r="G161" s="64" t="s">
        <v>3309</v>
      </c>
      <c r="H161" s="64" t="s">
        <v>3309</v>
      </c>
      <c r="I161" s="64" t="b">
        <v>1</v>
      </c>
      <c r="J161" s="66" t="s">
        <v>3308</v>
      </c>
      <c r="K161" s="66" t="s">
        <v>3960</v>
      </c>
      <c r="L161" s="64" t="s">
        <v>4459</v>
      </c>
      <c r="M161" s="64" t="s">
        <v>5870</v>
      </c>
      <c r="N161" s="65" t="str">
        <f t="shared" si="18"/>
        <v>[Gerber, B. D., Devarajan, K., Farris, Z. J., &amp; Fidino, M. (2023). A model-based hypothesis framework to define and estimate the diel niche via the ‘Diel.Niche’ R package. &lt;i&gt;bioRxiv, 2023.06.21.545898.&lt;/i&gt; &lt;a target="_blank" href="https://doi.org/10.1101/2023.06.21.545898"&gt;{https://doi.org/10.1101/2023.06.21.545898}]{#gerber_et_al_2023}&lt;br&gt;&lt;br&gt;</v>
      </c>
      <c r="O161" s="64" t="s">
        <v>3307</v>
      </c>
      <c r="P161" s="64" t="s">
        <v>984</v>
      </c>
      <c r="Q161" s="64" t="str">
        <f t="shared" si="14"/>
        <v>{{ rtxt_gerber_et_al_2023 }}</v>
      </c>
      <c r="R161" s="64" t="str">
        <f t="shared" si="15"/>
        <v>{{ rbib_gerber_et_al_2023 }}</v>
      </c>
      <c r="S161" s="63" t="str">
        <f t="shared" si="19"/>
        <v>Gerber, B. D., Devarajan, K., Farris, Z. J., &amp; Fidino, M. (2023). A model-based hypothesis framework to define and estimate the diel niche via the ‘Diel.Niche’ R package. &lt;i&gt;bioRxiv, 2023.06.21.545898.&lt;/i&gt; &lt;a href="https://doi.org/10.1101/2023.06.21.545898" target="_blank"&gt;https://doi.org/10.1101/2023.06.21.545898&lt;/a&gt;&lt;span style="color:white"&gt;[.]{#gerber_et_al_2023}&lt;/span&gt;&lt;br&gt;&lt;br&gt;</v>
      </c>
      <c r="T161" s="64" t="str">
        <f t="shared" si="17"/>
        <v xml:space="preserve">    rtxt_gerber_et_al_2023: "&lt;a href=\"/08_references.html#gerber_et_al_2023\" target=\"_blank\"&gt;Gerber et al., 2023&lt;/a&gt;"</v>
      </c>
      <c r="U161" s="64" t="str">
        <f t="shared" si="16"/>
        <v xml:space="preserve">    rbib_gerber_et_al_2023: "Gerber, B. D., Devarajan, K., Farris, Z. J., &amp; Fidino, M. (2023). A model-based hypothesis framework to define and estimate the diel niche via the ‘Diel.Niche’ R package. *bioRxiv, 2023.06.21.545898.* &lt;https://doi.org/10.1101/2023.06.21.545898&gt;"</v>
      </c>
      <c r="V161" s="64"/>
    </row>
    <row r="162" spans="1:22" ht="15.75">
      <c r="A162" s="64"/>
      <c r="B162" s="77" t="b">
        <v>0</v>
      </c>
      <c r="C162" s="77" t="b">
        <v>0</v>
      </c>
      <c r="D162" s="77" t="b">
        <v>1</v>
      </c>
      <c r="E162" s="64" t="s">
        <v>1904</v>
      </c>
      <c r="F162" s="64" t="s">
        <v>3314</v>
      </c>
      <c r="G162" s="64" t="s">
        <v>3313</v>
      </c>
      <c r="H162" s="64" t="s">
        <v>3313</v>
      </c>
      <c r="I162" s="64" t="b">
        <v>1</v>
      </c>
      <c r="J162" s="66" t="s">
        <v>3312</v>
      </c>
      <c r="K162" s="66" t="s">
        <v>3960</v>
      </c>
      <c r="L162" s="64" t="s">
        <v>4460</v>
      </c>
      <c r="M162" s="64" t="s">
        <v>5791</v>
      </c>
      <c r="N162" s="65" t="str">
        <f t="shared" si="18"/>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href="https://doi.org/10.1007/s10144-011-0276-3"&gt;{https://doi.org/10.1007/s10144-011-0276-3}]{#gerber_et_al_2011}&lt;br&gt;&lt;br&gt;</v>
      </c>
      <c r="O162" s="64" t="s">
        <v>3311</v>
      </c>
      <c r="P162" s="64" t="s">
        <v>984</v>
      </c>
      <c r="Q162" s="64" t="str">
        <f t="shared" si="14"/>
        <v>{{ rtxt_gerber_et_al_2011 }}</v>
      </c>
      <c r="R162" s="64" t="str">
        <f t="shared" si="15"/>
        <v>{{ rbib_gerber_et_al_2011 }}</v>
      </c>
      <c r="S162" s="63" t="str">
        <f t="shared" si="19"/>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target="_blank"&gt;https://doi.org/10.1007/s10144-011-0276-3&lt;/a&gt;&lt;span style="color:white"&gt;[.]{#gerber_et_al_2011}&lt;/span&gt;&lt;br&gt;&lt;br&gt;</v>
      </c>
      <c r="T162" s="64" t="str">
        <f t="shared" si="17"/>
        <v xml:space="preserve">    rtxt_gerber_et_al_2011: "&lt;a href=\"/08_references.html#gerber_et_al_2011\" target=\"_blank\"&gt;Gerber et al., 2011&lt;/a&gt;"</v>
      </c>
      <c r="U162" s="64" t="str">
        <f t="shared" si="16"/>
        <v xml:space="preserve">    rbib_gerber_et_al_2011: "Gerber,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v>
      </c>
      <c r="V162" s="64"/>
    </row>
    <row r="163" spans="1:22" ht="15.75">
      <c r="A163" s="64"/>
      <c r="B163" s="77" t="b">
        <v>1</v>
      </c>
      <c r="C163" s="77" t="b">
        <v>1</v>
      </c>
      <c r="D163" s="77" t="b">
        <v>0</v>
      </c>
      <c r="E163" s="64" t="s">
        <v>1904</v>
      </c>
      <c r="F163" s="64" t="s">
        <v>3318</v>
      </c>
      <c r="G163" s="64" t="s">
        <v>3317</v>
      </c>
      <c r="H163" s="64" t="s">
        <v>3317</v>
      </c>
      <c r="I163" s="64" t="b">
        <v>1</v>
      </c>
      <c r="J163" s="66" t="s">
        <v>3316</v>
      </c>
      <c r="K163" s="66" t="s">
        <v>3960</v>
      </c>
      <c r="L163" s="64" t="s">
        <v>4461</v>
      </c>
      <c r="M163" s="64" t="s">
        <v>5839</v>
      </c>
      <c r="N163" s="65" t="str">
        <f t="shared" si="18"/>
        <v>[Gerber,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href="https://doi.org/10.1017/S0030605309991037"&gt;{https://doi.org/10.1017/S0030605309991037}]{#gerber_et_al_2010}&lt;br&gt;&lt;br&gt;</v>
      </c>
      <c r="O163" s="64" t="s">
        <v>3315</v>
      </c>
      <c r="P163" s="64" t="s">
        <v>984</v>
      </c>
      <c r="Q163" s="64" t="str">
        <f t="shared" si="14"/>
        <v>{{ rtxt_gerber_et_al_2010 }}</v>
      </c>
      <c r="R163" s="64" t="str">
        <f t="shared" si="15"/>
        <v>{{ rbib_gerber_et_al_2010 }}</v>
      </c>
      <c r="S163" s="63" t="str">
        <f t="shared" si="19"/>
        <v>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target="_blank"&gt;https://doi.org/10.1017/S0030605309991037&lt;/a&gt;&lt;span style="color:white"&gt;[.]{#gerber_et_al_2010}&lt;/span&gt;&lt;br&gt;&lt;br&gt;</v>
      </c>
      <c r="T163" s="64" t="str">
        <f t="shared" si="17"/>
        <v xml:space="preserve">    rtxt_gerber_et_al_2010: "&lt;a href=\"/08_references.html#gerber_et_al_2010\" target=\"_blank\"&gt;Gerber et al., 2010&lt;/a&gt;"</v>
      </c>
      <c r="U163" s="64" t="str">
        <f t="shared" si="16"/>
        <v xml:space="preserve">    rbib_gerber_et_al_2010: "Gerber, B., Karpanty, S. S. M., Crawford, C., Kotschwar, M., &amp; Randrianantenaina, J. (2010). An assessment of carnivore relative abundance and Density in the eastern rainforests of Madagascar using remotely-triggered camera traps. *Oryx, 44*(2), 219-222. &lt;https://doi.org/10.1017/S0030605309991037&gt;"</v>
      </c>
      <c r="V163" s="64"/>
    </row>
    <row r="164" spans="1:22" ht="15.75">
      <c r="A164" s="64"/>
      <c r="B164" s="77" t="b">
        <v>0</v>
      </c>
      <c r="C164" s="77" t="b">
        <v>0</v>
      </c>
      <c r="D164" s="77"/>
      <c r="E164" s="64" t="s">
        <v>984</v>
      </c>
      <c r="F164" s="64" t="s">
        <v>3306</v>
      </c>
      <c r="G164" s="64" t="s">
        <v>3305</v>
      </c>
      <c r="H164" s="64" t="s">
        <v>3304</v>
      </c>
      <c r="I164" s="64" t="b">
        <v>1</v>
      </c>
      <c r="J164" s="66" t="s">
        <v>3303</v>
      </c>
      <c r="K164" s="66" t="s">
        <v>3960</v>
      </c>
      <c r="L164" s="64" t="s">
        <v>4462</v>
      </c>
      <c r="M164" s="64" t="s">
        <v>5696</v>
      </c>
      <c r="N164" s="65" t="str">
        <f t="shared" si="18"/>
        <v>[Gerhart-Barley,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gerhartbarley_nd}&lt;br&gt;&lt;br&gt;</v>
      </c>
      <c r="O164" s="64" t="s">
        <v>3302</v>
      </c>
      <c r="P164" s="64" t="s">
        <v>984</v>
      </c>
      <c r="Q164" s="64" t="str">
        <f t="shared" si="14"/>
        <v>{{ rtxt_gerhartbarley_nd }}</v>
      </c>
      <c r="R164" s="64" t="str">
        <f t="shared" si="15"/>
        <v>{{ rbib_gerhartbarley_nd }}</v>
      </c>
      <c r="S164" s="63" t="str">
        <f t="shared" si="19"/>
        <v>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style="color:white"&gt;[.]{#gerhartbarley_nd}&lt;/span&gt;&lt;br&gt;&lt;br&gt;</v>
      </c>
      <c r="T164" s="64" t="str">
        <f t="shared" si="17"/>
        <v xml:space="preserve">    rtxt_gerhartbarley_nd: "&lt;a href=\"/08_references.html#gerhartbarley_nd\" target=\"_blank\"&gt;Gerhart-Barley, n.d.&lt;/a&gt;"</v>
      </c>
      <c r="U164" s="64" t="str">
        <f t="shared" si="16"/>
        <v xml:space="preserve">    rbib_gerhartbarley_nd: "Gerhart-Barley, L., M. (n.d.). *2.2: Measuring Species Diversity* &lt;https://bio.libretexts.org/Courses/University_of_California_Davis/BIS_2B%3A_Introduction_to_Biology_-_Ecology_and_Evolution/02%3A_Biodiversity/2.02%3A_Measuring_Species_Diversity&gt;"</v>
      </c>
      <c r="V164" s="64"/>
    </row>
    <row r="165" spans="1:22" ht="15.75">
      <c r="A165" s="64"/>
      <c r="B165" s="77"/>
      <c r="C165" s="77"/>
      <c r="D165" s="77"/>
      <c r="E165" s="64" t="s">
        <v>2946</v>
      </c>
      <c r="F165" s="64" t="s">
        <v>3297</v>
      </c>
      <c r="G165" s="64" t="s">
        <v>3296</v>
      </c>
      <c r="H165" s="64"/>
      <c r="I165" s="64" t="b">
        <v>1</v>
      </c>
      <c r="J165" s="65" t="s">
        <v>3295</v>
      </c>
      <c r="K165" s="66" t="s">
        <v>3960</v>
      </c>
      <c r="L165" s="64" t="s">
        <v>4305</v>
      </c>
      <c r="M165" s="64" t="s">
        <v>5680</v>
      </c>
      <c r="N165" s="65" t="str">
        <f t="shared" si="18"/>
        <v>[Gilbert,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gilbert_et_al_2022}&lt;br&gt;&lt;br&gt;</v>
      </c>
      <c r="O165" s="102" t="s">
        <v>6179</v>
      </c>
      <c r="P165" s="64" t="s">
        <v>984</v>
      </c>
      <c r="Q165" s="64" t="str">
        <f t="shared" si="14"/>
        <v>{{ rtxt_gilbert_et_al_2022 }}</v>
      </c>
      <c r="R165" s="64" t="str">
        <f t="shared" si="15"/>
        <v>{{ rbib_gilbert_et_al_2022 }}</v>
      </c>
      <c r="S165" s="63" t="str">
        <f t="shared" si="19"/>
        <v>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style="color:white"&gt;[.]{#gilbert_et_al_2022}&lt;/span&gt;&lt;br&gt;&lt;br&gt;</v>
      </c>
      <c r="T165" s="64" t="str">
        <f t="shared" si="17"/>
        <v xml:space="preserve">    rtxt_gilbert_et_al_2022: "&lt;a href=\"/08_references.html#gilbert_et_al_2022\" target=\"_blank\"&gt;Gilbert, 2022&lt;/a&gt;"</v>
      </c>
      <c r="U165" s="64" t="str">
        <f t="shared" si="16"/>
        <v xml:space="preserve">    rbib_gilbert_et_al_2022: "Gilbert, N. A. (2022). *Towards a temporal ecology of wildlife populations and communities.* [Doctor of Philosophy]. University of Wisconsin-Madison. &lt; https://search.proquest.com/openview/bfe15ec06593d5a8d3904add35055867/1?pq-origsite=gscholar&amp;cbl=18750&amp;diss=y&gt;"</v>
      </c>
      <c r="V165" s="64"/>
    </row>
    <row r="166" spans="1:22" ht="15.75">
      <c r="A166" s="64"/>
      <c r="B166" s="77" t="b">
        <v>1</v>
      </c>
      <c r="C166" s="77" t="b">
        <v>0</v>
      </c>
      <c r="D166" s="77" t="b">
        <v>0</v>
      </c>
      <c r="E166" s="64" t="s">
        <v>1904</v>
      </c>
      <c r="F166" s="64" t="s">
        <v>3301</v>
      </c>
      <c r="G166" s="64" t="s">
        <v>3300</v>
      </c>
      <c r="H166" s="64" t="s">
        <v>3300</v>
      </c>
      <c r="I166" s="64" t="b">
        <v>1</v>
      </c>
      <c r="J166" s="66" t="s">
        <v>3299</v>
      </c>
      <c r="K166" s="66" t="s">
        <v>3960</v>
      </c>
      <c r="L166" s="64" t="s">
        <v>4306</v>
      </c>
      <c r="M166" s="64" t="s">
        <v>5911</v>
      </c>
      <c r="N166" s="65" t="str">
        <f t="shared" si="18"/>
        <v>[Gilbert, N. A., Clare, J. D. J., Stenglein, J. L., &amp; Zuckerberg, B. (2020). Abundance Estimation of Unmarked Animals based on Camera-Trap Data. &lt;i&gt;Conservation Biology, 35&lt;/i&gt;(1), 88-100. &lt;a target="_blank" href="https://doi.org/10.1111/cobi.13517"&gt;{https://doi.org/10.1111/cobi.13517}]{#gilbert_et_al_2020}&lt;br&gt;&lt;br&gt;</v>
      </c>
      <c r="O166" s="64" t="s">
        <v>3298</v>
      </c>
      <c r="P166" s="64" t="s">
        <v>984</v>
      </c>
      <c r="Q166" s="64" t="str">
        <f t="shared" si="14"/>
        <v>{{ rtxt_gilbert_et_al_2020 }}</v>
      </c>
      <c r="R166" s="64" t="str">
        <f t="shared" si="15"/>
        <v>{{ rbib_gilbert_et_al_2020 }}</v>
      </c>
      <c r="S166" s="63" t="str">
        <f t="shared" si="19"/>
        <v>Gilbert, N. A., Clare, J. D. J., Stenglein, J. L., &amp; Zuckerberg, B. (2020). Abundance Estimation of Unmarked Animals based on Camera-Trap Data. &lt;i&gt;Conservation Biology, 35&lt;/i&gt;(1), 88-100. &lt;a href="https://doi.org/10.1111/cobi.13517" target="_blank"&gt;https://doi.org/10.1111/cobi.13517&lt;/a&gt;&lt;span style="color:white"&gt;[.]{#gilbert_et_al_2020}&lt;/span&gt;&lt;br&gt;&lt;br&gt;</v>
      </c>
      <c r="T166" s="64" t="str">
        <f t="shared" si="17"/>
        <v xml:space="preserve">    rtxt_gilbert_et_al_2020: "&lt;a href=\"/08_references.html#gilbert_et_al_2020\" target=\"_blank\"&gt;Gilbert et al., 2020&lt;/a&gt;"</v>
      </c>
      <c r="U166" s="64" t="str">
        <f t="shared" si="16"/>
        <v xml:space="preserve">    rbib_gilbert_et_al_2020: "Gilbert, N. A., Clare, J. D. J., Stenglein, J. L., &amp; Zuckerberg, B. (2020). Abundance Estimation of Unmarked Animals based on Camera-Trap Data. *Conservation Biology, 35*(1), 88-100. &lt;https://doi.org/10.1111/cobi.13517&gt;"</v>
      </c>
      <c r="V166" s="64"/>
    </row>
    <row r="167" spans="1:22" ht="15.75">
      <c r="A167" s="64"/>
      <c r="B167" s="77" t="b">
        <v>1</v>
      </c>
      <c r="C167" s="77" t="b">
        <v>0</v>
      </c>
      <c r="D167" s="77" t="b">
        <v>0</v>
      </c>
      <c r="E167" s="64" t="s">
        <v>2480</v>
      </c>
      <c r="F167" s="64" t="s">
        <v>3294</v>
      </c>
      <c r="G167" s="64" t="s">
        <v>3293</v>
      </c>
      <c r="H167" s="64" t="s">
        <v>3293</v>
      </c>
      <c r="I167" s="64" t="b">
        <v>1</v>
      </c>
      <c r="J167" s="66" t="s">
        <v>3292</v>
      </c>
      <c r="K167" s="66" t="s">
        <v>3960</v>
      </c>
      <c r="L167" s="64" t="s">
        <v>3972</v>
      </c>
      <c r="M167" s="64" t="s">
        <v>6065</v>
      </c>
      <c r="N167" s="65" t="str">
        <f t="shared" si="18"/>
        <v>[Gillespie,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gillespie_et_al_2015}&lt;br&gt;&lt;br&gt;</v>
      </c>
      <c r="O167" s="64" t="s">
        <v>3291</v>
      </c>
      <c r="P167" s="64" t="s">
        <v>984</v>
      </c>
      <c r="Q167" s="64" t="str">
        <f t="shared" si="14"/>
        <v>{{ rtxt_gillespie_et_al_2015 }}</v>
      </c>
      <c r="R167" s="64" t="str">
        <f t="shared" si="15"/>
        <v>{{ rbib_gillespie_et_al_2015 }}</v>
      </c>
      <c r="S167" s="63" t="str">
        <f t="shared" si="19"/>
        <v>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style="color:white"&gt;[.]{#gillespie_et_al_2015}&lt;/span&gt;&lt;br&gt;&lt;br&gt;</v>
      </c>
      <c r="T167" s="64" t="str">
        <f t="shared" si="17"/>
        <v xml:space="preserve">    rtxt_gillespie_et_al_2015: "&lt;a href=\"/08_references.html#gillespie_et_al_2015\" target=\"_blank\"&gt;Gillespie et al., 2015&lt;/a&gt;"</v>
      </c>
      <c r="U167" s="64" t="str">
        <f t="shared" si="16"/>
        <v xml:space="preserve">    rbib_gillespie_et_al_2015: "Gillespie,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v>
      </c>
      <c r="V167" s="64"/>
    </row>
    <row r="168" spans="1:22" ht="15.75">
      <c r="A168" s="64"/>
      <c r="B168" s="77"/>
      <c r="C168" s="77"/>
      <c r="D168" s="77"/>
      <c r="E168" s="64" t="s">
        <v>1950</v>
      </c>
      <c r="F168" s="64" t="s">
        <v>3290</v>
      </c>
      <c r="G168" s="65" t="s">
        <v>3289</v>
      </c>
      <c r="H168" s="65" t="s">
        <v>3289</v>
      </c>
      <c r="I168" s="64" t="b">
        <v>1</v>
      </c>
      <c r="J168" s="65" t="s">
        <v>3288</v>
      </c>
      <c r="K168" s="66" t="s">
        <v>3960</v>
      </c>
      <c r="L168" s="64" t="s">
        <v>3973</v>
      </c>
      <c r="M168" s="64" t="s">
        <v>6041</v>
      </c>
      <c r="N168" s="65" t="str">
        <f t="shared" si="18"/>
        <v>[Gimenez, O. (2020a). &lt;i&gt;Bias in single-season occupancy models.&lt;/i&gt; &lt;a target="_blank" href="https://ecologicalstatistics.shinyapps.io/bias_occupancy; "&gt;{https://ecologicalstatistics.shinyapps.io/bias_occupancy; }]{#gimenez_2020a}&lt;br&gt;&lt;br&gt;</v>
      </c>
      <c r="O168" s="64" t="s">
        <v>3287</v>
      </c>
      <c r="P168" s="64" t="s">
        <v>984</v>
      </c>
      <c r="Q168" s="64" t="str">
        <f t="shared" si="14"/>
        <v>{{ rtxt_gimenez_2020a }}</v>
      </c>
      <c r="R168" s="64" t="str">
        <f t="shared" si="15"/>
        <v>{{ rbib_gimenez_2020a }}</v>
      </c>
      <c r="S168" s="63" t="str">
        <f t="shared" si="19"/>
        <v>Gimenez, O. (2020a). &lt;i&gt;Bias in single-season occupancy models.&lt;/i&gt; &lt;a href="https://ecologicalstatistics.shinyapps.io/bias_occupancy; " target="_blank"&gt;https://ecologicalstatistics.shinyapps.io/bias_occupancy; &lt;/a&gt;&lt;span style="color:white"&gt;[.]{#gimenez_2020a}&lt;/span&gt;&lt;br&gt;&lt;br&gt;</v>
      </c>
      <c r="T168" s="64" t="str">
        <f t="shared" si="17"/>
        <v xml:space="preserve">    rtxt_gimenez_2020a: "&lt;a href=\"/08_references.html#gimenez_2020a\" target=\"_blank\"&gt;Gimenez, 2020a&lt;/a&gt;"</v>
      </c>
      <c r="U168" s="64" t="str">
        <f t="shared" si="16"/>
        <v xml:space="preserve">    rbib_gimenez_2020a: "Gimenez, O. (2020a). *Bias in single-season occupancy models.* &lt;https://ecologicalstatistics.shinyapps.io/bias_occupancy&gt;; &lt;https://github.com/oliviergimenez/bias_occupancy_flexdashboard&gt;"</v>
      </c>
      <c r="V168" s="64" t="s">
        <v>3286</v>
      </c>
    </row>
    <row r="169" spans="1:22" ht="15.75">
      <c r="A169" s="64"/>
      <c r="B169" s="77"/>
      <c r="C169" s="77"/>
      <c r="D169" s="77"/>
      <c r="E169" s="64" t="s">
        <v>1950</v>
      </c>
      <c r="F169" s="64" t="s">
        <v>3285</v>
      </c>
      <c r="G169" s="65" t="s">
        <v>3284</v>
      </c>
      <c r="H169" s="65" t="s">
        <v>3284</v>
      </c>
      <c r="I169" s="64" t="b">
        <v>1</v>
      </c>
      <c r="J169" s="65" t="s">
        <v>3283</v>
      </c>
      <c r="K169" s="66" t="s">
        <v>3960</v>
      </c>
      <c r="L169" s="64" t="s">
        <v>3974</v>
      </c>
      <c r="M169" s="64" t="s">
        <v>6049</v>
      </c>
      <c r="N169" s="65" t="str">
        <f t="shared" si="18"/>
        <v>[Gimenez, O. (2020b). &lt;i&gt;Bias in occupancy estimate for a static model.&lt;/i&gt; &lt;a target="_blank" href="https://github.com/oliviergimenez/bias_occupancy"&gt;{https://github.com/oliviergimenez/bias_occupancy}]{#gimenez_2020b}&lt;br&gt;&lt;br&gt;</v>
      </c>
      <c r="O169" s="64" t="s">
        <v>3282</v>
      </c>
      <c r="P169" s="64" t="s">
        <v>984</v>
      </c>
      <c r="Q169" s="64" t="str">
        <f t="shared" si="14"/>
        <v>{{ rtxt_gimenez_2020b }}</v>
      </c>
      <c r="R169" s="64" t="str">
        <f t="shared" si="15"/>
        <v>{{ rbib_gimenez_2020b }}</v>
      </c>
      <c r="S169" s="63" t="str">
        <f t="shared" si="19"/>
        <v>Gimenez, O. (2020b). &lt;i&gt;Bias in occupancy estimate for a static model.&lt;/i&gt; &lt;a href="https://github.com/oliviergimenez/bias_occupancy" target="_blank"&gt;https://github.com/oliviergimenez/bias_occupancy&lt;/a&gt;&lt;span style="color:white"&gt;[.]{#gimenez_2020b}&lt;/span&gt;&lt;br&gt;&lt;br&gt;</v>
      </c>
      <c r="T169" s="64" t="str">
        <f t="shared" si="17"/>
        <v xml:space="preserve">    rtxt_gimenez_2020b: "&lt;a href=\"/08_references.html#gimenez_2020b\" target=\"_blank\"&gt;Gimenez, 2020b&lt;/a&gt;"</v>
      </c>
      <c r="U169" s="64" t="str">
        <f t="shared" si="16"/>
        <v xml:space="preserve">    rbib_gimenez_2020b: "Gimenez, O. (2020b). *Bias in occupancy estimate for a static model.* &lt;https://github.com/oliviergimenez/bias_occupancy&gt;"</v>
      </c>
      <c r="V169" s="64"/>
    </row>
    <row r="170" spans="1:22" ht="15.75">
      <c r="A170" s="64"/>
      <c r="B170" s="77"/>
      <c r="C170" s="77"/>
      <c r="D170" s="77"/>
      <c r="E170" s="64" t="s">
        <v>1945</v>
      </c>
      <c r="F170" s="64" t="s">
        <v>3281</v>
      </c>
      <c r="G170" s="64" t="s">
        <v>3280</v>
      </c>
      <c r="H170" s="64" t="s">
        <v>3280</v>
      </c>
      <c r="I170" s="64" t="b">
        <v>1</v>
      </c>
      <c r="J170" s="66" t="s">
        <v>3279</v>
      </c>
      <c r="K170" s="66" t="s">
        <v>3960</v>
      </c>
      <c r="L170" s="64" t="s">
        <v>3975</v>
      </c>
      <c r="M170" s="64" t="s">
        <v>6156</v>
      </c>
      <c r="N170" s="65" t="str">
        <f t="shared" si="18"/>
        <v>[Gimenez, O. (2023, May 16). &lt;i&gt;Workshop on estimating (wolf) occupancy with R&lt;/i&gt; [Video]. YouTube. &lt;a target="_blank" href="https://www.youtube.com/watch?v=rpjVrFI_dr8"&gt;{https://www.youtube.com/watch?v=rpjVrFI_dr8}]{#gimenez_2023}&lt;br&gt;&lt;br&gt;</v>
      </c>
      <c r="O170" s="64" t="s">
        <v>3277</v>
      </c>
      <c r="P170" s="64" t="s">
        <v>3278</v>
      </c>
      <c r="Q170" s="64" t="str">
        <f t="shared" si="14"/>
        <v>{{ rtxt_gimenez_2023 }}</v>
      </c>
      <c r="R170" s="64" t="str">
        <f t="shared" si="15"/>
        <v>{{ rbib_gimenez_2023 }}</v>
      </c>
      <c r="S170" s="63" t="str">
        <f t="shared" si="19"/>
        <v>Gimenez, O. (2023, May 16). &lt;i&gt;Workshop on estimating (wolf) occupancy with R&lt;/i&gt; [Video]. YouTube. &lt;a href="https://www.youtube.com/watch?v=rpjVrFI_dr8" target="_blank"&gt;https://www.youtube.com/watch?v=rpjVrFI_dr8&lt;/a&gt;&lt;span style="color:white"&gt;[.]{#gimenez_2023}&lt;/span&gt;&lt;br&gt;&lt;br&gt;</v>
      </c>
      <c r="T170" s="64" t="str">
        <f t="shared" si="17"/>
        <v xml:space="preserve">    rtxt_gimenez_2023: "&lt;a href=\"/08_references.html#gimenez_2023\" target=\"_blank\"&gt;Gimenez, 2023&lt;/a&gt;"</v>
      </c>
      <c r="U170" s="64" t="str">
        <f t="shared" si="16"/>
        <v xml:space="preserve">    rbib_gimenez_2023: "Gimenez, O. (2023, May 16). *Workshop on estimating (wolf) occupancy with R* [Video]. YouTube. &lt;https://www.youtube.com/watch?v=rpjVrFI_dr8&gt;"</v>
      </c>
      <c r="V170" s="64"/>
    </row>
    <row r="171" spans="1:22" ht="15.75">
      <c r="A171" s="64"/>
      <c r="B171" s="77" t="b">
        <v>1</v>
      </c>
      <c r="C171" s="77" t="b">
        <v>0</v>
      </c>
      <c r="D171" s="77" t="b">
        <v>0</v>
      </c>
      <c r="E171" s="64" t="s">
        <v>1904</v>
      </c>
      <c r="F171" s="64" t="s">
        <v>3276</v>
      </c>
      <c r="G171" s="64" t="s">
        <v>3275</v>
      </c>
      <c r="H171" s="64" t="s">
        <v>3275</v>
      </c>
      <c r="I171" s="64" t="b">
        <v>1</v>
      </c>
      <c r="J171" s="66" t="s">
        <v>3274</v>
      </c>
      <c r="K171" s="66" t="s">
        <v>3960</v>
      </c>
      <c r="L171" s="64" t="s">
        <v>3976</v>
      </c>
      <c r="M171" s="64" t="s">
        <v>5962</v>
      </c>
      <c r="N171" s="65" t="str">
        <f t="shared" si="18"/>
        <v>[Glen, A. S., Cockburn, S., Nichols, M., Ekanayake, J., &amp; Warburton, B. (2013) Optimising Camera Traps for Monitoring Small Mammals. &lt;i&gt;PloS one, 8&lt;/i&gt;(6), Article e67940. &lt;a target="_blank" href="https://doi.org/10.1371/journal.pone.0067940"&gt;{https://doi.org/10.1371/journal.pone.0067940}]{#glen_et_al_2013}&lt;br&gt;&lt;br&gt;</v>
      </c>
      <c r="O171" s="64" t="s">
        <v>3273</v>
      </c>
      <c r="P171" s="64" t="s">
        <v>984</v>
      </c>
      <c r="Q171" s="64" t="str">
        <f t="shared" si="14"/>
        <v>{{ rtxt_glen_et_al_2013 }}</v>
      </c>
      <c r="R171" s="64" t="str">
        <f t="shared" si="15"/>
        <v>{{ rbib_glen_et_al_2013 }}</v>
      </c>
      <c r="S171" s="63" t="str">
        <f t="shared" si="19"/>
        <v>Glen, A. S., Cockburn, S., Nichols, M., Ekanayake, J., &amp; Warburton, B. (2013) Optimising Camera Traps for Monitoring Small Mammals. &lt;i&gt;PloS one, 8&lt;/i&gt;(6), Article e67940. &lt;a href="https://doi.org/10.1371/journal.pone.0067940" target="_blank"&gt;https://doi.org/10.1371/journal.pone.0067940&lt;/a&gt;&lt;span style="color:white"&gt;[.]{#glen_et_al_2013}&lt;/span&gt;&lt;br&gt;&lt;br&gt;</v>
      </c>
      <c r="T171" s="64" t="str">
        <f t="shared" si="17"/>
        <v xml:space="preserve">    rtxt_glen_et_al_2013: "&lt;a href=\"/08_references.html#glen_et_al_2013\" target=\"_blank\"&gt;Glen et al., 2013&lt;/a&gt;"</v>
      </c>
      <c r="U171" s="64" t="str">
        <f t="shared" si="16"/>
        <v xml:space="preserve">    rbib_glen_et_al_2013: "Glen, A. S., Cockburn, S., Nichols, M., Ekanayake, J., &amp; Warburton, B. (2013) Optimising Camera Traps for Monitoring Small Mammals. *PloS one,* 8(6), Article e67940. &lt;https://doi.org/10.1371/journal.pone.0067940&gt;"</v>
      </c>
      <c r="V171" s="64"/>
    </row>
    <row r="172" spans="1:22" ht="15.75">
      <c r="A172" s="64"/>
      <c r="B172" s="77" t="b">
        <v>0</v>
      </c>
      <c r="C172" s="77" t="b">
        <v>0</v>
      </c>
      <c r="D172" s="77" t="s">
        <v>1993</v>
      </c>
      <c r="E172" s="64" t="s">
        <v>1904</v>
      </c>
      <c r="F172" s="64" t="s">
        <v>3272</v>
      </c>
      <c r="G172" s="64" t="s">
        <v>3271</v>
      </c>
      <c r="H172" s="64" t="s">
        <v>3271</v>
      </c>
      <c r="I172" s="64" t="b">
        <v>1</v>
      </c>
      <c r="J172" s="66" t="s">
        <v>3270</v>
      </c>
      <c r="K172" s="66" t="s">
        <v>3960</v>
      </c>
      <c r="L172" s="64" t="s">
        <v>3977</v>
      </c>
      <c r="M172" s="64" t="s">
        <v>5757</v>
      </c>
      <c r="N172" s="65" t="str">
        <f t="shared" si="18"/>
        <v>[Glover‐Kapfer,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href="https://doi.org/10.1002/rse2.106"&gt;{https://doi.org/10.1002/rse2.106}]{#glover_kapfer_et_al_2019}&lt;br&gt;&lt;br&gt;</v>
      </c>
      <c r="O172" s="64" t="s">
        <v>3269</v>
      </c>
      <c r="P172" s="64" t="s">
        <v>984</v>
      </c>
      <c r="Q172" s="64" t="str">
        <f t="shared" si="14"/>
        <v>{{ rtxt_glover_kapfer_et_al_2019 }}</v>
      </c>
      <c r="R172" s="64" t="str">
        <f t="shared" si="15"/>
        <v>{{ rbib_glover_kapfer_et_al_2019 }}</v>
      </c>
      <c r="S172" s="63" t="str">
        <f t="shared" si="19"/>
        <v>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target="_blank"&gt;https://doi.org/10.1002/rse2.106&lt;/a&gt;&lt;span style="color:white"&gt;[.]{#glover_kapfer_et_al_2019}&lt;/span&gt;&lt;br&gt;&lt;br&gt;</v>
      </c>
      <c r="T172" s="64" t="str">
        <f t="shared" si="17"/>
        <v xml:space="preserve">    rtxt_glover_kapfer_et_al_2019: "&lt;a href=\"/08_references.html#glover_kapfer_et_al_2019\" target=\"_blank\"&gt;Glover-Kapfer et al., 2017&lt;/a&gt;"</v>
      </c>
      <c r="U172" s="64" t="str">
        <f t="shared" si="16"/>
        <v xml:space="preserve">    rbib_glover_kapfer_et_al_2019: "Glover‐Kapfer, P., Soto‐Navarro, C. A., Wearn, O. R., Rowcliffe, M., &amp; Sollmann, R. (2019). Camera‐trapping version 3.0: Current constraints and future priorities for development. *Remote Sensing in Ecology and Conservation, 5*(3), 209-223. &lt;https://doi.org/10.1002/rse2.106&gt;"</v>
      </c>
      <c r="V172" s="64"/>
    </row>
    <row r="173" spans="1:22" ht="15.75">
      <c r="A173" s="64"/>
      <c r="B173" s="77" t="b">
        <v>0</v>
      </c>
      <c r="C173" s="77" t="b">
        <v>0</v>
      </c>
      <c r="D173" s="77"/>
      <c r="E173" s="64" t="s">
        <v>1904</v>
      </c>
      <c r="F173" s="64" t="s">
        <v>3260</v>
      </c>
      <c r="G173" s="64" t="s">
        <v>3259</v>
      </c>
      <c r="H173" s="64" t="s">
        <v>3259</v>
      </c>
      <c r="I173" s="64" t="b">
        <v>1</v>
      </c>
      <c r="J173" s="66" t="s">
        <v>3258</v>
      </c>
      <c r="K173" s="66" t="s">
        <v>3960</v>
      </c>
      <c r="L173" s="64" t="s">
        <v>3978</v>
      </c>
      <c r="M173" s="64" t="s">
        <v>5944</v>
      </c>
      <c r="N173" s="65" t="str">
        <f t="shared" si="18"/>
        <v>[Gopalaswamy,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href="https://doi.org/10.1111/j.2041-210X.2012.00241.x"&gt;{https://doi.org/10.1111/j.2041-210X.2012.00241.x}]{#gopalaswamy_et_al_2012}&lt;br&gt;&lt;br&gt;</v>
      </c>
      <c r="O173" s="64" t="s">
        <v>3257</v>
      </c>
      <c r="P173" s="64" t="s">
        <v>984</v>
      </c>
      <c r="Q173" s="64" t="str">
        <f t="shared" si="14"/>
        <v>{{ rtxt_gopalaswamy_et_al_2012 }}</v>
      </c>
      <c r="R173" s="64" t="str">
        <f t="shared" si="15"/>
        <v>{{ rbib_gopalaswamy_et_al_2012 }}</v>
      </c>
      <c r="S173" s="63" t="str">
        <f t="shared" si="19"/>
        <v>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target="_blank"&gt;https://doi.org/10.1111/j.2041-210X.2012.00241.x&lt;/a&gt;&lt;span style="color:white"&gt;[.]{#gopalaswamy_et_al_2012}&lt;/span&gt;&lt;br&gt;&lt;br&gt;</v>
      </c>
      <c r="T173" s="64" t="str">
        <f t="shared" si="17"/>
        <v xml:space="preserve">    rtxt_gopalaswamy_et_al_2012: "&lt;a href=\"/08_references.html#gopalaswamy_et_al_2012\" target=\"_blank\"&gt;Gopalaswamy et al., 2012&lt;/a&gt;"</v>
      </c>
      <c r="U173" s="64" t="str">
        <f t="shared" si="16"/>
        <v xml:space="preserve">    rbib_gopalaswamy_et_al_2012: "Gopalaswamy, A. M., Royle, J. A., Hines, J. E., Singh, P., Jathanna, D., Kumar, N. S., &amp; Karanth, K. U. (2012). Program SPACECAP: software for estimating animal Density using spatially explicit capture-recapture models. *Methods in Ecology and Evolution, 3*(6), 1067-1072. &lt;https://doi.org/10.1111/j.2041-210X.2012.00241.x&gt;"</v>
      </c>
      <c r="V173" s="64"/>
    </row>
    <row r="174" spans="1:22" ht="15.75">
      <c r="A174" s="64"/>
      <c r="B174" s="77" t="b">
        <v>0</v>
      </c>
      <c r="C174" s="77" t="b">
        <v>0</v>
      </c>
      <c r="D174" s="77"/>
      <c r="E174" s="64" t="s">
        <v>1904</v>
      </c>
      <c r="F174" s="64" t="s">
        <v>3256</v>
      </c>
      <c r="G174" s="64" t="s">
        <v>3255</v>
      </c>
      <c r="H174" s="64" t="s">
        <v>3255</v>
      </c>
      <c r="I174" s="64" t="b">
        <v>1</v>
      </c>
      <c r="J174" s="66" t="s">
        <v>3254</v>
      </c>
      <c r="K174" s="66" t="s">
        <v>3960</v>
      </c>
      <c r="L174" s="64" t="s">
        <v>3979</v>
      </c>
      <c r="M174" s="64" t="s">
        <v>5811</v>
      </c>
      <c r="N174" s="65" t="str">
        <f t="shared" si="18"/>
        <v>[Gotelli,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href="https://doi.org/10.1016/B978-0-12-384719-5.00424-X"&gt;{https://doi.org/10.1016/B978-0-12-384719-5.00424-X}]{#gotelli_chao_2013}&lt;br&gt;&lt;br&gt;</v>
      </c>
      <c r="O174" s="64" t="s">
        <v>3253</v>
      </c>
      <c r="P174" s="64" t="s">
        <v>984</v>
      </c>
      <c r="Q174" s="64" t="str">
        <f t="shared" si="14"/>
        <v>{{ rtxt_gotelli_chao_2013 }}</v>
      </c>
      <c r="R174" s="64" t="str">
        <f t="shared" si="15"/>
        <v>{{ rbib_gotelli_chao_2013 }}</v>
      </c>
      <c r="S174" s="63" t="str">
        <f t="shared" si="19"/>
        <v>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target="_blank"&gt;https://doi.org/10.1016/B978-0-12-384719-5.00424-X&lt;/a&gt;&lt;span style="color:white"&gt;[.]{#gotelli_chao_2013}&lt;/span&gt;&lt;br&gt;&lt;br&gt;</v>
      </c>
      <c r="T174" s="64" t="str">
        <f t="shared" si="17"/>
        <v xml:space="preserve">    rtxt_gotelli_chao_2013: "&lt;a href=\"/08_references.html#gotelli_chao_2013\" target=\"_blank\"&gt;Gotelli &amp; Chao, 2013&lt;/a&gt;"</v>
      </c>
      <c r="U174" s="64" t="str">
        <f t="shared" si="16"/>
        <v xml:space="preserve">    rbib_gotelli_chao_2013: "Gotelli, N. J., &amp; Chao, A. (2013). Measuring and Estimating Species Richness, Species Diversity, and Biotic Similarity from Sampling Data. In *Encyclopedia of Biodiversity* (pp. 195-211). Elsevier. &lt;https://doi.org/10.1016/B978-0-12-384719-5.00424-X&gt;"</v>
      </c>
      <c r="V174" s="64"/>
    </row>
    <row r="175" spans="1:22" ht="15.75">
      <c r="A175" s="64"/>
      <c r="B175" s="77" t="b">
        <v>0</v>
      </c>
      <c r="C175" s="77" t="b">
        <v>0</v>
      </c>
      <c r="D175" s="77" t="b">
        <v>1</v>
      </c>
      <c r="E175" s="64" t="s">
        <v>1904</v>
      </c>
      <c r="F175" s="64" t="s">
        <v>3252</v>
      </c>
      <c r="G175" s="64" t="s">
        <v>3251</v>
      </c>
      <c r="H175" s="64" t="s">
        <v>3251</v>
      </c>
      <c r="I175" s="64" t="b">
        <v>1</v>
      </c>
      <c r="J175" s="66" t="s">
        <v>3250</v>
      </c>
      <c r="K175" s="66" t="s">
        <v>3960</v>
      </c>
      <c r="L175" s="64" t="s">
        <v>3980</v>
      </c>
      <c r="M175" s="64" t="s">
        <v>5850</v>
      </c>
      <c r="N175" s="65" t="str">
        <f t="shared" si="18"/>
        <v>[Gotelli, N., &amp; Colwell, R. (2001). Quantifying biodiversity: procedures and pitfalls in the measurement and comparison of species richness. &lt;i&gt;Ecology Letters, 4&lt;/i&gt;, 379-391. &lt;a target="_blank" href="https://doi.org/10.1046/j.1461-0248.2001.00230.x"&gt;{https://doi.org/10.1046/j.1461-0248.2001.00230.x}]{#gotelli_colwell_2001}&lt;br&gt;&lt;br&gt;</v>
      </c>
      <c r="O175" s="64" t="s">
        <v>3249</v>
      </c>
      <c r="P175" s="64" t="s">
        <v>984</v>
      </c>
      <c r="Q175" s="64" t="str">
        <f t="shared" si="14"/>
        <v>{{ rtxt_gotelli_colwell_2001 }}</v>
      </c>
      <c r="R175" s="64" t="str">
        <f t="shared" si="15"/>
        <v>{{ rbib_gotelli_colwell_2001 }}</v>
      </c>
      <c r="S175" s="63" t="str">
        <f t="shared" si="19"/>
        <v>Gotelli, N., &amp; Colwell, R. (2001). Quantifying biodiversity: procedures and pitfalls in the measurement and comparison of species richness. &lt;i&gt;Ecology Letters, 4&lt;/i&gt;, 379-391. &lt;a href="https://doi.org/10.1046/j.1461-0248.2001.00230.x" target="_blank"&gt;https://doi.org/10.1046/j.1461-0248.2001.00230.x&lt;/a&gt;&lt;span style="color:white"&gt;[.]{#gotelli_colwell_2001}&lt;/span&gt;&lt;br&gt;&lt;br&gt;</v>
      </c>
      <c r="T175" s="64" t="str">
        <f t="shared" si="17"/>
        <v xml:space="preserve">    rtxt_gotelli_colwell_2001: "&lt;a href=\"/08_references.html#gotelli_colwell_2001\" target=\"_blank\"&gt;Gotelli &amp; Colwell, 2001&lt;/a&gt;"</v>
      </c>
      <c r="U175" s="64" t="str">
        <f t="shared" si="16"/>
        <v xml:space="preserve">    rbib_gotelli_colwell_2001: "Gotelli, N., &amp; Colwell, R. (2001). Quantifying biodiversity: procedures and pitfalls in the measurement and comparison of species richness. *Ecology Letters, 4*, 379-391. &lt;https://doi.org/10.1046/j.1461-0248.2001.00230.x&gt;"</v>
      </c>
      <c r="V175" s="64"/>
    </row>
    <row r="176" spans="1:22" ht="15.75">
      <c r="A176" s="64"/>
      <c r="B176" s="77" t="b">
        <v>0</v>
      </c>
      <c r="C176" s="77" t="b">
        <v>0</v>
      </c>
      <c r="D176" s="77" t="b">
        <v>1</v>
      </c>
      <c r="E176" s="64" t="s">
        <v>1939</v>
      </c>
      <c r="F176" s="64" t="s">
        <v>3248</v>
      </c>
      <c r="G176" s="64" t="s">
        <v>3247</v>
      </c>
      <c r="H176" s="64" t="s">
        <v>3247</v>
      </c>
      <c r="I176" s="64" t="b">
        <v>1</v>
      </c>
      <c r="J176" s="66" t="s">
        <v>3246</v>
      </c>
      <c r="K176" s="66" t="s">
        <v>3960</v>
      </c>
      <c r="L176" s="64" t="s">
        <v>3981</v>
      </c>
      <c r="M176" s="64" t="s">
        <v>6122</v>
      </c>
      <c r="N176" s="65" t="str">
        <f t="shared" si="18"/>
        <v>[Gotelli,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href="https://www.researchgate.net/publication/236734446_Estimating_species_richness"&gt;{https://www.researchgate.net/publication/236734446_Estimating_species_richness}]{#gotelli_colwell_2011}&lt;br&gt;&lt;br&gt;</v>
      </c>
      <c r="O176" s="64" t="s">
        <v>3245</v>
      </c>
      <c r="P176" s="64" t="s">
        <v>984</v>
      </c>
      <c r="Q176" s="64" t="str">
        <f t="shared" si="14"/>
        <v>{{ rtxt_gotelli_colwell_2011 }}</v>
      </c>
      <c r="R176" s="64" t="str">
        <f t="shared" si="15"/>
        <v>{{ rbib_gotelli_colwell_2011 }}</v>
      </c>
      <c r="S176" s="63" t="str">
        <f t="shared" si="19"/>
        <v>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target="_blank"&gt;https://www.researchgate.net/publication/236734446_Estimating_species_richness&lt;/a&gt;&lt;span style="color:white"&gt;[.]{#gotelli_colwell_2011}&lt;/span&gt;&lt;br&gt;&lt;br&gt;</v>
      </c>
      <c r="T176" s="64" t="str">
        <f t="shared" si="17"/>
        <v xml:space="preserve">    rtxt_gotelli_colwell_2011: "&lt;a href=\"/08_references.html#gotelli_colwell_2011\" target=\"_blank\"&gt;Gotelli &amp; Colwell, 2011&lt;/a&gt;"</v>
      </c>
      <c r="U176" s="64" t="str">
        <f t="shared" si="16"/>
        <v xml:space="preserve">    rbib_gotelli_colwell_2011: "Gotelli, N., &amp; Colwell, R. (2011). Estimating species richness. In *Biological Diversity: Frontiers in Measurement and Assessment* (eds. Magurran, A., &amp; McGill, B.). Oxford University Press. Oxford, pp. 39-54. &lt;https://www.researchgate.net/publication/236734446_Estimating_species_richness&gt;"</v>
      </c>
      <c r="V176" s="64"/>
    </row>
    <row r="177" spans="1:22" ht="15.75">
      <c r="A177" s="64"/>
      <c r="B177" s="77" t="b">
        <v>1</v>
      </c>
      <c r="C177" s="77" t="b">
        <v>0</v>
      </c>
      <c r="D177" s="77" t="b">
        <v>0</v>
      </c>
      <c r="E177" s="64" t="s">
        <v>2480</v>
      </c>
      <c r="F177" s="64" t="s">
        <v>3268</v>
      </c>
      <c r="G177" s="64" t="s">
        <v>3267</v>
      </c>
      <c r="H177" s="64" t="s">
        <v>3267</v>
      </c>
      <c r="I177" s="64" t="b">
        <v>1</v>
      </c>
      <c r="J177" s="66" t="s">
        <v>3266</v>
      </c>
      <c r="K177" s="66" t="s">
        <v>3960</v>
      </c>
      <c r="L177" s="64" t="s">
        <v>3982</v>
      </c>
      <c r="M177" s="64" t="s">
        <v>6094</v>
      </c>
      <c r="N177" s="65" t="str">
        <f t="shared" si="18"/>
        <v>[Government of Alberta (2023a) &lt;i&gt;LAT Overview.&lt;/i&gt; Edmonton, Alberta. &lt;a target="_blank" href="https://www.alberta.ca/lat-overview.aspx"&gt;{https://www.alberta.ca/lat-overview.aspx}]{#goa_2023a}&lt;br&gt;&lt;br&gt;</v>
      </c>
      <c r="O177" s="64" t="s">
        <v>3265</v>
      </c>
      <c r="P177" s="64" t="s">
        <v>984</v>
      </c>
      <c r="Q177" s="64" t="str">
        <f t="shared" si="14"/>
        <v>{{ rtxt_goa_2023a }}</v>
      </c>
      <c r="R177" s="64" t="str">
        <f t="shared" si="15"/>
        <v>{{ rbib_goa_2023a }}</v>
      </c>
      <c r="S177" s="63" t="str">
        <f t="shared" si="19"/>
        <v>Government of Alberta (2023a) &lt;i&gt;LAT Overview.&lt;/i&gt; Edmonton, Alberta. &lt;a href="https://www.alberta.ca/lat-overview.aspx" target="_blank"&gt;https://www.alberta.ca/lat-overview.aspx&lt;/a&gt;&lt;span style="color:white"&gt;[.]{#goa_2023a}&lt;/span&gt;&lt;br&gt;&lt;br&gt;</v>
      </c>
      <c r="T177" s="64" t="str">
        <f t="shared" si="17"/>
        <v xml:space="preserve">    rtxt_goa_2023a: "&lt;a href=\"/08_references.html#goa_2023a\" target=\"_blank\"&gt;Government of Alberta, 2023a&lt;/a&gt;"</v>
      </c>
      <c r="U177" s="64" t="str">
        <f t="shared" si="16"/>
        <v xml:space="preserve">    rbib_goa_2023a: "Government of Alberta (2023a) *LAT Overview.* Edmonton, Alberta. &lt;https://www.alberta.ca/lat-overview.aspx&gt;"</v>
      </c>
      <c r="V177" s="64"/>
    </row>
    <row r="178" spans="1:22" ht="15.75">
      <c r="A178" s="64"/>
      <c r="B178" s="77" t="b">
        <v>1</v>
      </c>
      <c r="C178" s="77" t="b">
        <v>0</v>
      </c>
      <c r="D178" s="77" t="b">
        <v>0</v>
      </c>
      <c r="E178" s="64" t="s">
        <v>2480</v>
      </c>
      <c r="F178" s="64" t="s">
        <v>3264</v>
      </c>
      <c r="G178" s="64" t="s">
        <v>3263</v>
      </c>
      <c r="H178" s="64" t="s">
        <v>3263</v>
      </c>
      <c r="I178" s="64" t="b">
        <v>1</v>
      </c>
      <c r="J178" s="66" t="s">
        <v>3262</v>
      </c>
      <c r="K178" s="66" t="s">
        <v>3960</v>
      </c>
      <c r="L178" s="64" t="s">
        <v>3983</v>
      </c>
      <c r="M178" s="64" t="s">
        <v>6095</v>
      </c>
      <c r="N178" s="65" t="str">
        <f t="shared" si="18"/>
        <v>[Government of Alberta (2023b) &lt;i&gt;Proponent-led Indigenous consultations.&lt;/i&gt; Edmonton, Alberta. &lt;a target="_blank" href="https://www.alberta.ca/proponent-led-indigenous-consultations.aspx"&gt;{https://www.alberta.ca/proponent-led-indigenous-consultations.aspx}]{#goa_2023b}&lt;br&gt;&lt;br&gt;</v>
      </c>
      <c r="O178" s="64" t="s">
        <v>3261</v>
      </c>
      <c r="P178" s="64" t="s">
        <v>984</v>
      </c>
      <c r="Q178" s="64" t="str">
        <f t="shared" si="14"/>
        <v>{{ rtxt_goa_2023b }}</v>
      </c>
      <c r="R178" s="64" t="str">
        <f t="shared" si="15"/>
        <v>{{ rbib_goa_2023b }}</v>
      </c>
      <c r="S178" s="63" t="str">
        <f t="shared" si="19"/>
        <v>Government of Alberta (2023b) &lt;i&gt;Proponent-led Indigenous consultations.&lt;/i&gt; Edmonton, Alberta. &lt;a href="https://www.alberta.ca/proponent-led-indigenous-consultations.aspx" target="_blank"&gt;https://www.alberta.ca/proponent-led-indigenous-consultations.aspx&lt;/a&gt;&lt;span style="color:white"&gt;[.]{#goa_2023b}&lt;/span&gt;&lt;br&gt;&lt;br&gt;</v>
      </c>
      <c r="T178" s="64" t="str">
        <f t="shared" si="17"/>
        <v xml:space="preserve">    rtxt_goa_2023b: "&lt;a href=\"/08_references.html#goa_2023b\" target=\"_blank\"&gt;Government of Alberta, 2023b&lt;/a&gt;"</v>
      </c>
      <c r="U178" s="64" t="str">
        <f t="shared" si="16"/>
        <v xml:space="preserve">    rbib_goa_2023b: "Government of Alberta (2023b) *Proponent-led Indigenous consultations.* Edmonton, Alberta. &lt;https://www.alberta.ca/proponent-led-indigenous-consultations.aspx&gt;"</v>
      </c>
      <c r="V178" s="64"/>
    </row>
    <row r="179" spans="1:22" ht="15.75">
      <c r="A179" s="64"/>
      <c r="B179" s="77"/>
      <c r="C179" s="77"/>
      <c r="D179" s="77"/>
      <c r="E179" s="64" t="s">
        <v>2480</v>
      </c>
      <c r="F179" s="64" t="s">
        <v>3244</v>
      </c>
      <c r="G179" s="64" t="s">
        <v>3243</v>
      </c>
      <c r="H179" s="64" t="s">
        <v>3243</v>
      </c>
      <c r="I179" s="64" t="b">
        <v>1</v>
      </c>
      <c r="J179" s="66" t="s">
        <v>3242</v>
      </c>
      <c r="K179" s="66" t="s">
        <v>3960</v>
      </c>
      <c r="L179" s="64" t="s">
        <v>3984</v>
      </c>
      <c r="M179" s="64" t="s">
        <v>6089</v>
      </c>
      <c r="N179" s="65" t="str">
        <f t="shared" si="18"/>
        <v>[Granados, A. (2021). &lt;i&gt;WildCAM Guide to Camera Trap Set Up. &lt;/i&gt; WildCAM. &lt;a target="_blank" href="https://wildcams.ca/site/assets/files/1148/wildcam_guide_to_camera_trap_set_up_feb2021.pdf"&gt;{https://wildcams.ca/site/assets/files/1148/wildcam_guide_to_camera_trap_set_up_feb2021.pdf}]{#granados_2021}&lt;br&gt;&lt;br&gt;</v>
      </c>
      <c r="O179" s="64" t="s">
        <v>3241</v>
      </c>
      <c r="P179" s="64" t="s">
        <v>984</v>
      </c>
      <c r="Q179" s="64" t="str">
        <f t="shared" si="14"/>
        <v>{{ rtxt_granados_2021 }}</v>
      </c>
      <c r="R179" s="64" t="str">
        <f t="shared" si="15"/>
        <v>{{ rbib_granados_2021 }}</v>
      </c>
      <c r="S179" s="63" t="str">
        <f t="shared" si="19"/>
        <v>Granados, A. (2021). &lt;i&gt;WildCAM Guide to Camera Trap Set Up. &lt;/i&gt; WildCAM. &lt;a href="https://wildcams.ca/site/assets/files/1148/wildcam_guide_to_camera_trap_set_up_feb2021.pdf" target="_blank"&gt;https://wildcams.ca/site/assets/files/1148/wildcam_guide_to_camera_trap_set_up_feb2021.pdf&lt;/a&gt;&lt;span style="color:white"&gt;[.]{#granados_2021}&lt;/span&gt;&lt;br&gt;&lt;br&gt;</v>
      </c>
      <c r="T179" s="64" t="str">
        <f t="shared" si="17"/>
        <v xml:space="preserve">    rtxt_granados_2021: "&lt;a href=\"/08_references.html#granados_2021\" target=\"_blank\"&gt;Granados, 2021&lt;/a&gt;"</v>
      </c>
      <c r="U179" s="64" t="str">
        <f t="shared" si="16"/>
        <v xml:space="preserve">    rbib_granados_2021: "Granados, A. (2021). *WildCAM Guide to Camera Trap Set Up*. WildCAM. &lt;https://wildcams.ca/site/assets/files/1148/wildcam_guide_to_camera_trap_set_up_feb2021.pdf&gt;"</v>
      </c>
      <c r="V179" s="64"/>
    </row>
    <row r="180" spans="1:22" ht="15.75">
      <c r="A180" s="64"/>
      <c r="B180" s="77" t="b">
        <v>1</v>
      </c>
      <c r="C180" s="77" t="b">
        <v>0</v>
      </c>
      <c r="D180" s="77" t="b">
        <v>0</v>
      </c>
      <c r="E180" s="64" t="s">
        <v>1904</v>
      </c>
      <c r="F180" s="64" t="s">
        <v>3240</v>
      </c>
      <c r="G180" s="64" t="s">
        <v>3239</v>
      </c>
      <c r="H180" s="64" t="s">
        <v>3238</v>
      </c>
      <c r="I180" s="64" t="b">
        <v>1</v>
      </c>
      <c r="J180" s="66" t="s">
        <v>3237</v>
      </c>
      <c r="K180" s="66" t="s">
        <v>3960</v>
      </c>
      <c r="L180" s="64" t="s">
        <v>3985</v>
      </c>
      <c r="M180" s="64" t="s">
        <v>6020</v>
      </c>
      <c r="N180" s="65" t="str">
        <f t="shared" si="18"/>
        <v>[Green,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href="https://doi.org/10.3389/fevo.2020.563477"&gt;{https://doi.org/10.3389/fevo.2020.563477}]{#green_et_al_2020}&lt;br&gt;&lt;br&gt;</v>
      </c>
      <c r="O180" s="64" t="s">
        <v>3236</v>
      </c>
      <c r="P180" s="64" t="s">
        <v>984</v>
      </c>
      <c r="Q180" s="64" t="str">
        <f t="shared" si="14"/>
        <v>{{ rtxt_green_et_al_2020 }}</v>
      </c>
      <c r="R180" s="64" t="str">
        <f t="shared" si="15"/>
        <v>{{ rbib_green_et_al_2020 }}</v>
      </c>
      <c r="S180" s="63" t="str">
        <f t="shared" si="19"/>
        <v>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target="_blank"&gt;https://doi.org/10.3389/fevo.2020.563477&lt;/a&gt;&lt;span style="color:white"&gt;[.]{#green_et_al_2020}&lt;/span&gt;&lt;br&gt;&lt;br&gt;</v>
      </c>
      <c r="T180" s="64" t="str">
        <f t="shared" si="17"/>
        <v xml:space="preserve">    rtxt_green_et_al_2020: "&lt;a href=\"/08_references.html#green_et_al_2020\" target=\"_blank\"&gt;Green et al., 2020&lt;/a&gt;"</v>
      </c>
      <c r="U180" s="64" t="str">
        <f t="shared" si="16"/>
        <v xml:space="preserve">    rbib_green_et_al_2020: "Green, A. M., Chynoweth, M. W., &amp; Şekercioğlu, Ç. H. (2020). Spatially Explicit Capture-Recapture Through Camera Trapping: A Review of Benchmark Analyses for Wildlife Density Estimation. *Frontiers in Ecology and Evolution*, 8, Article 563477. &lt;https://doi.org/10.3389/fevo.2020.563477&gt;"</v>
      </c>
      <c r="V180" s="64"/>
    </row>
    <row r="181" spans="1:22" ht="15.75">
      <c r="A181" s="64"/>
      <c r="B181" s="77" t="b">
        <v>1</v>
      </c>
      <c r="C181" s="77" t="b">
        <v>0</v>
      </c>
      <c r="D181" s="77" t="b">
        <v>0</v>
      </c>
      <c r="E181" s="64" t="s">
        <v>2296</v>
      </c>
      <c r="F181" s="64" t="s">
        <v>3235</v>
      </c>
      <c r="G181" s="64" t="s">
        <v>3234</v>
      </c>
      <c r="H181" s="64" t="s">
        <v>3234</v>
      </c>
      <c r="I181" s="64" t="b">
        <v>1</v>
      </c>
      <c r="J181" s="66" t="s">
        <v>3233</v>
      </c>
      <c r="K181" s="66" t="s">
        <v>3960</v>
      </c>
      <c r="L181" s="64" t="s">
        <v>3986</v>
      </c>
      <c r="M181" s="64" t="s">
        <v>6079</v>
      </c>
      <c r="N181" s="65" t="str">
        <f t="shared" si="18"/>
        <v>[Greenberg, S. (2018). &lt;i&gt;Timelapse: An Image Analyser for Camera Traps.&lt;/i&gt; University of Calgary. &lt;a target="_blank" href="https://saul.cpsc.ucalgary.ca/timelapse/pmwiki.php?n=Main.Download2./"&gt;{https://saul.cpsc.ucalgary.ca/timelapse/pmwiki.php?n=Main.Download2./}]{#greenberg_2018}&lt;br&gt;&lt;br&gt;</v>
      </c>
      <c r="O181" s="64" t="s">
        <v>3232</v>
      </c>
      <c r="P181" s="64" t="s">
        <v>984</v>
      </c>
      <c r="Q181" s="64" t="str">
        <f t="shared" si="14"/>
        <v>{{ rtxt_greenberg_2018 }}</v>
      </c>
      <c r="R181" s="64" t="str">
        <f t="shared" si="15"/>
        <v>{{ rbib_greenberg_2018 }}</v>
      </c>
      <c r="S181" s="63" t="str">
        <f t="shared" si="19"/>
        <v>Greenberg, S. (2018). &lt;i&gt;Timelapse: An Image Analyser for Camera Traps.&lt;/i&gt; University of Calgary. &lt;a href="https://saul.cpsc.ucalgary.ca/timelapse/pmwiki.php?n=Main.Download2./" target="_blank"&gt;https://saul.cpsc.ucalgary.ca/timelapse/pmwiki.php?n=Main.Download2./&lt;/a&gt;&lt;span style="color:white"&gt;[.]{#greenberg_2018}&lt;/span&gt;&lt;br&gt;&lt;br&gt;</v>
      </c>
      <c r="T181" s="64" t="str">
        <f t="shared" si="17"/>
        <v xml:space="preserve">    rtxt_greenberg_2018: "&lt;a href=\"/08_references.html#greenberg_2018\" target=\"_blank\"&gt;Greenberg, 2018&lt;/a&gt;"</v>
      </c>
      <c r="U181" s="64" t="str">
        <f t="shared" si="16"/>
        <v xml:space="preserve">    rbib_greenberg_2018: "Greenberg, S. (2018). *Timelapse: An Image Analyser for Camera Traps.* University of Calgary. &lt;https://saul.cpsc.ucalgary.ca/timelapse/pmwiki.php?n=Main.Download2./&gt;"</v>
      </c>
      <c r="V181" s="64"/>
    </row>
    <row r="182" spans="1:22" ht="15.75">
      <c r="A182" s="64"/>
      <c r="B182" s="77" t="b">
        <v>1</v>
      </c>
      <c r="C182" s="77" t="b">
        <v>0</v>
      </c>
      <c r="D182" s="77" t="b">
        <v>0</v>
      </c>
      <c r="E182" s="64" t="s">
        <v>3215</v>
      </c>
      <c r="F182" s="64" t="s">
        <v>3231</v>
      </c>
      <c r="G182" s="64" t="s">
        <v>3230</v>
      </c>
      <c r="H182" s="64" t="s">
        <v>3230</v>
      </c>
      <c r="I182" s="64" t="b">
        <v>1</v>
      </c>
      <c r="J182" s="66" t="s">
        <v>3229</v>
      </c>
      <c r="K182" s="66" t="s">
        <v>3960</v>
      </c>
      <c r="L182" s="64" t="s">
        <v>3987</v>
      </c>
      <c r="M182" s="64" t="s">
        <v>6074</v>
      </c>
      <c r="N182" s="65" t="str">
        <f t="shared" si="18"/>
        <v>[Greenberg,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href="https://prism.ucalgary.ca/items/f68a0c27-8502-4fe4-a3b9-3a3c2d994762"&gt;{https://prism.ucalgary.ca/items/f68a0c27-8502-4fe4-a3b9-3a3c2d994762}]{#greenberg_2020}&lt;br&gt;&lt;br&gt;</v>
      </c>
      <c r="O182" s="64" t="s">
        <v>3228</v>
      </c>
      <c r="P182" s="64" t="s">
        <v>984</v>
      </c>
      <c r="Q182" s="64" t="str">
        <f t="shared" si="14"/>
        <v>{{ rtxt_greenberg_2020 }}</v>
      </c>
      <c r="R182" s="64" t="str">
        <f t="shared" si="15"/>
        <v>{{ rbib_greenberg_2020 }}</v>
      </c>
      <c r="S182" s="63" t="str">
        <f t="shared" si="19"/>
        <v>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target="_blank"&gt;https://prism.ucalgary.ca/items/f68a0c27-8502-4fe4-a3b9-3a3c2d994762&lt;/a&gt;&lt;span style="color:white"&gt;[.]{#greenberg_2020}&lt;/span&gt;&lt;br&gt;&lt;br&gt;</v>
      </c>
      <c r="T182" s="64" t="str">
        <f t="shared" si="17"/>
        <v xml:space="preserve">    rtxt_greenberg_2020: "&lt;a href=\"/08_references.html#greenberg_2020\" target=\"_blank\"&gt;Greenberg, 2020&lt;/a&gt;"</v>
      </c>
      <c r="U182" s="64" t="str">
        <f t="shared" si="16"/>
        <v xml:space="preserve">    rbib_greenberg_2020: "Greenberg, S. (2020). *Automated Image Recognition for Wildlife Camera Traps: Making it Work for You*. Research report, University of Calgary: Prism Digital Repository, August 21, 15 pages, &lt;https://prism.ucalgary.ca/items/f68a0c27-8502-4fe4-a3b9-3a3c2d994762&gt;"</v>
      </c>
      <c r="V182" s="64"/>
    </row>
    <row r="183" spans="1:22" ht="15.75">
      <c r="A183" s="64"/>
      <c r="B183" s="77"/>
      <c r="C183" s="77"/>
      <c r="D183" s="77"/>
      <c r="E183" s="64" t="s">
        <v>1904</v>
      </c>
      <c r="F183" s="64" t="s">
        <v>3219</v>
      </c>
      <c r="G183" s="65" t="s">
        <v>3218</v>
      </c>
      <c r="H183" s="65" t="s">
        <v>3218</v>
      </c>
      <c r="I183" s="64" t="b">
        <v>1</v>
      </c>
      <c r="J183" s="64" t="s">
        <v>3217</v>
      </c>
      <c r="K183" s="66" t="s">
        <v>3960</v>
      </c>
      <c r="L183" s="64" t="s">
        <v>3988</v>
      </c>
      <c r="M183" s="64" t="s">
        <v>5914</v>
      </c>
      <c r="N183" s="65" t="str">
        <f t="shared" si="18"/>
        <v>[Guillera‐Arroita, G. (2017). Modelling of species distributions, range dynamics and communities under imperfect detection: Advances, challenges and opportunities. &lt;i&gt;Ecography, 40&lt;/i&gt;(2), 281-295. &lt;a target="_blank" href="https://doi.org/10.1111/ecog.02445"&gt;{https://doi.org/10.1111/ecog.02445}]{#guilleraarroita_2016}&lt;br&gt;&lt;br&gt;</v>
      </c>
      <c r="O183" s="64" t="s">
        <v>3216</v>
      </c>
      <c r="P183" s="64" t="s">
        <v>984</v>
      </c>
      <c r="Q183" s="64" t="str">
        <f t="shared" si="14"/>
        <v>{{ rtxt_guilleraarroita_2016 }}</v>
      </c>
      <c r="R183" s="64" t="str">
        <f t="shared" si="15"/>
        <v>{{ rbib_guilleraarroita_2016 }}</v>
      </c>
      <c r="S183" s="63" t="str">
        <f t="shared" si="19"/>
        <v>Guillera‐Arroita, G. (2017). Modelling of species distributions, range dynamics and communities under imperfect detection: Advances, challenges and opportunities. &lt;i&gt;Ecography, 40&lt;/i&gt;(2), 281-295. &lt;a href="https://doi.org/10.1111/ecog.02445" target="_blank"&gt;https://doi.org/10.1111/ecog.02445&lt;/a&gt;&lt;span style="color:white"&gt;[.]{#guilleraarroita_2016}&lt;/span&gt;&lt;br&gt;&lt;br&gt;</v>
      </c>
      <c r="T183" s="64" t="str">
        <f t="shared" si="17"/>
        <v xml:space="preserve">    rtxt_guilleraarroita_2016: "&lt;a href=\"/08_references.html#guilleraarroita_2016\" target=\"_blank\"&gt;Guillera‐Arroita, 2017&lt;/a&gt;"</v>
      </c>
      <c r="U183" s="64" t="str">
        <f t="shared" si="16"/>
        <v xml:space="preserve">    rbib_guilleraarroita_2016: "Guillera‐Arroita, G. (2017). Modelling of species distributions, range dynamics and communities under imperfect detection: Advances, challenges and opportunities. *Ecography, 40*(2), 281-295. &lt;https://doi.org/10.1111/ecog.02445&gt;"</v>
      </c>
      <c r="V183" s="64"/>
    </row>
    <row r="184" spans="1:22" ht="15.75">
      <c r="A184" s="64"/>
      <c r="B184" s="77"/>
      <c r="C184" s="77"/>
      <c r="D184" s="77"/>
      <c r="E184" s="64" t="s">
        <v>1904</v>
      </c>
      <c r="F184" s="64" t="s">
        <v>3223</v>
      </c>
      <c r="G184" s="64" t="s">
        <v>3222</v>
      </c>
      <c r="H184" s="64"/>
      <c r="I184" s="64" t="b">
        <v>1</v>
      </c>
      <c r="J184" s="66" t="s">
        <v>3221</v>
      </c>
      <c r="K184" s="66" t="s">
        <v>3960</v>
      </c>
      <c r="L184" s="64" t="s">
        <v>3989</v>
      </c>
      <c r="M184" s="64" t="s">
        <v>5943</v>
      </c>
      <c r="N184" s="65" t="str">
        <f t="shared" si="18"/>
        <v>[Guillera-Arroita,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href="https://doi.org/10.1111/j.2041-210X.2012.00225.x"&gt;{https://doi.org/10.1111/j.2041-210X.2012.00225.x}]{#guillera_arroita_et_al_2012}&lt;br&gt;&lt;br&gt;</v>
      </c>
      <c r="O184" s="64" t="s">
        <v>3220</v>
      </c>
      <c r="P184" s="64" t="s">
        <v>984</v>
      </c>
      <c r="Q184" s="64" t="str">
        <f t="shared" si="14"/>
        <v>{{ rtxt_guillera_arroita_et_al_2012 }}</v>
      </c>
      <c r="R184" s="64" t="str">
        <f t="shared" si="15"/>
        <v>{{ rbib_guillera_arroita_et_al_2012 }}</v>
      </c>
      <c r="S184" s="63" t="str">
        <f t="shared" si="19"/>
        <v>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target="_blank"&gt;https://doi.org/10.1111/j.2041-210X.2012.00225.x&lt;/a&gt;&lt;span style="color:white"&gt;[.]{#guillera_arroita_et_al_2012}&lt;/span&gt;&lt;br&gt;&lt;br&gt;</v>
      </c>
      <c r="T184" s="64" t="str">
        <f t="shared" si="17"/>
        <v xml:space="preserve">    rtxt_guillera_arroita_et_al_2012: "&lt;a href=\"/08_references.html#guillera_arroita_et_al_2012\" target=\"_blank\"&gt;Guillera-Arroita et al., 2012&lt;/a&gt;"</v>
      </c>
      <c r="U184" s="64" t="str">
        <f t="shared" si="16"/>
        <v xml:space="preserve">    rbib_guillera_arroita_et_al_2012: "Guillera-Arroita, G., &amp; Lahoz-Monfort, J. J. (2012). Designing studies to detect differences in species occupancy: Power analysis under imperfect detection. *Methods in Ecology and Evolution, 3*(5), 860-869. &lt;https://doi.org/10.1111/j.2041-210X.2012.00225.x&gt;"</v>
      </c>
      <c r="V184" s="64"/>
    </row>
    <row r="185" spans="1:22" ht="15.75">
      <c r="A185" s="64"/>
      <c r="B185" s="77" t="b">
        <v>1</v>
      </c>
      <c r="C185" s="77" t="b">
        <v>0</v>
      </c>
      <c r="D185" s="77" t="b">
        <v>0</v>
      </c>
      <c r="E185" s="64" t="s">
        <v>1904</v>
      </c>
      <c r="F185" s="64" t="s">
        <v>3227</v>
      </c>
      <c r="G185" s="64" t="s">
        <v>3226</v>
      </c>
      <c r="H185" s="64" t="s">
        <v>2249</v>
      </c>
      <c r="I185" s="64" t="b">
        <v>1</v>
      </c>
      <c r="J185" s="66" t="s">
        <v>3225</v>
      </c>
      <c r="K185" s="66" t="s">
        <v>3960</v>
      </c>
      <c r="L185" s="64" t="s">
        <v>3990</v>
      </c>
      <c r="M185" s="64" t="s">
        <v>5941</v>
      </c>
      <c r="N185" s="65" t="str">
        <f t="shared" si="18"/>
        <v>[Guillera-Arroita, G., Ridout, M. S., &amp; Morgan, B. J. T. (2010). Design of Occupancy Studies with Imperfect Detection. &lt;i&gt;Methods in Ecology and Evolution, 1&lt;/i&gt;, 131-139. &lt;a target="_blank" href="https://doi.org/10.1111/j.2041-210X.2010.00017.x"&gt;{https://doi.org/10.1111/j.2041-210X.2010.00017.x}]{#guillera_arroita_et_al_2010}&lt;br&gt;&lt;br&gt;</v>
      </c>
      <c r="O185" s="64" t="s">
        <v>3224</v>
      </c>
      <c r="P185" s="64" t="s">
        <v>984</v>
      </c>
      <c r="Q185" s="64" t="str">
        <f t="shared" si="14"/>
        <v>{{ rtxt_guillera_arroita_et_al_2010 }}</v>
      </c>
      <c r="R185" s="64" t="str">
        <f t="shared" si="15"/>
        <v>{{ rbib_guillera_arroita_et_al_2010 }}</v>
      </c>
      <c r="S185" s="63" t="str">
        <f t="shared" si="19"/>
        <v>Guillera-Arroita, G., Ridout, M. S., &amp; Morgan, B. J. T. (2010). Design of Occupancy Studies with Imperfect Detection. &lt;i&gt;Methods in Ecology and Evolution, 1&lt;/i&gt;, 131-139. &lt;a href="https://doi.org/10.1111/j.2041-210X.2010.00017.x" target="_blank"&gt;https://doi.org/10.1111/j.2041-210X.2010.00017.x&lt;/a&gt;&lt;span style="color:white"&gt;[.]{#guillera_arroita_et_al_2010}&lt;/span&gt;&lt;br&gt;&lt;br&gt;</v>
      </c>
      <c r="T185" s="64" t="str">
        <f t="shared" si="17"/>
        <v xml:space="preserve">    rtxt_guillera_arroita_et_al_2010: "&lt;a href=\"/08_references.html#guillera_arroita_et_al_2010\" target=\"_blank\"&gt;Guillera-Arroita et al., 2010&lt;/a&gt;"</v>
      </c>
      <c r="U185" s="64" t="str">
        <f t="shared" si="16"/>
        <v xml:space="preserve">    rbib_guillera_arroita_et_al_2010: "Guillera-Arroita, G., Ridout, M. S., &amp; Morgan, B. J. T. (2010). Design of Occupancy Studies with Imperfect Detection. *Methods in Ecology and Evolution, 1*, 131-139. &lt;https://doi.org/10.1111/j.2041-210X.2010.00017.x&gt;"</v>
      </c>
      <c r="V185" s="64"/>
    </row>
    <row r="186" spans="1:22" ht="15.75">
      <c r="A186" s="64"/>
      <c r="B186" s="77" t="b">
        <v>1</v>
      </c>
      <c r="C186" s="77" t="b">
        <v>0</v>
      </c>
      <c r="D186" s="77" t="b">
        <v>0</v>
      </c>
      <c r="E186" s="64" t="s">
        <v>3215</v>
      </c>
      <c r="F186" s="64" t="s">
        <v>3214</v>
      </c>
      <c r="G186" s="64" t="s">
        <v>3213</v>
      </c>
      <c r="H186" s="64" t="s">
        <v>3212</v>
      </c>
      <c r="I186" s="64" t="b">
        <v>1</v>
      </c>
      <c r="J186" s="66" t="s">
        <v>3211</v>
      </c>
      <c r="K186" s="66" t="s">
        <v>3960</v>
      </c>
      <c r="L186" s="64" t="s">
        <v>3991</v>
      </c>
      <c r="M186" s="64" t="s">
        <v>6097</v>
      </c>
      <c r="N186" s="65" t="str">
        <f t="shared" si="18"/>
        <v>[Hall, K. W., Cooper, J. K., &amp; Lawton, D. C. (2008). GPS accuracy: Hand-held versus RTK. &lt;i&gt;CREWES Research Report, 20&lt;/i&gt;. &lt;a target="_blank" href="https://www.crewes.org/Documents/ResearchReports/2008/2008-15.pdf"&gt;{https://www.crewes.org/Documents/ResearchReports/2008/2008-15.pdf}]{#hall_et_al_2008}&lt;br&gt;&lt;br&gt;</v>
      </c>
      <c r="O186" s="64" t="s">
        <v>3210</v>
      </c>
      <c r="P186" s="64" t="s">
        <v>984</v>
      </c>
      <c r="Q186" s="64" t="str">
        <f t="shared" si="14"/>
        <v>{{ rtxt_hall_et_al_2008 }}</v>
      </c>
      <c r="R186" s="64" t="str">
        <f t="shared" si="15"/>
        <v>{{ rbib_hall_et_al_2008 }}</v>
      </c>
      <c r="S186" s="63" t="str">
        <f t="shared" si="19"/>
        <v>Hall, K. W., Cooper, J. K., &amp; Lawton, D. C. (2008). GPS accuracy: Hand-held versus RTK. &lt;i&gt;CREWES Research Report, 20&lt;/i&gt;. &lt;a href="https://www.crewes.org/Documents/ResearchReports/2008/2008-15.pdf" target="_blank"&gt;https://www.crewes.org/Documents/ResearchReports/2008/2008-15.pdf&lt;/a&gt;&lt;span style="color:white"&gt;[.]{#hall_et_al_2008}&lt;/span&gt;&lt;br&gt;&lt;br&gt;</v>
      </c>
      <c r="T186" s="64" t="str">
        <f t="shared" si="17"/>
        <v xml:space="preserve">    rtxt_hall_et_al_2008: "&lt;a href=\"/08_references.html#hall_et_al_2008\" target=\"_blank\"&gt;Hall et al., 2008&lt;/a&gt;"</v>
      </c>
      <c r="U186" s="64" t="str">
        <f t="shared" si="16"/>
        <v xml:space="preserve">    rbib_hall_et_al_2008: "Hall, K. W., Cooper, J. K., &amp; Lawton, D. C. (2008). GPS accuracy: Hand-held versus RTK. *CREWES Research Report, 20*. &lt;https://www.crewes.org/Documents/ResearchReports/2008/2008-15.pdf&gt;"</v>
      </c>
      <c r="V186" s="64"/>
    </row>
    <row r="187" spans="1:22" ht="15.75">
      <c r="A187" s="64"/>
      <c r="B187" s="77" t="b">
        <v>1</v>
      </c>
      <c r="C187" s="77" t="b">
        <v>0</v>
      </c>
      <c r="D187" s="77" t="b">
        <v>1</v>
      </c>
      <c r="E187" s="64" t="s">
        <v>1904</v>
      </c>
      <c r="F187" s="64" t="s">
        <v>3209</v>
      </c>
      <c r="G187" s="64" t="s">
        <v>3208</v>
      </c>
      <c r="H187" s="64" t="s">
        <v>3208</v>
      </c>
      <c r="I187" s="64" t="b">
        <v>1</v>
      </c>
      <c r="J187" s="66" t="s">
        <v>3207</v>
      </c>
      <c r="K187" s="66" t="s">
        <v>3960</v>
      </c>
      <c r="L187" s="64" t="s">
        <v>3992</v>
      </c>
      <c r="M187" s="64" t="s">
        <v>6031</v>
      </c>
      <c r="N187" s="65" t="str">
        <f t="shared" si="18"/>
        <v>[Harrison,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href="https://doi.org/10.7717/peerj.4794"&gt;{https://doi.org/10.7717/peerj.4794}]{#harrison_et_al_2018}&lt;br&gt;&lt;br&gt;</v>
      </c>
      <c r="O187" s="64" t="s">
        <v>3206</v>
      </c>
      <c r="P187" s="64" t="s">
        <v>984</v>
      </c>
      <c r="Q187" s="64" t="str">
        <f t="shared" si="14"/>
        <v>{{ rtxt_harrison_et_al_2018 }}</v>
      </c>
      <c r="R187" s="64" t="str">
        <f t="shared" si="15"/>
        <v>{{ rbib_harrison_et_al_2018 }}</v>
      </c>
      <c r="S187" s="63" t="str">
        <f t="shared" si="19"/>
        <v>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target="_blank"&gt;https://doi.org/10.7717/peerj.4794&lt;/a&gt;&lt;span style="color:white"&gt;[.]{#harrison_et_al_2018}&lt;/span&gt;&lt;br&gt;&lt;br&gt;</v>
      </c>
      <c r="T187" s="64" t="str">
        <f t="shared" si="17"/>
        <v xml:space="preserve">    rtxt_harrison_et_al_2018: "&lt;a href=\"/08_references.html#harrison_et_al_2018\" target=\"_blank\"&gt;Harrison et al., 2018&lt;/a&gt;"</v>
      </c>
      <c r="U187" s="64" t="str">
        <f t="shared" si="16"/>
        <v xml:space="preserve">    rbib_harrison_et_al_2018: "Harrison, X. A., Donaldson, L., Correa-Cano, M. E., Evans, J., Fisher, D. N., Goodwin, C. E. D., Robinson, B. S., Hodgson, D. J., &amp; Inger, R. (2018). A Brief Introduction to Mixed Effects Modelling and Multi-Model Inference in Ecology. *PeerJ, 6*, Article e4794. &lt;https://doi.org/10.7717/peerj.4794&gt;"</v>
      </c>
      <c r="V187" s="64"/>
    </row>
    <row r="188" spans="1:22" ht="15.75">
      <c r="A188" s="64"/>
      <c r="B188" s="77" t="b">
        <v>0</v>
      </c>
      <c r="C188" s="77" t="b">
        <v>0</v>
      </c>
      <c r="D188" s="77" t="b">
        <v>1</v>
      </c>
      <c r="E188" s="64" t="s">
        <v>2246</v>
      </c>
      <c r="F188" s="64" t="s">
        <v>3205</v>
      </c>
      <c r="G188" s="64" t="s">
        <v>3204</v>
      </c>
      <c r="H188" s="64" t="s">
        <v>3204</v>
      </c>
      <c r="I188" s="64" t="b">
        <v>1</v>
      </c>
      <c r="J188" s="66" t="s">
        <v>3203</v>
      </c>
      <c r="K188" s="66" t="s">
        <v>3960</v>
      </c>
      <c r="L188" s="64" t="s">
        <v>3993</v>
      </c>
      <c r="M188" s="64" t="s">
        <v>5703</v>
      </c>
      <c r="N188" s="65" t="str">
        <f t="shared" si="18"/>
        <v>[Hartig, F. (2019). &lt;i&gt;DHARMa: Residual Diagnostics for Hierarchical (Multi-Level/Mixed) Regression Models.&lt;/i&gt; R package version 0.2.2, &lt;a target="_blank" href="https://CRAN.R-project.org/package=DHARMa"&gt;{https://CRAN.R-project.org/package=DHARMa}]{#hartig_2019}&lt;br&gt;&lt;br&gt;</v>
      </c>
      <c r="O188" s="64" t="s">
        <v>3202</v>
      </c>
      <c r="P188" s="64" t="s">
        <v>984</v>
      </c>
      <c r="Q188" s="64" t="str">
        <f t="shared" si="14"/>
        <v>{{ rtxt_hartig_2019 }}</v>
      </c>
      <c r="R188" s="64" t="str">
        <f t="shared" si="15"/>
        <v>{{ rbib_hartig_2019 }}</v>
      </c>
      <c r="S188" s="63" t="str">
        <f t="shared" si="19"/>
        <v>Hartig, F. (2019). &lt;i&gt;DHARMa: Residual Diagnostics for Hierarchical (Multi-Level/Mixed) Regression Models.&lt;/i&gt; R package version 0.2.2, &lt;a href="https://CRAN.R-project.org/package=DHARMa" target="_blank"&gt;https://CRAN.R-project.org/package=DHARMa&lt;/a&gt;&lt;span style="color:white"&gt;[.]{#hartig_2019}&lt;/span&gt;&lt;br&gt;&lt;br&gt;</v>
      </c>
      <c r="T188" s="64" t="str">
        <f t="shared" si="17"/>
        <v xml:space="preserve">    rtxt_hartig_2019: "&lt;a href=\"/08_references.html#hartig_2019\" target=\"_blank\"&gt;Hartig, 2019&lt;/a&gt;"</v>
      </c>
      <c r="U188" s="64" t="str">
        <f t="shared" si="16"/>
        <v xml:space="preserve">    rbib_hartig_2019: "Hartig, F. (2019). *DHARMa: Residual Diagnostics for Hierarchical (Multi-Level/Mixed) Regression Models.* R package version 0.2.2, &lt;https://CRAN.R-project.org/package=DHARMa&gt;"</v>
      </c>
      <c r="V188" s="64"/>
    </row>
    <row r="189" spans="1:22" ht="15.75">
      <c r="A189" s="64"/>
      <c r="B189" s="77"/>
      <c r="C189" s="77"/>
      <c r="D189" s="77"/>
      <c r="E189" s="64" t="s">
        <v>1904</v>
      </c>
      <c r="F189" s="64" t="s">
        <v>3201</v>
      </c>
      <c r="G189" s="65" t="s">
        <v>3200</v>
      </c>
      <c r="H189" s="65" t="s">
        <v>3200</v>
      </c>
      <c r="I189" s="64" t="b">
        <v>1</v>
      </c>
      <c r="J189" s="66" t="s">
        <v>3199</v>
      </c>
      <c r="K189" s="66" t="s">
        <v>3960</v>
      </c>
      <c r="L189" s="64" t="s">
        <v>3994</v>
      </c>
      <c r="M189" s="64" t="s">
        <v>5826</v>
      </c>
      <c r="N189" s="65" t="str">
        <f t="shared" si="18"/>
        <v>[Haucke, T., Kühl, H. S., Hoyer, J., &amp; Steinhage, V. (2022). Overcoming the distance estimation bottleneck in estimating animal abundance with camera traps. &lt;i&gt;Ecological Informatics, 68&lt;/i&gt;, 101536. &lt;a target="_blank" href="https://doi.org/10.1016/j.ecoinf.2021.101536"&gt;{https://doi.org/10.1016/j.ecoinf.2021.101536}]{#hauke_et_al_2022}&lt;br&gt;&lt;br&gt;</v>
      </c>
      <c r="O189" s="64" t="s">
        <v>3198</v>
      </c>
      <c r="P189" s="64" t="s">
        <v>984</v>
      </c>
      <c r="Q189" s="64" t="str">
        <f t="shared" si="14"/>
        <v>{{ rtxt_hauke_et_al_2022 }}</v>
      </c>
      <c r="R189" s="64" t="str">
        <f t="shared" si="15"/>
        <v>{{ rbib_hauke_et_al_2022 }}</v>
      </c>
      <c r="S189" s="63" t="str">
        <f t="shared" si="19"/>
        <v>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target="_blank"&gt;https://doi.org/10.1016/j.ecoinf.2021.101536&lt;/a&gt;&lt;span style="color:white"&gt;[.]{#hauke_et_al_2022}&lt;/span&gt;&lt;br&gt;&lt;br&gt;</v>
      </c>
      <c r="T189" s="64" t="str">
        <f t="shared" si="17"/>
        <v xml:space="preserve">    rtxt_hauke_et_al_2022: "&lt;a href=\"/08_references.html#hauke_et_al_2022\" target=\"_blank\"&gt;Haucke et al., 2022&lt;/a&gt;"</v>
      </c>
      <c r="U189" s="64" t="str">
        <f t="shared" si="16"/>
        <v xml:space="preserve">    rbib_hauke_et_al_2022: "Haucke, T., Kühl, H. S., Hoyer, J., &amp; Steinhage, V. (2022). Overcoming the distance estimation bottleneck in estimating animal abundance with camera traps. *Ecological Informatics, 68*, 101536. &lt;https://doi.org/10.1016/j.ecoinf.2021.101536&gt;"</v>
      </c>
      <c r="V189" s="64"/>
    </row>
    <row r="190" spans="1:22" ht="15.75">
      <c r="A190" s="64"/>
      <c r="B190" s="77" t="b">
        <v>1</v>
      </c>
      <c r="C190" s="77" t="b">
        <v>0</v>
      </c>
      <c r="D190" s="77" t="b">
        <v>1</v>
      </c>
      <c r="E190" s="64" t="s">
        <v>1904</v>
      </c>
      <c r="F190" s="64" t="s">
        <v>3197</v>
      </c>
      <c r="G190" s="64" t="s">
        <v>3196</v>
      </c>
      <c r="H190" s="64" t="s">
        <v>3196</v>
      </c>
      <c r="I190" s="64" t="b">
        <v>1</v>
      </c>
      <c r="J190" s="66" t="s">
        <v>3195</v>
      </c>
      <c r="K190" s="66" t="s">
        <v>3960</v>
      </c>
      <c r="L190" s="64" t="s">
        <v>3995</v>
      </c>
      <c r="M190" s="64" t="s">
        <v>6036</v>
      </c>
      <c r="N190" s="65" t="str">
        <f t="shared" si="18"/>
        <v>[Heilbron, D. C. (1994). Zero-Altered and other Regression Models for Count Data with Added Zeros. &lt;i&gt;Biometrical Journal, 36&lt;/i&gt;(5), 531-547. &lt;a target="_blank" href="https://doi.org/https://doi.org/10.1002/bimj.4710360505"&gt;{https://doi.org/https://doi.org/10.1002/bimj.4710360505}]{#heilbron_1994}&lt;br&gt;&lt;br&gt;</v>
      </c>
      <c r="O190" s="64" t="s">
        <v>3194</v>
      </c>
      <c r="P190" s="64" t="s">
        <v>984</v>
      </c>
      <c r="Q190" s="64" t="str">
        <f t="shared" si="14"/>
        <v>{{ rtxt_heilbron_1994 }}</v>
      </c>
      <c r="R190" s="64" t="str">
        <f t="shared" si="15"/>
        <v>{{ rbib_heilbron_1994 }}</v>
      </c>
      <c r="S190" s="63" t="str">
        <f t="shared" si="19"/>
        <v>Heilbron, D. C. (1994). Zero-Altered and other Regression Models for Count Data with Added Zeros. &lt;i&gt;Biometrical Journal, 36&lt;/i&gt;(5), 531-547. &lt;a href="https://doi.org/https://doi.org/10.1002/bimj.4710360505" target="_blank"&gt;https://doi.org/https://doi.org/10.1002/bimj.4710360505&lt;/a&gt;&lt;span style="color:white"&gt;[.]{#heilbron_1994}&lt;/span&gt;&lt;br&gt;&lt;br&gt;</v>
      </c>
      <c r="T190" s="64" t="str">
        <f t="shared" si="17"/>
        <v xml:space="preserve">    rtxt_heilbron_1994: "&lt;a href=\"/08_references.html#heilbron_1994\" target=\"_blank\"&gt;Heilbron, 1994&lt;/a&gt;"</v>
      </c>
      <c r="U190" s="64" t="str">
        <f t="shared" si="16"/>
        <v xml:space="preserve">    rbib_heilbron_1994: "Heilbron, D. C. (1994). Zero-Altered and other Regression Models for Count Data with Added Zeros. *Biometrical Journal, 36*(5), 531-547. &lt;https://doi.org/https://doi.org/10.1002/bimj.4710360505&gt;"</v>
      </c>
      <c r="V190" s="64"/>
    </row>
    <row r="191" spans="1:22" ht="15.75">
      <c r="A191" s="64"/>
      <c r="B191" s="77" t="b">
        <v>0</v>
      </c>
      <c r="C191" s="77" t="b">
        <v>0</v>
      </c>
      <c r="D191" s="77" t="s">
        <v>1993</v>
      </c>
      <c r="E191" s="64" t="s">
        <v>1904</v>
      </c>
      <c r="F191" s="64" t="s">
        <v>3193</v>
      </c>
      <c r="G191" s="64" t="s">
        <v>3192</v>
      </c>
      <c r="H191" s="64" t="s">
        <v>3192</v>
      </c>
      <c r="I191" s="64" t="b">
        <v>1</v>
      </c>
      <c r="J191" s="66" t="s">
        <v>3191</v>
      </c>
      <c r="K191" s="66" t="s">
        <v>3960</v>
      </c>
      <c r="L191" s="64" t="s">
        <v>3996</v>
      </c>
      <c r="M191" s="64" t="s">
        <v>6021</v>
      </c>
      <c r="N191" s="65" t="str">
        <f t="shared" si="18"/>
        <v>[Henrich,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href="https://doi.org/10.3389/fevo.2022.881502"&gt;{https://doi.org/10.3389/fevo.2022.881502}]{#henrich_et_al_2022}&lt;br&gt;&lt;br&gt;</v>
      </c>
      <c r="O191" s="64" t="s">
        <v>3190</v>
      </c>
      <c r="P191" s="64" t="s">
        <v>984</v>
      </c>
      <c r="Q191" s="64" t="str">
        <f t="shared" si="14"/>
        <v>{{ rtxt_henrich_et_al_2022 }}</v>
      </c>
      <c r="R191" s="64" t="str">
        <f t="shared" si="15"/>
        <v>{{ rbib_henrich_et_al_2022 }}</v>
      </c>
      <c r="S191" s="63" t="str">
        <f t="shared" si="19"/>
        <v>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target="_blank"&gt;https://doi.org/10.3389/fevo.2022.881502&lt;/a&gt;&lt;span style="color:white"&gt;[.]{#henrich_et_al_2022}&lt;/span&gt;&lt;br&gt;&lt;br&gt;</v>
      </c>
      <c r="T191" s="64" t="str">
        <f t="shared" si="17"/>
        <v xml:space="preserve">    rtxt_henrich_et_al_2022: "&lt;a href=\"/08_references.html#henrich_et_al_2022\" target=\"_blank\"&gt;Henrich et al., 2022&lt;/a&gt;"</v>
      </c>
      <c r="U191" s="64" t="str">
        <f t="shared" si="16"/>
        <v xml:space="preserve">    rbib_henrich_et_al_2022: "Henrich, M., Hartig, F., Dormann, C. F., Kühl, H. S., Peters, W., Franke, F., Peterka, T., Šustr, P., &amp; Heurich, M. (2022). Deer Behavior Affects Density Estimates With Camera Traps, but Is Outweighed by Spatial Variability. *Frontiers in Ecology and Evolution, 10*, 881502. &lt;https://doi.org/10.3389/fevo.2022.881502&gt;"</v>
      </c>
      <c r="V191" s="64"/>
    </row>
    <row r="192" spans="1:22" ht="15.75">
      <c r="A192" s="64"/>
      <c r="B192" s="77"/>
      <c r="C192" s="77"/>
      <c r="D192" s="77"/>
      <c r="E192" s="64" t="s">
        <v>1950</v>
      </c>
      <c r="F192" s="64" t="s">
        <v>3189</v>
      </c>
      <c r="G192" s="64" t="s">
        <v>3188</v>
      </c>
      <c r="H192" s="64" t="s">
        <v>3188</v>
      </c>
      <c r="I192" s="64" t="b">
        <v>1</v>
      </c>
      <c r="J192" s="66" t="s">
        <v>3187</v>
      </c>
      <c r="K192" s="66" t="s">
        <v>3960</v>
      </c>
      <c r="L192" s="64" t="s">
        <v>3997</v>
      </c>
      <c r="M192" s="64" t="s">
        <v>6109</v>
      </c>
      <c r="N192" s="65" t="str">
        <f t="shared" si="18"/>
        <v>[Hines, J. E. (2006). &lt;i&gt;PRESENCE - Software to estimate patch occupancy and related parameters.&lt;/i&gt; &lt;a target="_blank" href="https://www.mbr-pwrc.usgs.gov/software/presence.html."&gt;{https://www.mbr-pwrc.usgs.gov/software/presence.html.}]{#hines_2006}&lt;br&gt;&lt;br&gt;</v>
      </c>
      <c r="O192" s="64" t="s">
        <v>3186</v>
      </c>
      <c r="P192" s="64" t="s">
        <v>984</v>
      </c>
      <c r="Q192" s="64" t="str">
        <f t="shared" si="14"/>
        <v>{{ rtxt_hines_2006 }}</v>
      </c>
      <c r="R192" s="64" t="str">
        <f t="shared" si="15"/>
        <v>{{ rbib_hines_2006 }}</v>
      </c>
      <c r="S192" s="63" t="str">
        <f t="shared" si="19"/>
        <v>Hines, J. E. (2006). &lt;i&gt;PRESENCE - Software to estimate patch occupancy and related parameters.&lt;/i&gt; &lt;a href="https://www.mbr-pwrc.usgs.gov/software/presence.html." target="_blank"&gt;https://www.mbr-pwrc.usgs.gov/software/presence.html.&lt;/a&gt;&lt;span style="color:white"&gt;[.]{#hines_2006}&lt;/span&gt;&lt;br&gt;&lt;br&gt;</v>
      </c>
      <c r="T192" s="64" t="str">
        <f t="shared" si="17"/>
        <v xml:space="preserve">    rtxt_hines_2006: "&lt;a href=\"/08_references.html#hines_2006\" target=\"_blank\"&gt;Hines, 2006&lt;/a&gt;"</v>
      </c>
      <c r="U192" s="64" t="str">
        <f t="shared" si="16"/>
        <v xml:space="preserve">    rbib_hines_2006: "Hines, J. E. (2006). *PRESENCE - Software to estimate patch occupancy and related parameters.* &lt;https://www.mbr-pwrc.usgs.gov/software/presence.html&gt;."</v>
      </c>
      <c r="V192" s="64"/>
    </row>
    <row r="193" spans="1:22" ht="15.75">
      <c r="A193" s="64"/>
      <c r="B193" s="78"/>
      <c r="C193" s="78"/>
      <c r="D193" s="78"/>
      <c r="E193" s="64" t="s">
        <v>1904</v>
      </c>
      <c r="F193" s="65" t="s">
        <v>3185</v>
      </c>
      <c r="G193" s="65" t="s">
        <v>3184</v>
      </c>
      <c r="H193" s="65" t="s">
        <v>3183</v>
      </c>
      <c r="I193" s="64" t="b">
        <v>1</v>
      </c>
      <c r="J193" s="66" t="s">
        <v>3182</v>
      </c>
      <c r="K193" s="66" t="s">
        <v>3960</v>
      </c>
      <c r="L193" s="64" t="s">
        <v>3998</v>
      </c>
      <c r="M193" s="64" t="s">
        <v>6051</v>
      </c>
      <c r="N193" s="65" t="str">
        <f t="shared" si="18"/>
        <v>[Hoeks, S., Tucker, M., &amp; Broekman, M. (2024). &lt;i&gt;HomeRange&lt;/i&gt; &lt;a target="_blank" href="https://github.com/SHoeks/HomeRange"&gt;{https://github.com/SHoeks/HomeRange}]{#hoeks_et_al_2024}&lt;br&gt;&lt;br&gt;</v>
      </c>
      <c r="O193" s="64" t="s">
        <v>3181</v>
      </c>
      <c r="P193" s="64" t="s">
        <v>984</v>
      </c>
      <c r="Q193" s="64" t="str">
        <f t="shared" si="14"/>
        <v>{{ rtxt_hoeks_et_al_2024 }}</v>
      </c>
      <c r="R193" s="64" t="str">
        <f t="shared" si="15"/>
        <v>{{ rbib_hoeks_et_al_2024 }}</v>
      </c>
      <c r="S193" s="63" t="str">
        <f t="shared" si="19"/>
        <v>Hoeks, S., Tucker, M., &amp; Broekman, M. (2024). &lt;i&gt;HomeRange&lt;/i&gt; &lt;a href="https://github.com/SHoeks/HomeRange" target="_blank"&gt;https://github.com/SHoeks/HomeRange&lt;/a&gt;&lt;span style="color:white"&gt;[.]{#hoeks_et_al_2024}&lt;/span&gt;&lt;br&gt;&lt;br&gt;</v>
      </c>
      <c r="T193" s="64" t="str">
        <f t="shared" si="17"/>
        <v xml:space="preserve">    rtxt_hoeks_et_al_2024: "&lt;a href=\"/08_references.html#hoeks_et_al_2024\" target=\"_blank\"&gt;Hoeks et al., 2024&lt;/a&gt;"</v>
      </c>
      <c r="U193" s="64" t="str">
        <f t="shared" si="16"/>
        <v xml:space="preserve">    rbib_hoeks_et_al_2024: "Hoeks, S., Tucker, M., &amp; Broekman, M. (2024). *HomeRange* &lt;https://github.com/SHoeks/HomeRange&gt;"</v>
      </c>
      <c r="V193" s="64"/>
    </row>
    <row r="194" spans="1:22" ht="15.75">
      <c r="A194" s="64"/>
      <c r="B194" s="77" t="b">
        <v>1</v>
      </c>
      <c r="C194" s="77" t="b">
        <v>0</v>
      </c>
      <c r="D194" s="77" t="b">
        <v>0</v>
      </c>
      <c r="E194" s="64" t="s">
        <v>1904</v>
      </c>
      <c r="F194" s="64" t="s">
        <v>3176</v>
      </c>
      <c r="G194" s="64" t="s">
        <v>3175</v>
      </c>
      <c r="H194" s="64" t="s">
        <v>3175</v>
      </c>
      <c r="I194" s="64" t="b">
        <v>1</v>
      </c>
      <c r="J194" s="66" t="s">
        <v>3174</v>
      </c>
      <c r="K194" s="66" t="s">
        <v>3960</v>
      </c>
      <c r="L194" s="64" t="s">
        <v>3999</v>
      </c>
      <c r="M194" s="64" t="s">
        <v>5729</v>
      </c>
      <c r="N194" s="65" t="str">
        <f t="shared" si="18"/>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href="https://doi.org/10.1002/ece3.4878"&gt;{https://doi.org/10.1002/ece3.4878}]{#hofmeester_et_al_2019}&lt;br&gt;&lt;br&gt;</v>
      </c>
      <c r="O194" s="64" t="s">
        <v>3173</v>
      </c>
      <c r="P194" s="64" t="s">
        <v>984</v>
      </c>
      <c r="Q194" s="64" t="str">
        <f t="shared" ref="Q194:Q257" si="20">"{{ rtxt_"&amp;F194&amp;" }}"</f>
        <v>{{ rtxt_hofmeester_et_al_2019 }}</v>
      </c>
      <c r="R194" s="64" t="str">
        <f t="shared" ref="R194:R257" si="21">"{{ rbib_"&amp;F194&amp;" }}"</f>
        <v>{{ rbib_hofmeester_et_al_2019 }}</v>
      </c>
      <c r="S194" s="63" t="str">
        <f t="shared" si="19"/>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target="_blank"&gt;https://doi.org/10.1002/ece3.4878&lt;/a&gt;&lt;span style="color:white"&gt;[.]{#hofmeester_et_al_2019}&lt;/span&gt;&lt;br&gt;&lt;br&gt;</v>
      </c>
      <c r="T194" s="64" t="str">
        <f t="shared" si="17"/>
        <v xml:space="preserve">    rtxt_hofmeester_et_al_2019: "&lt;a href=\"/08_references.html#hofmeester_et_al_2019\" target=\"_blank\"&gt;Hofmeester et al., 2019&lt;/a&gt;"</v>
      </c>
      <c r="U194" s="64" t="str">
        <f t="shared" ref="U194:U257" si="22">"    rbib_"&amp;F194&amp;": "&amp;""""&amp;J194&amp;""""</f>
        <v xml:space="preserve">    rbib_hofmeester_et_al_2019: "Hofmeester,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v>
      </c>
      <c r="V194" s="64"/>
    </row>
    <row r="195" spans="1:22" ht="15.75">
      <c r="A195" s="64"/>
      <c r="B195" s="77"/>
      <c r="C195" s="77"/>
      <c r="D195" s="77"/>
      <c r="E195" s="64" t="s">
        <v>1904</v>
      </c>
      <c r="F195" s="64" t="s">
        <v>3180</v>
      </c>
      <c r="G195" s="65" t="s">
        <v>3179</v>
      </c>
      <c r="H195" s="65" t="s">
        <v>3179</v>
      </c>
      <c r="I195" s="64" t="b">
        <v>1</v>
      </c>
      <c r="J195" s="66" t="s">
        <v>3178</v>
      </c>
      <c r="K195" s="66" t="s">
        <v>3960</v>
      </c>
      <c r="L195" s="64" t="s">
        <v>4000</v>
      </c>
      <c r="M195" s="64" t="s">
        <v>5761</v>
      </c>
      <c r="N195" s="65" t="str">
        <f t="shared" si="18"/>
        <v>[Hofmeester, T. R., Rowcliffe, J. M., Jansen, P. A., Williams, R., &amp; Kelly, N. (2017). A simple method for estimating the effective detection distance of camera traps. &lt;i&gt;Remote Sensing in Ecology and Conservation, 3&lt;/i&gt;(2), 81-89. &lt;a target="_blank" href="https://doi.org/10.1002/rse2.25"&gt;{https://doi.org/10.1002/rse2.25}]{#hofmeester_et_al_2017}&lt;br&gt;&lt;br&gt;</v>
      </c>
      <c r="O195" s="64" t="s">
        <v>3177</v>
      </c>
      <c r="P195" s="64" t="s">
        <v>984</v>
      </c>
      <c r="Q195" s="64" t="str">
        <f t="shared" si="20"/>
        <v>{{ rtxt_hofmeester_et_al_2017 }}</v>
      </c>
      <c r="R195" s="64" t="str">
        <f t="shared" si="21"/>
        <v>{{ rbib_hofmeester_et_al_2017 }}</v>
      </c>
      <c r="S195" s="63" t="str">
        <f t="shared" si="19"/>
        <v>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target="_blank"&gt;https://doi.org/10.1002/rse2.25&lt;/a&gt;&lt;span style="color:white"&gt;[.]{#hofmeester_et_al_2017}&lt;/span&gt;&lt;br&gt;&lt;br&gt;</v>
      </c>
      <c r="T195" s="64" t="str">
        <f t="shared" ref="T195:T258" si="23">"    rtxt_"&amp;F195&amp;": "&amp;""""&amp;"&lt;a href=\"&amp;""""&amp;"/08_references.html#"&amp;F195&amp;"\"&amp;""""&amp;" target=\"&amp;""""&amp;"_blank\"&amp;""""&amp;"&gt;"&amp;G195&amp;"&lt;/a&gt;"&amp;""""</f>
        <v xml:space="preserve">    rtxt_hofmeester_et_al_2017: "&lt;a href=\"/08_references.html#hofmeester_et_al_2017\" target=\"_blank\"&gt;Hofmeester et al., 2017&lt;/a&gt;"</v>
      </c>
      <c r="U195" s="64" t="str">
        <f t="shared" si="22"/>
        <v xml:space="preserve">    rbib_hofmeester_et_al_2017: "Hofmeester, T. R., Rowcliffe, J. M., Jansen, P. A., Williams, R., &amp; Kelly, N. (2017). A simple method for estimating the effective detection distance of camera traps. *Remote Sensing in Ecology and Conservation, 3*(2), 81-89. &lt;https://doi.org/10.1002/rse2.25&gt;"</v>
      </c>
      <c r="V195" s="64"/>
    </row>
    <row r="196" spans="1:22" ht="15.75">
      <c r="A196" s="64"/>
      <c r="B196" s="77" t="b">
        <v>1</v>
      </c>
      <c r="C196" s="77" t="b">
        <v>1</v>
      </c>
      <c r="D196" s="77" t="b">
        <v>1</v>
      </c>
      <c r="E196" s="64" t="s">
        <v>1904</v>
      </c>
      <c r="F196" s="64" t="s">
        <v>3172</v>
      </c>
      <c r="G196" s="64" t="s">
        <v>3171</v>
      </c>
      <c r="H196" s="64" t="s">
        <v>3171</v>
      </c>
      <c r="I196" s="64" t="b">
        <v>1</v>
      </c>
      <c r="J196" s="66" t="s">
        <v>3170</v>
      </c>
      <c r="K196" s="66" t="s">
        <v>3960</v>
      </c>
      <c r="L196" s="64" t="s">
        <v>4001</v>
      </c>
      <c r="M196" s="64" t="s">
        <v>5976</v>
      </c>
      <c r="N196" s="65" t="str">
        <f t="shared" si="18"/>
        <v>[Holinda, D., Burgar, J. M., &amp; Burton, A. C. (2020). Effects of scent lure on camera trap detections vary across mammalian predator and prey species. &lt;i&gt;PLoS One, 15&lt;/i&gt;(5), e0229055. &lt;a target="_blank" href="https://doi.org/10.1371/journal.pone.0229055"&gt;{https://doi.org/10.1371/journal.pone.0229055}]{#holinda_et_al_2020}&lt;br&gt;&lt;br&gt;</v>
      </c>
      <c r="O196" s="64" t="s">
        <v>3169</v>
      </c>
      <c r="P196" s="64" t="s">
        <v>984</v>
      </c>
      <c r="Q196" s="64" t="str">
        <f t="shared" si="20"/>
        <v>{{ rtxt_holinda_et_al_2020 }}</v>
      </c>
      <c r="R196" s="64" t="str">
        <f t="shared" si="21"/>
        <v>{{ rbib_holinda_et_al_2020 }}</v>
      </c>
      <c r="S196" s="63" t="str">
        <f t="shared" si="19"/>
        <v>Holinda, D., Burgar, J. M., &amp; Burton, A. C. (2020). Effects of scent lure on camera trap detections vary across mammalian predator and prey species. &lt;i&gt;PLoS One, 15&lt;/i&gt;(5), e0229055. &lt;a href="https://doi.org/10.1371/journal.pone.0229055" target="_blank"&gt;https://doi.org/10.1371/journal.pone.0229055&lt;/a&gt;&lt;span style="color:white"&gt;[.]{#holinda_et_al_2020}&lt;/span&gt;&lt;br&gt;&lt;br&gt;</v>
      </c>
      <c r="T196" s="64" t="str">
        <f t="shared" si="23"/>
        <v xml:space="preserve">    rtxt_holinda_et_al_2020: "&lt;a href=\"/08_references.html#holinda_et_al_2020\" target=\"_blank\"&gt;Holinda et al., 2020&lt;/a&gt;"</v>
      </c>
      <c r="U196" s="64" t="str">
        <f t="shared" si="22"/>
        <v xml:space="preserve">    rbib_holinda_et_al_2020: "Holinda, D., Burgar, J. M., &amp; Burton, A. C. (2020). Effects of scent lure on camera trap detections vary across mammalian predator and prey species. *PLoS One, 15*(5), e0229055. &lt;https://doi.org/10.1371/journal.pone.0229055&gt;"</v>
      </c>
      <c r="V196" s="64"/>
    </row>
    <row r="197" spans="1:22" ht="15.75">
      <c r="A197" s="64"/>
      <c r="B197" s="77" t="b">
        <v>1</v>
      </c>
      <c r="C197" s="77" t="b">
        <v>0</v>
      </c>
      <c r="D197" s="77" t="b">
        <v>0</v>
      </c>
      <c r="E197" s="64" t="s">
        <v>1904</v>
      </c>
      <c r="F197" s="64" t="s">
        <v>3168</v>
      </c>
      <c r="G197" s="64" t="s">
        <v>3167</v>
      </c>
      <c r="H197" s="64" t="s">
        <v>3167</v>
      </c>
      <c r="I197" s="64" t="b">
        <v>1</v>
      </c>
      <c r="J197" s="66" t="s">
        <v>3166</v>
      </c>
      <c r="K197" s="66" t="s">
        <v>3960</v>
      </c>
      <c r="L197" s="64" t="s">
        <v>4002</v>
      </c>
      <c r="M197" s="64" t="s">
        <v>6038</v>
      </c>
      <c r="N197" s="65" t="str">
        <f t="shared" ref="N197:N260" si="24">"["&amp;L197&amp;"]{#"&amp;F197&amp;"}&lt;br&gt;&lt;br&gt;"</f>
        <v>[Howe, E. J., Buckland, S. T., Després-Einspenner, M. -L., &amp; Kühl, H. S. (2017). Distance sampling with camera traps. &lt;i&gt;Methods in Ecology and Evolution, 8&lt;/i&gt;(11), 1558-1565. &lt;a target="_blank" href="https://doi.org/https://doi.org/10.1111/2041-210X.12790"&gt;{https://doi.org/https://doi.org/10.1111/2041-210X.12790}]{#howe_et_al_2017}&lt;br&gt;&lt;br&gt;</v>
      </c>
      <c r="O197" s="64" t="s">
        <v>3165</v>
      </c>
      <c r="P197" s="64" t="s">
        <v>984</v>
      </c>
      <c r="Q197" s="64" t="str">
        <f t="shared" si="20"/>
        <v>{{ rtxt_howe_et_al_2017 }}</v>
      </c>
      <c r="R197" s="64" t="str">
        <f t="shared" si="21"/>
        <v>{{ rbib_howe_et_al_2017 }}</v>
      </c>
      <c r="S197" s="63" t="str">
        <f t="shared" si="19"/>
        <v>Howe, E. J., Buckland, S. T., Després-Einspenner, M. -L., &amp; Kühl, H. S. (2017). Distance sampling with camera traps. &lt;i&gt;Methods in Ecology and Evolution, 8&lt;/i&gt;(11), 1558-1565. &lt;a href="https://doi.org/https://doi.org/10.1111/2041-210X.12790" target="_blank"&gt;https://doi.org/https://doi.org/10.1111/2041-210X.12790&lt;/a&gt;&lt;span style="color:white"&gt;[.]{#howe_et_al_2017}&lt;/span&gt;&lt;br&gt;&lt;br&gt;</v>
      </c>
      <c r="T197" s="64" t="str">
        <f t="shared" si="23"/>
        <v xml:space="preserve">    rtxt_howe_et_al_2017: "&lt;a href=\"/08_references.html#howe_et_al_2017\" target=\"_blank\"&gt;Howe et al., 2017&lt;/a&gt;"</v>
      </c>
      <c r="U197" s="64" t="str">
        <f t="shared" si="22"/>
        <v xml:space="preserve">    rbib_howe_et_al_2017: "Howe, E. J., Buckland, S. T., Després-Einspenner, M. -L., &amp; Kühl, H. S. (2017). Distance sampling with camera traps. *Methods in Ecology and Evolution, 8*(11), 1558-1565. &lt;https://doi.org/https://doi.org/10.1111/2041-210X.12790&gt;"</v>
      </c>
      <c r="V197" s="64"/>
    </row>
    <row r="198" spans="1:22" ht="15.75">
      <c r="A198" s="64"/>
      <c r="B198" s="77" t="b">
        <v>0</v>
      </c>
      <c r="C198" s="77" t="b">
        <v>0</v>
      </c>
      <c r="D198" s="77"/>
      <c r="E198" s="64" t="s">
        <v>1904</v>
      </c>
      <c r="F198" s="64" t="s">
        <v>3164</v>
      </c>
      <c r="G198" s="64" t="s">
        <v>3163</v>
      </c>
      <c r="H198" s="64" t="s">
        <v>3162</v>
      </c>
      <c r="I198" s="64" t="b">
        <v>1</v>
      </c>
      <c r="J198" s="66" t="s">
        <v>3161</v>
      </c>
      <c r="K198" s="66" t="s">
        <v>3960</v>
      </c>
      <c r="L198" s="64" t="s">
        <v>4003</v>
      </c>
      <c r="M198" s="64" t="s">
        <v>6017</v>
      </c>
      <c r="N198" s="65" t="str">
        <f t="shared" si="24"/>
        <v>[Hsieh, T. C., Ma, K. H., &amp; Chao, A. (2015). &lt;i&gt;iNEXT: Interpolation and Extrapolation for Species Diversity&lt;/i&gt;. R package version 2.6-6.1. &lt;a target="_blank" href="https://doi.org/10.32614/CRAN.package.iNEXT"&gt;{https://doi.org/10.32614/CRAN.package.iNEXT}]{#hsieh_et_al_2015}&lt;br&gt;&lt;br&gt;</v>
      </c>
      <c r="O198" s="64" t="s">
        <v>3160</v>
      </c>
      <c r="P198" s="64" t="s">
        <v>984</v>
      </c>
      <c r="Q198" s="64" t="str">
        <f t="shared" si="20"/>
        <v>{{ rtxt_hsieh_et_al_2015 }}</v>
      </c>
      <c r="R198" s="64" t="str">
        <f t="shared" si="21"/>
        <v>{{ rbib_hsieh_et_al_2015 }}</v>
      </c>
      <c r="S198" s="63" t="str">
        <f t="shared" si="19"/>
        <v>Hsieh, T. C., Ma, K. H., &amp; Chao, A. (2015). &lt;i&gt;iNEXT: Interpolation and Extrapolation for Species Diversity&lt;/i&gt;. R package version 2.6-6.1. &lt;a href="https://doi.org/10.32614/CRAN.package.iNEXT" target="_blank"&gt;https://doi.org/10.32614/CRAN.package.iNEXT&lt;/a&gt;&lt;span style="color:white"&gt;[.]{#hsieh_et_al_2015}&lt;/span&gt;&lt;br&gt;&lt;br&gt;</v>
      </c>
      <c r="T198" s="64" t="str">
        <f t="shared" si="23"/>
        <v xml:space="preserve">    rtxt_hsieh_et_al_2015: "&lt;a href=\"/08_references.html#hsieh_et_al_2015\" target=\"_blank\"&gt;Hsieh et al., 2015&lt;/a&gt;"</v>
      </c>
      <c r="U198" s="64" t="str">
        <f t="shared" si="22"/>
        <v xml:space="preserve">    rbib_hsieh_et_al_2015: "Hsieh, T. C., Ma, K. H., &amp; Chao, A. (2015). *iNEXT: Interpolation and Extrapolation for Species Diversity*. R package Version 2.6-6.1. &lt;https://doi.org/10.32614/CRAN.package.iNEXT&gt;"</v>
      </c>
      <c r="V198" s="64"/>
    </row>
    <row r="199" spans="1:22" ht="15.75">
      <c r="A199" s="64"/>
      <c r="B199" s="77" t="b">
        <v>1</v>
      </c>
      <c r="C199" s="77" t="b">
        <v>0</v>
      </c>
      <c r="D199" s="77" t="b">
        <v>0</v>
      </c>
      <c r="E199" s="64" t="s">
        <v>2246</v>
      </c>
      <c r="F199" s="64" t="s">
        <v>3159</v>
      </c>
      <c r="G199" s="64" t="s">
        <v>3158</v>
      </c>
      <c r="H199" s="64" t="s">
        <v>3158</v>
      </c>
      <c r="I199" s="64" t="b">
        <v>1</v>
      </c>
      <c r="J199" s="66" t="s">
        <v>3157</v>
      </c>
      <c r="K199" s="66" t="s">
        <v>3960</v>
      </c>
      <c r="L199" s="64" t="s">
        <v>4004</v>
      </c>
      <c r="M199" s="64" t="s">
        <v>6092</v>
      </c>
      <c r="N199" s="65" t="str">
        <f t="shared" si="24"/>
        <v>[Huggard, D. (2018). &lt;i&gt;Animal Density from Camera Data&lt;/i&gt;. Alberta Biodiversity Monitoring Institute. &lt;a target="_blank" href="https://www.abmi.ca/home/publications/501-550/516"&gt;{https://www.abmi.ca/home/publications/501-550/516}]{#huggard_2018}&lt;br&gt;&lt;br&gt;</v>
      </c>
      <c r="O199" s="64" t="s">
        <v>3156</v>
      </c>
      <c r="P199" s="64" t="s">
        <v>984</v>
      </c>
      <c r="Q199" s="64" t="str">
        <f t="shared" si="20"/>
        <v>{{ rtxt_huggard_2018 }}</v>
      </c>
      <c r="R199" s="64" t="str">
        <f t="shared" si="21"/>
        <v>{{ rbib_huggard_2018 }}</v>
      </c>
      <c r="S199" s="63" t="str">
        <f t="shared" si="19"/>
        <v>Huggard, D. (2018). &lt;i&gt;Animal Density from Camera Data&lt;/i&gt;. Alberta Biodiversity Monitoring Institute. &lt;a href="https://www.abmi.ca/home/publications/501-550/516" target="_blank"&gt;https://www.abmi.ca/home/publications/501-550/516&lt;/a&gt;&lt;span style="color:white"&gt;[.]{#huggard_2018}&lt;/span&gt;&lt;br&gt;&lt;br&gt;</v>
      </c>
      <c r="T199" s="64" t="str">
        <f t="shared" si="23"/>
        <v xml:space="preserve">    rtxt_huggard_2018: "&lt;a href=\"/08_references.html#huggard_2018\" target=\"_blank\"&gt;Huggard, 2018&lt;/a&gt;"</v>
      </c>
      <c r="U199" s="64" t="str">
        <f t="shared" si="22"/>
        <v xml:space="preserve">    rbib_huggard_2018: "Huggard, D. (2018). *Animal Density from Camera Data*. Alberta Biodiversity Monitoring Institute. &lt;https://www.abmi.ca/home/publications/501-550/516&gt;"</v>
      </c>
      <c r="V199" s="64"/>
    </row>
    <row r="200" spans="1:22" ht="15.75">
      <c r="A200" s="64"/>
      <c r="B200" s="77" t="b">
        <v>1</v>
      </c>
      <c r="C200" s="77" t="b">
        <v>0</v>
      </c>
      <c r="D200" s="77" t="b">
        <v>0</v>
      </c>
      <c r="E200" s="64" t="s">
        <v>1904</v>
      </c>
      <c r="F200" s="64" t="s">
        <v>3155</v>
      </c>
      <c r="G200" s="64" t="s">
        <v>3154</v>
      </c>
      <c r="H200" s="64" t="s">
        <v>3154</v>
      </c>
      <c r="I200" s="64" t="b">
        <v>1</v>
      </c>
      <c r="J200" s="66" t="s">
        <v>3153</v>
      </c>
      <c r="K200" s="66" t="s">
        <v>3960</v>
      </c>
      <c r="L200" s="64" t="s">
        <v>4005</v>
      </c>
      <c r="M200" s="64" t="s">
        <v>6006</v>
      </c>
      <c r="N200" s="65" t="str">
        <f t="shared" si="24"/>
        <v>[Hurlbert, S. (1984). Pseudoreplication and the design of ecological field experiments. &lt;i&gt;Ecological Monographs, 54&lt;/i&gt;(2), 187-211. &lt;a target="_blank" href="https://doi.org/10.2307/1942661"&gt;{https://doi.org/10.2307/1942661}]{#hurlbert_1984}&lt;br&gt;&lt;br&gt;</v>
      </c>
      <c r="O200" s="64" t="s">
        <v>3152</v>
      </c>
      <c r="P200" s="64" t="s">
        <v>984</v>
      </c>
      <c r="Q200" s="64" t="str">
        <f t="shared" si="20"/>
        <v>{{ rtxt_hurlbert_1984 }}</v>
      </c>
      <c r="R200" s="64" t="str">
        <f t="shared" si="21"/>
        <v>{{ rbib_hurlbert_1984 }}</v>
      </c>
      <c r="S200" s="63" t="str">
        <f t="shared" si="19"/>
        <v>Hurlbert, S. (1984). Pseudoreplication and the design of ecological field experiments. &lt;i&gt;Ecological Monographs, 54&lt;/i&gt;(2), 187-211. &lt;a href="https://doi.org/10.2307/1942661" target="_blank"&gt;https://doi.org/10.2307/1942661&lt;/a&gt;&lt;span style="color:white"&gt;[.]{#hurlbert_1984}&lt;/span&gt;&lt;br&gt;&lt;br&gt;</v>
      </c>
      <c r="T200" s="64" t="str">
        <f t="shared" si="23"/>
        <v xml:space="preserve">    rtxt_hurlbert_1984: "&lt;a href=\"/08_references.html#hurlbert_1984\" target=\"_blank\"&gt;Hurlbert, 1984&lt;/a&gt;"</v>
      </c>
      <c r="U200" s="64" t="str">
        <f t="shared" si="22"/>
        <v xml:space="preserve">    rbib_hurlbert_1984: "Hurlbert, S. (1984). Pseudoreplication and the design of ecological field experiments. *Ecological Monographs, 54*(2), 187-211. &lt;https://doi.org/10.2307/1942661&gt;"</v>
      </c>
      <c r="V200" s="64"/>
    </row>
    <row r="201" spans="1:22" ht="15.75">
      <c r="A201" s="64"/>
      <c r="B201" s="77" t="b">
        <v>0</v>
      </c>
      <c r="C201" s="77" t="b">
        <v>0</v>
      </c>
      <c r="D201" s="77" t="b">
        <v>1</v>
      </c>
      <c r="E201" s="64" t="s">
        <v>1904</v>
      </c>
      <c r="F201" s="64" t="s">
        <v>3151</v>
      </c>
      <c r="G201" s="64" t="s">
        <v>3150</v>
      </c>
      <c r="H201" s="64" t="s">
        <v>3150</v>
      </c>
      <c r="I201" s="64" t="b">
        <v>1</v>
      </c>
      <c r="J201" s="66" t="s">
        <v>3149</v>
      </c>
      <c r="K201" s="66" t="s">
        <v>3960</v>
      </c>
      <c r="L201" s="64" t="s">
        <v>4006</v>
      </c>
      <c r="M201" s="64" t="s">
        <v>6013</v>
      </c>
      <c r="N201" s="65" t="str">
        <f t="shared" si="24"/>
        <v>[Iannarilli, F., Erb, J., Arnold, T. W., &amp; Fieberg, J. R. (2021). Evaluating species-specific responses to camera-trap Survey designs. &lt;i&gt;Wildlife Biology&lt;i&gt;, &lt;i&gt;2021&lt;/i&gt;(1). &lt;a target="_blank" href="https://doi.org/10.2981/wlb.00726"&gt;{https://doi.org/10.2981/wlb.00726}]{#iannarilli_et_al_2021}&lt;br&gt;&lt;br&gt;</v>
      </c>
      <c r="O201" s="64" t="s">
        <v>3148</v>
      </c>
      <c r="P201" s="64" t="s">
        <v>984</v>
      </c>
      <c r="Q201" s="64" t="str">
        <f t="shared" si="20"/>
        <v>{{ rtxt_iannarilli_et_al_2021 }}</v>
      </c>
      <c r="R201" s="64" t="str">
        <f t="shared" si="21"/>
        <v>{{ rbib_iannarilli_et_al_2021 }}</v>
      </c>
      <c r="S201" s="63" t="str">
        <f t="shared" si="19"/>
        <v>Iannarilli, F., Erb, J., Arnold, T. W., &amp; Fieberg, J. R. (2021). Evaluating species-specific responses to camera-trap Survey designs. &lt;i&gt;Wildlife Biology&lt;i&gt;, &lt;i&gt;2021&lt;/i&gt;(1). &lt;a href="https://doi.org/10.2981/wlb.00726" target="_blank"&gt;https://doi.org/10.2981/wlb.00726&lt;/a&gt;&lt;span style="color:white"&gt;[.]{#iannarilli_et_al_2021}&lt;/span&gt;&lt;br&gt;&lt;br&gt;</v>
      </c>
      <c r="T201" s="64" t="str">
        <f t="shared" si="23"/>
        <v xml:space="preserve">    rtxt_iannarilli_et_al_2021: "&lt;a href=\"/08_references.html#iannarilli_et_al_2021\" target=\"_blank\"&gt;Iannarilli et al., 2021&lt;/a&gt;"</v>
      </c>
      <c r="U201" s="64" t="str">
        <f t="shared" si="22"/>
        <v xml:space="preserve">    rbib_iannarilli_et_al_2021: "Iannarilli, F., Erb, J., Arnold, T. W., &amp; Fieberg, J. R. (2021). Evaluating species-specific responses to camera-trap Survey designs. *Wildlife Biology, 2021*(1). &lt;https://doi.org/10.2981/wlb.00726&gt;"</v>
      </c>
      <c r="V201" s="64"/>
    </row>
    <row r="202" spans="1:22" ht="15.75">
      <c r="E202" s="64" t="s">
        <v>1904</v>
      </c>
      <c r="F202" s="61" t="s">
        <v>4608</v>
      </c>
      <c r="G202" s="63" t="s">
        <v>4611</v>
      </c>
      <c r="I202" s="64" t="b">
        <v>1</v>
      </c>
      <c r="J202" s="62" t="s">
        <v>4607</v>
      </c>
      <c r="K202" s="66" t="s">
        <v>3960</v>
      </c>
      <c r="L202" s="110" t="s">
        <v>5677</v>
      </c>
      <c r="M202" s="110" t="s">
        <v>5878</v>
      </c>
      <c r="N202" s="65" t="str">
        <f t="shared" si="24"/>
        <v>[Iannarilli, F., Gerber, B. D., Erb, J., &amp; Fieberg, J. R. (2024a). A ‘how‐to’ guide for estimating animal diel activity using hierarchical models. &lt;i&gt;Journal of Animal Ecology&lt;/i&gt;, 1365-2656. 14213. &lt;a target="_blank" href="https://doi.org/10.1111/1365-2656.14213"&gt;{https://doi.org/10.1111/1365-2656.14213}]{#iannarilli_et_al_2024a}&lt;br&gt;&lt;br&gt;</v>
      </c>
      <c r="O202" s="102" t="s">
        <v>5673</v>
      </c>
      <c r="Q202" s="64" t="str">
        <f t="shared" si="20"/>
        <v>{{ rtxt_iannarilli_et_al_2024a }}</v>
      </c>
      <c r="R202" s="64" t="str">
        <f t="shared" si="21"/>
        <v>{{ rbib_iannarilli_et_al_2024a }}</v>
      </c>
      <c r="S202" s="63" t="str">
        <f t="shared" si="19"/>
        <v>Iannarilli, F., Gerber, B. D., Erb, J., &amp; Fieberg, J. R. (2024a). A ‘how‐to’ guide for estimating animal diel activity using hierarchical models. &lt;i&gt;Journal of Animal Ecology&lt;/i&gt;, 1365-2656. 14213. &lt;a href="https://doi.org/10.1111/1365-2656.14213" target="_blank"&gt;https://doi.org/10.1111/1365-2656.14213&lt;/a&gt;&lt;span style="color:white"&gt;[.]{#iannarilli_et_al_2024a}&lt;/span&gt;&lt;br&gt;&lt;br&gt;</v>
      </c>
      <c r="T202" s="64" t="str">
        <f t="shared" si="23"/>
        <v xml:space="preserve">    rtxt_iannarilli_et_al_2024a: "&lt;a href=\"/08_references.html#iannarilli_et_al_2024a\" target=\"_blank\"&gt;Iannarilli et al., 2024a&lt;/a&gt;"</v>
      </c>
      <c r="U202" s="64" t="str">
        <f t="shared" si="22"/>
        <v xml:space="preserve">    rbib_iannarilli_et_al_2024a: "Iannarilli, F., Gerber, B. D., Erb, J., &amp; Fieberg, J. R. (2024a). A ‘how‐to’ guide for estimating animal diel activity using hierarchical models. *Journal of Animal Ecology*, 1365-2656. 14213. &lt;https://doi.org/10.1111/1365-2656.14213&gt;"</v>
      </c>
    </row>
    <row r="203" spans="1:22" ht="15.75">
      <c r="E203" s="64" t="s">
        <v>1950</v>
      </c>
      <c r="F203" s="61" t="s">
        <v>4609</v>
      </c>
      <c r="G203" s="63" t="s">
        <v>4612</v>
      </c>
      <c r="I203" s="64" t="b">
        <v>1</v>
      </c>
      <c r="J203" s="61" t="s">
        <v>4610</v>
      </c>
      <c r="K203" s="66" t="s">
        <v>3960</v>
      </c>
      <c r="L203" s="110" t="s">
        <v>5676</v>
      </c>
      <c r="M203" s="110" t="s">
        <v>6043</v>
      </c>
      <c r="N203" s="65" t="str">
        <f t="shared" si="24"/>
        <v>[Iannarilli, F., Gerber, B. D., Erb, J., and Fieberg, J. R. (2024a). &lt;i&gt;Data, R Code, and Output Supporting: A “How-to” Guide for Estimating Animal Diel Activity Using Hierarchical Models.&lt;/i&gt; Retrieved from the Data Repository for the University of Minnesota. &lt;a target="_blank" href="https://github.com/FabiolaIannarilli/HMs_Activit"&gt;{https://github.com/FabiolaIannarilli/HMs_Activit}]{#iannarilli_et_al_2024b}&lt;br&gt;&lt;br&gt;</v>
      </c>
      <c r="O203" s="63" t="s">
        <v>5672</v>
      </c>
      <c r="Q203" s="64" t="str">
        <f t="shared" si="20"/>
        <v>{{ rtxt_iannarilli_et_al_2024b }}</v>
      </c>
      <c r="R203" s="64" t="str">
        <f t="shared" si="21"/>
        <v>{{ rbib_iannarilli_et_al_2024b }}</v>
      </c>
      <c r="S203" s="63" t="str">
        <f t="shared" si="19"/>
        <v>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target="_blank"&gt;https://github.com/FabiolaIannarilli/HMs_Activit&lt;/a&gt;&lt;span style="color:white"&gt;[.]{#iannarilli_et_al_2024b}&lt;/span&gt;&lt;br&gt;&lt;br&gt;</v>
      </c>
      <c r="T203" s="64" t="str">
        <f t="shared" si="23"/>
        <v xml:space="preserve">    rtxt_iannarilli_et_al_2024b: "&lt;a href=\"/08_references.html#iannarilli_et_al_2024b\" target=\"_blank\"&gt;Iannarilli et al., 2024b&lt;/a&gt;"</v>
      </c>
      <c r="U203" s="64" t="str">
        <f t="shared" si="22"/>
        <v xml:space="preserve">    rbib_iannarilli_et_al_2024b: "Iannarilli, F., Gerber, B. D., Erb, J., and Fieberg, J. R. (2024a). *Data, R Code, and Output Supporting: A “How-to” Guide for Estimating Animal Diel Activity Using Hierarchical Models.* Retrieved from the Data Repository for the University of Minnesota. &lt;https://github.com/FabiolaIannarilli/HMs_Activit&gt;"</v>
      </c>
    </row>
    <row r="204" spans="1:22" ht="15.75">
      <c r="A204" s="64"/>
      <c r="B204" s="77" t="b">
        <v>0</v>
      </c>
      <c r="C204" s="77" t="b">
        <v>0</v>
      </c>
      <c r="D204" s="77" t="b">
        <v>1</v>
      </c>
      <c r="E204" s="64" t="s">
        <v>1904</v>
      </c>
      <c r="F204" s="64" t="s">
        <v>3147</v>
      </c>
      <c r="G204" s="64" t="s">
        <v>3146</v>
      </c>
      <c r="H204" s="64" t="s">
        <v>3146</v>
      </c>
      <c r="I204" s="64" t="b">
        <v>1</v>
      </c>
      <c r="J204" s="66" t="s">
        <v>3145</v>
      </c>
      <c r="K204" s="66" t="s">
        <v>3960</v>
      </c>
      <c r="L204" s="64" t="s">
        <v>4007</v>
      </c>
      <c r="M204" s="64" t="s">
        <v>6014</v>
      </c>
      <c r="N204" s="65" t="str">
        <f t="shared" si="24"/>
        <v>[Iijima, H. (2020). A Review of Wildlife Abundance Estimation Models: Comparison of Models for Correct Application. &lt;i&gt;Mammal Study, 45&lt;/i&gt;(3), 177. &lt;a target="_blank" href="https://doi.org/10.3106/ms2019-0082"&gt;{https://doi.org/10.3106/ms2019-0082}]{#iijima_2020}&lt;br&gt;&lt;br&gt;</v>
      </c>
      <c r="O204" s="64" t="s">
        <v>3144</v>
      </c>
      <c r="P204" s="64" t="s">
        <v>984</v>
      </c>
      <c r="Q204" s="64" t="str">
        <f t="shared" si="20"/>
        <v>{{ rtxt_iijima_2020 }}</v>
      </c>
      <c r="R204" s="64" t="str">
        <f t="shared" si="21"/>
        <v>{{ rbib_iijima_2020 }}</v>
      </c>
      <c r="S204" s="63" t="str">
        <f t="shared" si="19"/>
        <v>Iijima, H. (2020). A Review of Wildlife Abundance Estimation Models: Comparison of Models for Correct Application. &lt;i&gt;Mammal Study, 45&lt;/i&gt;(3), 177. &lt;a href="https://doi.org/10.3106/ms2019-0082" target="_blank"&gt;https://doi.org/10.3106/ms2019-0082&lt;/a&gt;&lt;span style="color:white"&gt;[.]{#iijima_2020}&lt;/span&gt;&lt;br&gt;&lt;br&gt;</v>
      </c>
      <c r="T204" s="64" t="str">
        <f t="shared" si="23"/>
        <v xml:space="preserve">    rtxt_iijima_2020: "&lt;a href=\"/08_references.html#iijima_2020\" target=\"_blank\"&gt;Iijima, 2020&lt;/a&gt;"</v>
      </c>
      <c r="U204" s="64" t="str">
        <f t="shared" si="22"/>
        <v xml:space="preserve">    rbib_iijima_2020: "Iijima, H. (2020). A Review of Wildlife Abundance Estimation Models: Comparison of Models for Correct Application. *Mammal Study, 45*(3), 177. &lt;https://doi.org/10.3106/ms2019-0082&gt;"</v>
      </c>
      <c r="V204" s="64"/>
    </row>
    <row r="205" spans="1:22" ht="15.75">
      <c r="A205" s="64"/>
      <c r="B205" s="77" t="b">
        <v>1</v>
      </c>
      <c r="C205" s="77" t="b">
        <v>0</v>
      </c>
      <c r="D205" s="77" t="b">
        <v>1</v>
      </c>
      <c r="E205" s="64" t="s">
        <v>1904</v>
      </c>
      <c r="F205" s="64" t="s">
        <v>3143</v>
      </c>
      <c r="G205" s="64" t="s">
        <v>3142</v>
      </c>
      <c r="H205" s="64" t="s">
        <v>3142</v>
      </c>
      <c r="I205" s="64" t="b">
        <v>1</v>
      </c>
      <c r="J205" s="66" t="s">
        <v>3141</v>
      </c>
      <c r="K205" s="66" t="s">
        <v>3960</v>
      </c>
      <c r="L205" s="64" t="s">
        <v>4008</v>
      </c>
      <c r="M205" s="64" t="s">
        <v>5837</v>
      </c>
      <c r="N205" s="65" t="str">
        <f t="shared" si="24"/>
        <v>[Iknayan, K. J., Tingley, M. W., Furnas, B. J., &amp; Beissinger, S. R. (2014). Detecting Diversity: Emerging Methods to Estimate Species Diversity. &lt;i&gt;Trends in Ecology &amp; Evolution, 29&lt;/i&gt;(2), 97-106. &lt;a target="_blank" href="https://doi.org/10.1016/j.tree.2013.10.012"&gt;{https://doi.org/10.1016/j.tree.2013.10.012}]{#iknayan_et_al_2014}&lt;br&gt;&lt;br&gt;</v>
      </c>
      <c r="O205" s="64" t="s">
        <v>3140</v>
      </c>
      <c r="P205" s="64" t="s">
        <v>984</v>
      </c>
      <c r="Q205" s="64" t="str">
        <f t="shared" si="20"/>
        <v>{{ rtxt_iknayan_et_al_2014 }}</v>
      </c>
      <c r="R205" s="64" t="str">
        <f t="shared" si="21"/>
        <v>{{ rbib_iknayan_et_al_2014 }}</v>
      </c>
      <c r="S205" s="63" t="str">
        <f t="shared" si="19"/>
        <v>Iknayan, K. J., Tingley, M. W., Furnas, B. J., &amp; Beissinger, S. R. (2014). Detecting Diversity: Emerging Methods to Estimate Species Diversity. &lt;i&gt;Trends in Ecology &amp; Evolution, 29&lt;/i&gt;(2), 97-106. &lt;a href="https://doi.org/10.1016/j.tree.2013.10.012" target="_blank"&gt;https://doi.org/10.1016/j.tree.2013.10.012&lt;/a&gt;&lt;span style="color:white"&gt;[.]{#iknayan_et_al_2014}&lt;/span&gt;&lt;br&gt;&lt;br&gt;</v>
      </c>
      <c r="T205" s="64" t="str">
        <f t="shared" si="23"/>
        <v xml:space="preserve">    rtxt_iknayan_et_al_2014: "&lt;a href=\"/08_references.html#iknayan_et_al_2014\" target=\"_blank\"&gt;Iknayan et al., 2014&lt;/a&gt;"</v>
      </c>
      <c r="U205" s="64" t="str">
        <f t="shared" si="22"/>
        <v xml:space="preserve">    rbib_iknayan_et_al_2014: "Iknayan, K. J., Tingley, M. W., Furnas, B. J., &amp; Beissinger, S. R. (2014). Detecting Diversity: Emerging Methods to Estimate Species Diversity. *Trends in Ecology &amp; Evolution, 29*(2), 97-106. &lt;https://doi.org/10.1016/j.tree.2013.10.012&gt;"</v>
      </c>
      <c r="V205" s="64"/>
    </row>
    <row r="206" spans="1:22" ht="15.75">
      <c r="A206" s="64"/>
      <c r="B206" s="77"/>
      <c r="C206" s="77"/>
      <c r="D206" s="77"/>
      <c r="E206" s="64" t="s">
        <v>2246</v>
      </c>
      <c r="F206" s="65" t="s">
        <v>3139</v>
      </c>
      <c r="G206" s="64" t="s">
        <v>3138</v>
      </c>
      <c r="H206" s="64" t="s">
        <v>3138</v>
      </c>
      <c r="I206" s="64" t="b">
        <v>1</v>
      </c>
      <c r="J206" s="66" t="s">
        <v>3966</v>
      </c>
      <c r="K206" s="66" t="s">
        <v>3960</v>
      </c>
      <c r="L206" s="64" t="s">
        <v>4009</v>
      </c>
      <c r="M206" s="64" t="s">
        <v>5709</v>
      </c>
      <c r="N206" s="65" t="str">
        <f t="shared" si="24"/>
        <v>[Jackman, (2024). &lt;i&gt;R package ’Pscl’&lt;/i&gt;. R package version 1.5.9. &lt;a target="_blank" href="https://cran.r-project.org/web/packages/pscl/index.html"&gt;{https://cran.r-project.org/web/packages/pscl/index.html}]{#jackman_2024}&lt;br&gt;&lt;br&gt;</v>
      </c>
      <c r="O206" s="64" t="s">
        <v>3137</v>
      </c>
      <c r="P206" s="64" t="s">
        <v>984</v>
      </c>
      <c r="Q206" s="64" t="str">
        <f t="shared" si="20"/>
        <v>{{ rtxt_jackman_2024 }}</v>
      </c>
      <c r="R206" s="64" t="str">
        <f t="shared" si="21"/>
        <v>{{ rbib_jackman_2024 }}</v>
      </c>
      <c r="S206" s="63" t="str">
        <f t="shared" si="19"/>
        <v>Jackman, (2024). &lt;i&gt;R package ’Pscl’&lt;/i&gt;. R package version 1.5.9. &lt;a href="https://cran.r-project.org/web/packages/pscl/index.html" target="_blank"&gt;https://cran.r-project.org/web/packages/pscl/index.html&lt;/a&gt;&lt;span style="color:white"&gt;[.]{#jackman_2024}&lt;/span&gt;&lt;br&gt;&lt;br&gt;</v>
      </c>
      <c r="T206" s="64" t="str">
        <f t="shared" si="23"/>
        <v xml:space="preserve">    rtxt_jackman_2024: "&lt;a href=\"/08_references.html#jackman_2024\" target=\"_blank\"&gt;Jackman,  2024&lt;/a&gt;"</v>
      </c>
      <c r="U206" s="64" t="str">
        <f t="shared" si="22"/>
        <v xml:space="preserve">    rbib_jackman_2024: "Jackman, (2024). *R package ’Pscl’*. R package version 1.5.9. &lt;https://cran.r-project.org/web/packages/pscl/index.html&gt;"</v>
      </c>
      <c r="V206" s="64"/>
    </row>
    <row r="207" spans="1:22" ht="15.75">
      <c r="A207" s="64"/>
      <c r="B207" s="77" t="b">
        <v>1</v>
      </c>
      <c r="C207" s="77" t="b">
        <v>0</v>
      </c>
      <c r="D207" s="77" t="b">
        <v>0</v>
      </c>
      <c r="E207" s="64" t="s">
        <v>1904</v>
      </c>
      <c r="F207" s="64" t="s">
        <v>3136</v>
      </c>
      <c r="G207" s="64" t="s">
        <v>3135</v>
      </c>
      <c r="H207" s="64" t="s">
        <v>3134</v>
      </c>
      <c r="I207" s="64" t="b">
        <v>1</v>
      </c>
      <c r="J207" s="66" t="s">
        <v>3133</v>
      </c>
      <c r="K207" s="66" t="s">
        <v>3960</v>
      </c>
      <c r="L207" s="64" t="s">
        <v>4010</v>
      </c>
      <c r="M207" s="64" t="s">
        <v>5842</v>
      </c>
      <c r="N207" s="65" t="str">
        <f t="shared" si="24"/>
        <v>[Jennelle,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href="https://doi.org/10.1017/s1367943002002160"&gt;{https://doi.org/10.1017/s1367943002002160}]{#jennelle_et_al_2002}&lt;br&gt;&lt;br&gt;</v>
      </c>
      <c r="O207" s="64" t="s">
        <v>3132</v>
      </c>
      <c r="P207" s="64" t="s">
        <v>984</v>
      </c>
      <c r="Q207" s="64" t="str">
        <f t="shared" si="20"/>
        <v>{{ rtxt_jennelle_et_al_2002 }}</v>
      </c>
      <c r="R207" s="64" t="str">
        <f t="shared" si="21"/>
        <v>{{ rbib_jennelle_et_al_2002 }}</v>
      </c>
      <c r="S207" s="63" t="str">
        <f t="shared" si="19"/>
        <v>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target="_blank"&gt;https://doi.org/10.1017/s1367943002002160&lt;/a&gt;&lt;span style="color:white"&gt;[.]{#jennelle_et_al_2002}&lt;/span&gt;&lt;br&gt;&lt;br&gt;</v>
      </c>
      <c r="T207" s="64" t="str">
        <f t="shared" si="23"/>
        <v xml:space="preserve">    rtxt_jennelle_et_al_2002: "&lt;a href=\"/08_references.html#jennelle_et_al_2002\" target=\"_blank\"&gt;Jennelle et al., 2002&lt;/a&gt;"</v>
      </c>
      <c r="U207" s="64" t="str">
        <f t="shared" si="22"/>
        <v xml:space="preserve">    rbib_jennelle_et_al_2002: "Jennelle, C. S., Runge, M. C., &amp; MacKenzie, D. I. (2002). The Use of Photographic Rates to Estimate Densities of Tigers and Other Cryptic Mammals: A Comment on Misleading Conclusions. *Animal Conservation, 5*(2), 119-120. &lt;https://doi.org/10.1017/s1367943002002160&gt;"</v>
      </c>
      <c r="V207" s="64"/>
    </row>
    <row r="208" spans="1:22" ht="15.75">
      <c r="A208" s="64"/>
      <c r="B208" s="77" t="b">
        <v>1</v>
      </c>
      <c r="C208" s="77" t="b">
        <v>0</v>
      </c>
      <c r="D208" s="77" t="b">
        <v>0</v>
      </c>
      <c r="E208" s="64" t="s">
        <v>1904</v>
      </c>
      <c r="F208" s="64" t="s">
        <v>3131</v>
      </c>
      <c r="G208" s="64" t="s">
        <v>3130</v>
      </c>
      <c r="H208" s="64" t="s">
        <v>3130</v>
      </c>
      <c r="I208" s="64" t="b">
        <v>1</v>
      </c>
      <c r="J208" s="66" t="s">
        <v>3129</v>
      </c>
      <c r="K208" s="66" t="s">
        <v>3960</v>
      </c>
      <c r="L208" s="64" t="s">
        <v>4011</v>
      </c>
      <c r="M208" s="64" t="s">
        <v>6037</v>
      </c>
      <c r="N208" s="65" t="str">
        <f t="shared" si="24"/>
        <v>[Jennrich, R. I., &amp; Turner, F. B. (1969). Measurement of non-circular home range. &lt;i&gt;Journal of Theoretical Biology, 22&lt;/i&gt;(2), 227-237. &lt;a target="_blank" href="https://doi.org/https://doi.org/10.1016/0022-5193(69)90002-2"&gt;{https://doi.org/https://doi.org/10.1016/0022-5193(69)90002-2}]{#jennrich_turner_1969}&lt;br&gt;&lt;br&gt;</v>
      </c>
      <c r="O208" s="64" t="s">
        <v>3128</v>
      </c>
      <c r="P208" s="64" t="s">
        <v>984</v>
      </c>
      <c r="Q208" s="64" t="str">
        <f t="shared" si="20"/>
        <v>{{ rtxt_jennrich_turner_1969 }}</v>
      </c>
      <c r="R208" s="64" t="str">
        <f t="shared" si="21"/>
        <v>{{ rbib_jennrich_turner_1969 }}</v>
      </c>
      <c r="S208" s="63" t="str">
        <f t="shared" si="19"/>
        <v>Jennrich, R. I., &amp; Turner, F. B. (1969). Measurement of non-circular home range. &lt;i&gt;Journal of Theoretical Biology, 22&lt;/i&gt;(2), 227-237. &lt;a href="https://doi.org/https://doi.org/10.1016/0022-5193(69)90002-2" target="_blank"&gt;https://doi.org/https://doi.org/10.1016/0022-5193(69)90002-2&lt;/a&gt;&lt;span style="color:white"&gt;[.]{#jennrich_turner_1969}&lt;/span&gt;&lt;br&gt;&lt;br&gt;</v>
      </c>
      <c r="T208" s="64" t="str">
        <f t="shared" si="23"/>
        <v xml:space="preserve">    rtxt_jennrich_turner_1969: "&lt;a href=\"/08_references.html#jennrich_turner_1969\" target=\"_blank\"&gt;Jennrich &amp; Turner, 1969&lt;/a&gt;"</v>
      </c>
      <c r="U208" s="64" t="str">
        <f t="shared" si="22"/>
        <v xml:space="preserve">    rbib_jennrich_turner_1969: "Jennrich, R. I., &amp; Turner, F. B. (1969). Measurement of non-circular home range. *Journal of Theoretical Biology, 22*(2), 227-237. &lt;https://doi.org/https://doi.org/10.1016/0022-5193(69)90002-2&gt;"</v>
      </c>
      <c r="V208" s="64"/>
    </row>
    <row r="209" spans="1:22" ht="15.75">
      <c r="A209" s="64"/>
      <c r="B209" s="77"/>
      <c r="C209" s="77"/>
      <c r="D209" s="77"/>
      <c r="E209" s="64" t="s">
        <v>1904</v>
      </c>
      <c r="F209" s="64" t="s">
        <v>3127</v>
      </c>
      <c r="G209" s="65" t="s">
        <v>3126</v>
      </c>
      <c r="H209" s="65" t="s">
        <v>3126</v>
      </c>
      <c r="I209" s="64" t="b">
        <v>1</v>
      </c>
      <c r="J209" s="66" t="s">
        <v>3125</v>
      </c>
      <c r="K209" s="66" t="s">
        <v>3960</v>
      </c>
      <c r="L209" s="64" t="s">
        <v>4012</v>
      </c>
      <c r="M209" s="64" t="s">
        <v>5933</v>
      </c>
      <c r="N209" s="65" t="str">
        <f t="shared" si="24"/>
        <v>[Jenny, D. (1996). Spatial organization of leopards Panthera pardus in Taï National Park, Ivory Coast: Is rainforest habitat a ‘tropical haven’? &lt;i&gt;Journal of Zoology, 240&lt;/i&gt;(3), 427-440. &lt;a target="_blank" href="https://doi.org/10.1111/j.1469-7998.1996.tb05296.x"&gt;{https://doi.org/10.1111/j.1469-7998.1996.tb05296.x}]{#jenny_1996}&lt;br&gt;&lt;br&gt;</v>
      </c>
      <c r="O209" s="64" t="s">
        <v>3124</v>
      </c>
      <c r="P209" s="64" t="s">
        <v>984</v>
      </c>
      <c r="Q209" s="64" t="str">
        <f t="shared" si="20"/>
        <v>{{ rtxt_jenny_1996 }}</v>
      </c>
      <c r="R209" s="64" t="str">
        <f t="shared" si="21"/>
        <v>{{ rbib_jenny_1996 }}</v>
      </c>
      <c r="S209" s="63" t="str">
        <f t="shared" ref="S209:S272" si="25">M209&amp;IF(O209&lt;&gt;"-",(" &lt;a href="&amp;""""&amp;O209&amp;""""&amp;" target="&amp;""""&amp;"_blank"&amp;""""&amp;"&gt;"&amp;O209&amp;"&lt;/a&gt;&lt;span style="&amp;""""&amp;"color:white"&amp;""""&amp;"&gt;[.]{#"&amp;F209&amp;"}&lt;/span&gt;&lt;br&gt;&lt;br&gt;"),"")</f>
        <v>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target="_blank"&gt;https://doi.org/10.1111/j.1469-7998.1996.tb05296.x&lt;/a&gt;&lt;span style="color:white"&gt;[.]{#jenny_1996}&lt;/span&gt;&lt;br&gt;&lt;br&gt;</v>
      </c>
      <c r="T209" s="64" t="str">
        <f t="shared" si="23"/>
        <v xml:space="preserve">    rtxt_jenny_1996: "&lt;a href=\"/08_references.html#jenny_1996\" target=\"_blank\"&gt;Jenny, 1996&lt;/a&gt;"</v>
      </c>
      <c r="U209" s="64" t="str">
        <f t="shared" si="22"/>
        <v xml:space="preserve">    rbib_jenny_1996: "Jenny, D. (1996). Spatial organization of leopards Panthera pardus in Taï National Park, Ivory Coast: Is rainforest habitat a ‘tropical haven’? *Journal of Zoology, 240*(3), 427-440. &lt;https://doi.org/10.1111/j.1469-7998.1996.tb05296.x&gt;"</v>
      </c>
      <c r="V209" s="64"/>
    </row>
    <row r="210" spans="1:22" ht="15.75">
      <c r="A210" s="64"/>
      <c r="B210" s="77"/>
      <c r="C210" s="77"/>
      <c r="D210" s="77"/>
      <c r="E210" s="64" t="s">
        <v>1904</v>
      </c>
      <c r="F210" s="64" t="s">
        <v>3123</v>
      </c>
      <c r="G210" s="65" t="s">
        <v>3122</v>
      </c>
      <c r="H210" s="64" t="s">
        <v>3121</v>
      </c>
      <c r="I210" s="64" t="b">
        <v>1</v>
      </c>
      <c r="J210" s="66" t="s">
        <v>3120</v>
      </c>
      <c r="K210" s="66" t="s">
        <v>3960</v>
      </c>
      <c r="L210" s="64" t="s">
        <v>4013</v>
      </c>
      <c r="M210" s="64" t="s">
        <v>5860</v>
      </c>
      <c r="N210" s="65" t="str">
        <f t="shared" si="24"/>
        <v>[Jensen,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href="https://doi.org/10.1093/jmammal/gyac009"&gt;{https://doi.org/10.1093/jmammal/gyac009}]{#jensen_et_al_2022}&lt;br&gt;&lt;br&gt;</v>
      </c>
      <c r="O210" s="64" t="s">
        <v>3119</v>
      </c>
      <c r="P210" s="64" t="s">
        <v>984</v>
      </c>
      <c r="Q210" s="64" t="str">
        <f t="shared" si="20"/>
        <v>{{ rtxt_jensen_et_al_2022 }}</v>
      </c>
      <c r="R210" s="64" t="str">
        <f t="shared" si="21"/>
        <v>{{ rbib_jensen_et_al_2022 }}</v>
      </c>
      <c r="S210" s="63" t="str">
        <f t="shared" si="25"/>
        <v>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target="_blank"&gt;https://doi.org/10.1093/jmammal/gyac009&lt;/a&gt;&lt;span style="color:white"&gt;[.]{#jensen_et_al_2022}&lt;/span&gt;&lt;br&gt;&lt;br&gt;</v>
      </c>
      <c r="T210" s="64" t="str">
        <f t="shared" si="23"/>
        <v xml:space="preserve">    rtxt_jensen_et_al_2022: "&lt;a href=\"/08_references.html#jensen_et_al_2022\" target=\"_blank\"&gt;Jensen et al., 2022&lt;/a&gt;"</v>
      </c>
      <c r="U210" s="64" t="str">
        <f t="shared" si="22"/>
        <v xml:space="preserve">    rbib_jensen_et_al_2022: "Jensen, P. O., Wirsing, A. J., &amp; Thornton, D. H. (2022). Using camera traps to estimate density of snowshoe hare ( Lepus americanus ): A keystone boreal forest herbivore. *Journal of Mammalogy, 103*(3), 693-710. &lt;https://doi.org/10.1093/jmammal/gyac009&gt;"</v>
      </c>
      <c r="V210" s="64"/>
    </row>
    <row r="211" spans="1:22" ht="15.75">
      <c r="A211" s="64"/>
      <c r="B211" s="77" t="b">
        <v>0</v>
      </c>
      <c r="C211" s="77" t="b">
        <v>0</v>
      </c>
      <c r="D211" s="77" t="s">
        <v>1993</v>
      </c>
      <c r="E211" s="64" t="s">
        <v>1904</v>
      </c>
      <c r="F211" s="64" t="s">
        <v>3118</v>
      </c>
      <c r="G211" s="64" t="s">
        <v>3117</v>
      </c>
      <c r="H211" s="64" t="s">
        <v>3117</v>
      </c>
      <c r="I211" s="64" t="b">
        <v>1</v>
      </c>
      <c r="J211" s="66" t="s">
        <v>3116</v>
      </c>
      <c r="K211" s="66" t="s">
        <v>3960</v>
      </c>
      <c r="L211" s="64" t="s">
        <v>4014</v>
      </c>
      <c r="M211" s="64" t="s">
        <v>5732</v>
      </c>
      <c r="N211" s="65" t="str">
        <f t="shared" si="24"/>
        <v>[Jiménez, J., C. Augustine, B., Linden, D. W., B. Chandler, R., &amp; Royle, J. A. (2021). Spatial capture-recapture with random thinning for unidentified encounters. &lt;i&gt;Ecology and Evolution, 11&lt;/i&gt;, 1187-1198. &lt;a target="_blank" href="https://doi.org/10.1002/ece3.7091"&gt;{https://doi.org/10.1002/ece3.7091}]{#jimenez_et_al_2021}&lt;br&gt;&lt;br&gt;</v>
      </c>
      <c r="O211" s="64" t="s">
        <v>3115</v>
      </c>
      <c r="P211" s="64" t="s">
        <v>984</v>
      </c>
      <c r="Q211" s="64" t="str">
        <f t="shared" si="20"/>
        <v>{{ rtxt_jimenez_et_al_2021 }}</v>
      </c>
      <c r="R211" s="64" t="str">
        <f t="shared" si="21"/>
        <v>{{ rbib_jimenez_et_al_2021 }}</v>
      </c>
      <c r="S211" s="63" t="str">
        <f t="shared" si="25"/>
        <v>Jiménez, J., C. Augustine, B., Linden, D. W., B. Chandler, R., &amp; Royle, J. A. (2021). Spatial capture-recapture with random thinning for unidentified encounters. &lt;i&gt;Ecology and Evolution, 11&lt;/i&gt;, 1187-1198. &lt;a href="https://doi.org/10.1002/ece3.7091" target="_blank"&gt;https://doi.org/10.1002/ece3.7091&lt;/a&gt;&lt;span style="color:white"&gt;[.]{#jimenez_et_al_2021}&lt;/span&gt;&lt;br&gt;&lt;br&gt;</v>
      </c>
      <c r="T211" s="64" t="str">
        <f t="shared" si="23"/>
        <v xml:space="preserve">    rtxt_jimenez_et_al_2021: "&lt;a href=\"/08_references.html#jimenez_et_al_2021\" target=\"_blank\"&gt;Jiménez et al., 2021&lt;/a&gt;"</v>
      </c>
      <c r="U211" s="64" t="str">
        <f t="shared" si="22"/>
        <v xml:space="preserve">    rbib_jimenez_et_al_2021: "Jiménez, J., C. Augustine, B., Linden, D. W., B. Chandler, R., &amp; Royle, J. A. (2021). Spatial capture-recapture with random thinning for unidentified encounters. *Ecology and Evolution, 11*, 1187-1198. &lt;https://doi.org/10.1002/ece3.7091&gt;"</v>
      </c>
      <c r="V211" s="64"/>
    </row>
    <row r="212" spans="1:22" ht="15.75">
      <c r="A212" s="64"/>
      <c r="B212" s="77" t="b">
        <v>0</v>
      </c>
      <c r="C212" s="77" t="b">
        <v>0</v>
      </c>
      <c r="D212" s="77"/>
      <c r="E212" s="64" t="s">
        <v>1945</v>
      </c>
      <c r="F212" s="64" t="s">
        <v>3114</v>
      </c>
      <c r="G212" s="64" t="s">
        <v>3113</v>
      </c>
      <c r="H212" s="64" t="s">
        <v>3113</v>
      </c>
      <c r="I212" s="64" t="b">
        <v>1</v>
      </c>
      <c r="J212" s="66" t="s">
        <v>3112</v>
      </c>
      <c r="K212" s="66" t="s">
        <v>3960</v>
      </c>
      <c r="L212" s="64" t="s">
        <v>4015</v>
      </c>
      <c r="M212" s="64" t="s">
        <v>6160</v>
      </c>
      <c r="N212" s="65" t="str">
        <f t="shared" si="24"/>
        <v>[JNCC (2022, Mar 29). &lt;i&gt;Introduction to Distance Sampling Video 1&lt;/i&gt; [Video]. YouTube. &lt;a target="_blank" href="https://www.youtube.com/watch?v=u8crevEd3yI"&gt;{https://www.youtube.com/watch?v=u8crevEd3yI}]{#jncc_2022}&lt;br&gt;&lt;br&gt;</v>
      </c>
      <c r="O212" s="64" t="s">
        <v>3110</v>
      </c>
      <c r="P212" s="64" t="s">
        <v>3111</v>
      </c>
      <c r="Q212" s="64" t="str">
        <f t="shared" si="20"/>
        <v>{{ rtxt_jncc_2022 }}</v>
      </c>
      <c r="R212" s="64" t="str">
        <f t="shared" si="21"/>
        <v>{{ rbib_jncc_2022 }}</v>
      </c>
      <c r="S212" s="63" t="str">
        <f t="shared" si="25"/>
        <v>JNCC (2022, Mar 29). &lt;i&gt;Introduction to Distance Sampling Video 1&lt;/i&gt; [Video]. YouTube. &lt;a href="https://www.youtube.com/watch?v=u8crevEd3yI" target="_blank"&gt;https://www.youtube.com/watch?v=u8crevEd3yI&lt;/a&gt;&lt;span style="color:white"&gt;[.]{#jncc_2022}&lt;/span&gt;&lt;br&gt;&lt;br&gt;</v>
      </c>
      <c r="T212" s="64" t="str">
        <f t="shared" si="23"/>
        <v xml:space="preserve">    rtxt_jncc_2022: "&lt;a href=\"/08_references.html#jncc_2022\" target=\"_blank\"&gt;JNCC, 2022&lt;/a&gt;"</v>
      </c>
      <c r="U212" s="64" t="str">
        <f t="shared" si="22"/>
        <v xml:space="preserve">    rbib_jncc_2022: "JNCC (2022, Mar 29). *Introduction to Distance Sampling Video 1* [Video]. YouTube. &lt;https://www.youtube.com/watch?v=u8crevEd3yI&gt;"</v>
      </c>
      <c r="V212" s="64"/>
    </row>
    <row r="213" spans="1:22" ht="15.75">
      <c r="A213" s="64"/>
      <c r="B213" s="77" t="b">
        <v>1</v>
      </c>
      <c r="C213" s="77" t="b">
        <v>0</v>
      </c>
      <c r="D213" s="77" t="b">
        <v>0</v>
      </c>
      <c r="E213" s="64" t="s">
        <v>1904</v>
      </c>
      <c r="F213" s="64" t="s">
        <v>3109</v>
      </c>
      <c r="G213" s="64" t="s">
        <v>3108</v>
      </c>
      <c r="H213" s="64" t="s">
        <v>3107</v>
      </c>
      <c r="I213" s="64" t="b">
        <v>1</v>
      </c>
      <c r="J213" s="66" t="s">
        <v>3106</v>
      </c>
      <c r="K213" s="66" t="s">
        <v>3960</v>
      </c>
      <c r="L213" s="64" t="s">
        <v>4016</v>
      </c>
      <c r="M213" s="64" t="s">
        <v>6028</v>
      </c>
      <c r="N213" s="65" t="str">
        <f t="shared" si="24"/>
        <v>[Johanns, P, Haucke, T., &amp; Steinhage, V. (2022) Automated Distance Estimation and Animal Tracking for Wildlife Camera Trapping. &lt;i&gt;Ecological Informatics, 70,&lt;/i&gt; arXiv:2202. 04613. &lt;a target="_blank" href="https://doi.org/10.48550/arXiv.2202.04613"&gt;{https://doi.org/10.48550/arXiv.2202.04613}]{#johanns_et_al_2022}&lt;br&gt;&lt;br&gt;</v>
      </c>
      <c r="O213" s="64" t="s">
        <v>3105</v>
      </c>
      <c r="P213" s="64" t="s">
        <v>984</v>
      </c>
      <c r="Q213" s="64" t="str">
        <f t="shared" si="20"/>
        <v>{{ rtxt_johanns_et_al_2022 }}</v>
      </c>
      <c r="R213" s="64" t="str">
        <f t="shared" si="21"/>
        <v>{{ rbib_johanns_et_al_2022 }}</v>
      </c>
      <c r="S213" s="63" t="str">
        <f t="shared" si="25"/>
        <v>Johanns, P, Haucke, T., &amp; Steinhage, V. (2022) Automated Distance Estimation and Animal Tracking for Wildlife Camera Trapping. &lt;i&gt;Ecological Informatics, 70,&lt;/i&gt; arXiv:2202. 04613. &lt;a href="https://doi.org/10.48550/arXiv.2202.04613" target="_blank"&gt;https://doi.org/10.48550/arXiv.2202.04613&lt;/a&gt;&lt;span style="color:white"&gt;[.]{#johanns_et_al_2022}&lt;/span&gt;&lt;br&gt;&lt;br&gt;</v>
      </c>
      <c r="T213" s="64" t="str">
        <f t="shared" si="23"/>
        <v xml:space="preserve">    rtxt_johanns_et_al_2022: "&lt;a href=\"/08_references.html#johanns_et_al_2022\" target=\"_blank\"&gt;Johanns et al., 2022&lt;/a&gt;"</v>
      </c>
      <c r="U213" s="64" t="str">
        <f t="shared" si="22"/>
        <v xml:space="preserve">    rbib_johanns_et_al_2022: "Johanns, P, Haucke, T., &amp; Steinhage, V. (2022) Automated Distance Estimation and Animal Tracking for Wildlife Camera Trapping. *Ecological Informatics, 70,* arXiv:2202. 04613. &lt;https://doi.org/10.48550/arXiv.2202.04613&gt;"</v>
      </c>
      <c r="V213" s="64"/>
    </row>
    <row r="214" spans="1:22" ht="15.75">
      <c r="A214" s="64"/>
      <c r="B214" s="77"/>
      <c r="C214" s="77"/>
      <c r="D214" s="77"/>
      <c r="E214" s="64" t="s">
        <v>1904</v>
      </c>
      <c r="F214" s="64" t="s">
        <v>3104</v>
      </c>
      <c r="G214" s="65" t="s">
        <v>3103</v>
      </c>
      <c r="H214" s="65" t="s">
        <v>3103</v>
      </c>
      <c r="I214" s="64" t="b">
        <v>1</v>
      </c>
      <c r="J214" s="66" t="s">
        <v>3102</v>
      </c>
      <c r="K214" s="66" t="s">
        <v>3960</v>
      </c>
      <c r="L214" s="64" t="s">
        <v>4017</v>
      </c>
      <c r="M214" s="64" t="s">
        <v>6005</v>
      </c>
      <c r="N214" s="65" t="str">
        <f t="shared" si="24"/>
        <v>[Johnson, D. H. (1980). The Comparison of Usage and Availability Measurements for Evaluating Resource Preference. &lt;i&gt;Ecology, 61&lt;/i&gt;(1), 65-71. &lt;a target="_blank" href="https://doi.org/10.2307/1937156"&gt;{https://doi.org/10.2307/1937156}]{#johnson_2008}&lt;br&gt;&lt;br&gt;</v>
      </c>
      <c r="O214" s="64" t="s">
        <v>3101</v>
      </c>
      <c r="P214" s="64" t="s">
        <v>984</v>
      </c>
      <c r="Q214" s="64" t="str">
        <f t="shared" si="20"/>
        <v>{{ rtxt_johnson_2008 }}</v>
      </c>
      <c r="R214" s="64" t="str">
        <f t="shared" si="21"/>
        <v>{{ rbib_johnson_2008 }}</v>
      </c>
      <c r="S214" s="63" t="str">
        <f t="shared" si="25"/>
        <v>Johnson, D. H. (1980). The Comparison of Usage and Availability Measurements for Evaluating Resource Preference. &lt;i&gt;Ecology, 61&lt;/i&gt;(1), 65-71. &lt;a href="https://doi.org/10.2307/1937156" target="_blank"&gt;https://doi.org/10.2307/1937156&lt;/a&gt;&lt;span style="color:white"&gt;[.]{#johnson_2008}&lt;/span&gt;&lt;br&gt;&lt;br&gt;</v>
      </c>
      <c r="T214" s="64" t="str">
        <f t="shared" si="23"/>
        <v xml:space="preserve">    rtxt_johnson_2008: "&lt;a href=\"/08_references.html#johnson_2008\" target=\"_blank\"&gt;Johnson, 1980&lt;/a&gt;"</v>
      </c>
      <c r="U214" s="64" t="str">
        <f t="shared" si="22"/>
        <v xml:space="preserve">    rbib_johnson_2008: "Johnson, D. H. (1980). The Comparison of Usage and Availability Measurements for Evaluating Resource Preference. *Ecology, 61*(1), 65-71. &lt;https://doi.org/10.2307/1937156&gt;"</v>
      </c>
      <c r="V214" s="64"/>
    </row>
    <row r="215" spans="1:22" ht="15.75">
      <c r="A215" s="64"/>
      <c r="B215" s="77"/>
      <c r="C215" s="77"/>
      <c r="D215" s="77"/>
      <c r="E215" s="64" t="s">
        <v>1904</v>
      </c>
      <c r="F215" s="64" t="s">
        <v>3100</v>
      </c>
      <c r="G215" s="64" t="s">
        <v>3099</v>
      </c>
      <c r="H215" s="64"/>
      <c r="I215" s="64" t="b">
        <v>1</v>
      </c>
      <c r="J215" s="66" t="s">
        <v>3098</v>
      </c>
      <c r="K215" s="66" t="s">
        <v>3960</v>
      </c>
      <c r="L215" s="64" t="s">
        <v>4018</v>
      </c>
      <c r="M215" s="64" t="s">
        <v>5993</v>
      </c>
      <c r="N215" s="65" t="str">
        <f t="shared" si="24"/>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href="https://doi.org/10.1890/08-1494.1"&gt;{https://doi.org/10.1890/08-1494.1}]{#jones_et_al_2009}&lt;br&gt;&lt;br&gt;</v>
      </c>
      <c r="O215" s="64" t="s">
        <v>3097</v>
      </c>
      <c r="P215" s="64" t="s">
        <v>984</v>
      </c>
      <c r="Q215" s="64" t="str">
        <f t="shared" si="20"/>
        <v>{{ rtxt_jones_et_al_2009 }}</v>
      </c>
      <c r="R215" s="64" t="str">
        <f t="shared" si="21"/>
        <v>{{ rbib_jones_et_al_2009 }}</v>
      </c>
      <c r="S215" s="63" t="str">
        <f t="shared" si="25"/>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target="_blank"&gt;https://doi.org/10.1890/08-1494.1&lt;/a&gt;&lt;span style="color:white"&gt;[.]{#jones_et_al_2009}&lt;/span&gt;&lt;br&gt;&lt;br&gt;</v>
      </c>
      <c r="T215" s="64" t="str">
        <f t="shared" si="23"/>
        <v xml:space="preserve">    rtxt_jones_et_al_2009: "&lt;a href=\"/08_references.html#jones_et_al_2009\" target=\"_blank\"&gt;Jones et al., 2009&lt;/a&gt;"</v>
      </c>
      <c r="U215" s="64" t="str">
        <f t="shared" si="22"/>
        <v xml:space="preserve">    rbib_jones_et_al_2009: "Jones,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v>
      </c>
      <c r="V215" s="64"/>
    </row>
    <row r="216" spans="1:22" ht="15.75">
      <c r="A216" s="64"/>
      <c r="B216" s="77" t="b">
        <v>1</v>
      </c>
      <c r="C216" s="77" t="b">
        <v>0</v>
      </c>
      <c r="D216" s="77" t="b">
        <v>0</v>
      </c>
      <c r="E216" s="64" t="s">
        <v>1939</v>
      </c>
      <c r="F216" s="64" t="s">
        <v>3096</v>
      </c>
      <c r="G216" s="64" t="s">
        <v>3095</v>
      </c>
      <c r="H216" s="64" t="s">
        <v>3095</v>
      </c>
      <c r="I216" s="64" t="b">
        <v>1</v>
      </c>
      <c r="J216" s="66" t="s">
        <v>3094</v>
      </c>
      <c r="K216" s="66" t="s">
        <v>3960</v>
      </c>
      <c r="L216" s="64" t="s">
        <v>4019</v>
      </c>
      <c r="M216" s="64" t="s">
        <v>5951</v>
      </c>
      <c r="N216" s="65" t="str">
        <f t="shared" si="24"/>
        <v>[Junker, J., Kühl, H., Orth, L., Smith, R., Petrovan, S., &amp; Sutherland, W. (2021). &lt;i&gt;7. Primate Conservation.&lt;/i&gt; (pp. 435-486). &lt;a target="_blank" href="https://doi.org/10.11647/obp.0267.07"&gt;{https://doi.org/10.11647/obp.0267.07}]{#junker_et_al_2021}&lt;br&gt;&lt;br&gt;</v>
      </c>
      <c r="O216" s="64" t="s">
        <v>3093</v>
      </c>
      <c r="P216" s="64" t="s">
        <v>984</v>
      </c>
      <c r="Q216" s="64" t="str">
        <f t="shared" si="20"/>
        <v>{{ rtxt_junker_et_al_2021 }}</v>
      </c>
      <c r="R216" s="64" t="str">
        <f t="shared" si="21"/>
        <v>{{ rbib_junker_et_al_2021 }}</v>
      </c>
      <c r="S216" s="63" t="str">
        <f t="shared" si="25"/>
        <v>Junker, J., Kühl, H., Orth, L., Smith, R., Petrovan, S., &amp; Sutherland, W. (2021). &lt;i&gt;7. Primate Conservation.&lt;/i&gt; (pp. 435-486). &lt;a href="https://doi.org/10.11647/obp.0267.07" target="_blank"&gt;https://doi.org/10.11647/obp.0267.07&lt;/a&gt;&lt;span style="color:white"&gt;[.]{#junker_et_al_2021}&lt;/span&gt;&lt;br&gt;&lt;br&gt;</v>
      </c>
      <c r="T216" s="64" t="str">
        <f t="shared" si="23"/>
        <v xml:space="preserve">    rtxt_junker_et_al_2021: "&lt;a href=\"/08_references.html#junker_et_al_2021\" target=\"_blank\"&gt;Junker et al., 2021&lt;/a&gt;"</v>
      </c>
      <c r="U216" s="64" t="str">
        <f t="shared" si="22"/>
        <v xml:space="preserve">    rbib_junker_et_al_2021: "Junker, J., Kühl, H., Orth, L., Smith, R., Petrovan, S., &amp; Sutherland, W. (2021). *7. Primate Conservation.* In (pp. 435-486). &lt;https://doi.org/10.11647/obp.0267.07&gt;"</v>
      </c>
      <c r="V216" s="64"/>
    </row>
    <row r="217" spans="1:22" ht="15.75">
      <c r="A217" s="64"/>
      <c r="B217" s="77" t="b">
        <v>1</v>
      </c>
      <c r="C217" s="77" t="b">
        <v>0</v>
      </c>
      <c r="D217" s="77" t="b">
        <v>0</v>
      </c>
      <c r="E217" s="64" t="s">
        <v>1904</v>
      </c>
      <c r="F217" s="64" t="s">
        <v>3092</v>
      </c>
      <c r="G217" s="64" t="s">
        <v>3091</v>
      </c>
      <c r="H217" s="64" t="s">
        <v>3091</v>
      </c>
      <c r="I217" s="64" t="b">
        <v>1</v>
      </c>
      <c r="J217" s="66" t="s">
        <v>3090</v>
      </c>
      <c r="K217" s="66" t="s">
        <v>3960</v>
      </c>
      <c r="L217" s="64" t="s">
        <v>4020</v>
      </c>
      <c r="M217" s="64" t="s">
        <v>5808</v>
      </c>
      <c r="N217" s="65" t="str">
        <f t="shared" si="24"/>
        <v>[Karanth, K. U. (1995). Estimating tiger Panthera tigris populations from camera-trap data using capture-recapture models. &lt;i&gt;Biological Conservation, 71&lt;/i&gt;(3), 333-338. &lt;a target="_blank" href="https://doi.org/10.1016/0006-3207(94)00057-W"&gt;{https://doi.org/10.1016/0006-3207(94)00057-W}]{#karanth_1995}&lt;br&gt;&lt;br&gt;</v>
      </c>
      <c r="O217" s="64" t="s">
        <v>3089</v>
      </c>
      <c r="P217" s="64" t="s">
        <v>984</v>
      </c>
      <c r="Q217" s="64" t="str">
        <f t="shared" si="20"/>
        <v>{{ rtxt_karanth_1995 }}</v>
      </c>
      <c r="R217" s="64" t="str">
        <f t="shared" si="21"/>
        <v>{{ rbib_karanth_1995 }}</v>
      </c>
      <c r="S217" s="63" t="str">
        <f t="shared" si="25"/>
        <v>Karanth, K. U. (1995). Estimating tiger Panthera tigris populations from camera-trap data using capture-recapture models. &lt;i&gt;Biological Conservation, 71&lt;/i&gt;(3), 333-338. &lt;a href="https://doi.org/10.1016/0006-3207(94)00057-W" target="_blank"&gt;https://doi.org/10.1016/0006-3207(94)00057-W&lt;/a&gt;&lt;span style="color:white"&gt;[.]{#karanth_1995}&lt;/span&gt;&lt;br&gt;&lt;br&gt;</v>
      </c>
      <c r="T217" s="64" t="str">
        <f t="shared" si="23"/>
        <v xml:space="preserve">    rtxt_karanth_1995: "&lt;a href=\"/08_references.html#karanth_1995\" target=\"_blank\"&gt;Karanth, 1995&lt;/a&gt;"</v>
      </c>
      <c r="U217" s="64" t="str">
        <f t="shared" si="22"/>
        <v xml:space="preserve">    rbib_karanth_1995: "Karanth, K. U. (1995). Estimating tiger Panthera tigris populations from camera-trap data using capture-recapture models. *Biological Conservation, 71*(3), 333-338. &lt;https://doi.org/10.1016/0006-3207(94)00057-W&gt;"</v>
      </c>
      <c r="V217" s="64"/>
    </row>
    <row r="218" spans="1:22" ht="15.75">
      <c r="A218" s="64"/>
      <c r="B218" s="77" t="b">
        <v>1</v>
      </c>
      <c r="C218" s="77" t="b">
        <v>0</v>
      </c>
      <c r="D218" s="77" t="b">
        <v>0</v>
      </c>
      <c r="E218" s="64" t="s">
        <v>1904</v>
      </c>
      <c r="F218" s="64" t="s">
        <v>3080</v>
      </c>
      <c r="G218" s="64" t="s">
        <v>3079</v>
      </c>
      <c r="H218" s="64" t="s">
        <v>3079</v>
      </c>
      <c r="I218" s="64" t="b">
        <v>1</v>
      </c>
      <c r="J218" s="66" t="s">
        <v>3078</v>
      </c>
      <c r="K218" s="66" t="s">
        <v>3960</v>
      </c>
      <c r="L218" s="64" t="s">
        <v>4021</v>
      </c>
      <c r="M218" s="64" t="s">
        <v>5986</v>
      </c>
      <c r="N218" s="65" t="str">
        <f t="shared" si="24"/>
        <v>[Karanth, K. U., &amp; Nichols, J. D. (1998). Estimation of tiger densities in India using photographic captures and recaptures. &lt;i&gt;Ecology&lt;i&gt;, &lt;i&gt;79&lt;/i&gt;(8), 2852-2862. &lt;a target="_blank" href="https://doi.org/10.1890/0012-9658(1998)079[2852:EOTDII]2.0.CO;2"&gt;{https://doi.org/10.1890/0012-9658(1998)079[2852:EOTDII]2.0.CO;2}]{#karanth_nichols_1998}&lt;br&gt;&lt;br&gt;</v>
      </c>
      <c r="O218" s="64" t="s">
        <v>3077</v>
      </c>
      <c r="P218" s="64" t="s">
        <v>984</v>
      </c>
      <c r="Q218" s="64" t="str">
        <f t="shared" si="20"/>
        <v>{{ rtxt_karanth_nichols_1998 }}</v>
      </c>
      <c r="R218" s="64" t="str">
        <f t="shared" si="21"/>
        <v>{{ rbib_karanth_nichols_1998 }}</v>
      </c>
      <c r="S218" s="63" t="str">
        <f t="shared" si="25"/>
        <v>Karanth, K. U., &amp; Nichols, J. D. (1998). Estimation of tiger densities in India using photographic captures and recaptures. &lt;i&gt;Ecology&lt;i&gt;, &lt;i&gt;79&lt;/i&gt;(8), 2852-2862. &lt;a href="https://doi.org/10.1890/0012-9658(1998)079[2852:EOTDII]2.0.CO;2" target="_blank"&gt;https://doi.org/10.1890/0012-9658(1998)079[2852:EOTDII]2.0.CO;2&lt;/a&gt;&lt;span style="color:white"&gt;[.]{#karanth_nichols_1998}&lt;/span&gt;&lt;br&gt;&lt;br&gt;</v>
      </c>
      <c r="T218" s="64" t="str">
        <f t="shared" si="23"/>
        <v xml:space="preserve">    rtxt_karanth_nichols_1998: "&lt;a href=\"/08_references.html#karanth_nichols_1998\" target=\"_blank\"&gt;Karanth &amp; Nichols, 1998&lt;/a&gt;"</v>
      </c>
      <c r="U218" s="64" t="str">
        <f t="shared" si="22"/>
        <v xml:space="preserve">    rbib_karanth_nichols_1998: "Karanth, K. U., &amp; Nichols, J. D. (1998). Estimation of tiger densities in India using photographic captures and recaptures. *Ecology, 79*(8), 2852-2862. &lt;https://doi.org/10.1890/0012-9658(1998)079[2852:EOTDII]2.0.CO;2&gt;"</v>
      </c>
      <c r="V218" s="64"/>
    </row>
    <row r="219" spans="1:22" ht="15.75">
      <c r="A219" s="64"/>
      <c r="B219" s="77" t="b">
        <v>1</v>
      </c>
      <c r="C219" s="77" t="b">
        <v>0</v>
      </c>
      <c r="D219" s="77" t="b">
        <v>0</v>
      </c>
      <c r="E219" s="64" t="s">
        <v>1904</v>
      </c>
      <c r="F219" s="64" t="s">
        <v>3084</v>
      </c>
      <c r="G219" s="64" t="s">
        <v>3083</v>
      </c>
      <c r="H219" s="64" t="s">
        <v>3082</v>
      </c>
      <c r="I219" s="64" t="b">
        <v>1</v>
      </c>
      <c r="J219" s="66" t="s">
        <v>3081</v>
      </c>
      <c r="K219" s="66" t="s">
        <v>3960</v>
      </c>
      <c r="L219" s="64" t="s">
        <v>4022</v>
      </c>
      <c r="M219" s="64" t="s">
        <v>5782</v>
      </c>
      <c r="N219" s="65" t="str">
        <f t="shared" si="24"/>
        <v>[Karanth,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href="https://doi.org/10.1007/978-4-431-99495-4"&gt;{https://doi.org/10.1007/978-4-431-99495-4}]{#karanth_et_al_2011}&lt;br&gt;&lt;br&gt;</v>
      </c>
      <c r="O219" s="64" t="s">
        <v>2652</v>
      </c>
      <c r="P219" s="64" t="s">
        <v>984</v>
      </c>
      <c r="Q219" s="64" t="str">
        <f t="shared" si="20"/>
        <v>{{ rtxt_karanth_et_al_2011 }}</v>
      </c>
      <c r="R219" s="64" t="str">
        <f t="shared" si="21"/>
        <v>{{ rbib_karanth_et_al_2011 }}</v>
      </c>
      <c r="S219" s="63" t="str">
        <f t="shared" si="25"/>
        <v>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target="_blank"&gt;https://doi.org/10.1007/978-4-431-99495-4&lt;/a&gt;&lt;span style="color:white"&gt;[.]{#karanth_et_al_2011}&lt;/span&gt;&lt;br&gt;&lt;br&gt;</v>
      </c>
      <c r="T219" s="64" t="str">
        <f t="shared" si="23"/>
        <v xml:space="preserve">    rtxt_karanth_et_al_2011: "&lt;a href=\"/08_references.html#karanth_et_al_2011\" target=\"_blank\"&gt;Karanth et al., 2011&lt;/a&gt;"</v>
      </c>
      <c r="U219" s="64" t="str">
        <f t="shared" si="22"/>
        <v xml:space="preserve">    rbib_karanth_et_al_2011: "Karanth, K. U., Nichols, J. D., &amp; Kumar, N. S. (2011). Estimating tiger abundance from camera trap data: field Surveys and analytical issues. In A. F. O'Connell, J. D. Nichols, &amp; K. U. Karanth (Eds.), *Camera Traps In Animal Ecology: Methods and Analyses* (pp. 9-117). Springer. &lt;https://doi.org/10.1007/978-4-431-99495-4&gt;"</v>
      </c>
      <c r="V219" s="64"/>
    </row>
    <row r="220" spans="1:22" ht="15.75">
      <c r="A220" s="64"/>
      <c r="B220" s="77" t="b">
        <v>1</v>
      </c>
      <c r="C220" s="77" t="b">
        <v>1</v>
      </c>
      <c r="D220" s="77" t="b">
        <v>0</v>
      </c>
      <c r="E220" s="64" t="s">
        <v>1904</v>
      </c>
      <c r="F220" s="64" t="s">
        <v>3088</v>
      </c>
      <c r="G220" s="64" t="s">
        <v>3087</v>
      </c>
      <c r="H220" s="64" t="s">
        <v>3087</v>
      </c>
      <c r="I220" s="64" t="b">
        <v>1</v>
      </c>
      <c r="J220" s="66" t="s">
        <v>3086</v>
      </c>
      <c r="K220" s="66" t="s">
        <v>3960</v>
      </c>
      <c r="L220" s="64" t="s">
        <v>4023</v>
      </c>
      <c r="M220" s="64" t="s">
        <v>5989</v>
      </c>
      <c r="N220" s="65" t="str">
        <f t="shared" si="24"/>
        <v>[Karanth,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href="https://doi.org/10.1890/0012-9658(2006)87[2925:ATPDUP]2.0.CO;2"&gt;{https://doi.org/10.1890/0012-9658(2006)87[2925:ATPDUP]2.0.CO;2}]{#karanth_et_al_2006}&lt;br&gt;&lt;br&gt;</v>
      </c>
      <c r="O220" s="64" t="s">
        <v>3085</v>
      </c>
      <c r="P220" s="64" t="s">
        <v>984</v>
      </c>
      <c r="Q220" s="64" t="str">
        <f t="shared" si="20"/>
        <v>{{ rtxt_karanth_et_al_2006 }}</v>
      </c>
      <c r="R220" s="64" t="str">
        <f t="shared" si="21"/>
        <v>{{ rbib_karanth_et_al_2006 }}</v>
      </c>
      <c r="S220" s="63" t="str">
        <f t="shared" si="25"/>
        <v>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target="_blank"&gt;https://doi.org/10.1890/0012-9658(2006)87[2925:ATPDUP]2.0.CO;2&lt;/a&gt;&lt;span style="color:white"&gt;[.]{#karanth_et_al_2006}&lt;/span&gt;&lt;br&gt;&lt;br&gt;</v>
      </c>
      <c r="T220" s="64" t="str">
        <f t="shared" si="23"/>
        <v xml:space="preserve">    rtxt_karanth_et_al_2006: "&lt;a href=\"/08_references.html#karanth_et_al_2006\" target=\"_blank\"&gt;Karanth et al., 2006&lt;/a&gt;"</v>
      </c>
      <c r="U220" s="64" t="str">
        <f t="shared" si="22"/>
        <v xml:space="preserve">    rbib_karanth_et_al_2006: "Karanth, K. U., Nichols, J. D., Kumar, N. S., &amp; Hines, J. E. (2006). Assessing Tiger Population Dynamics Using Photographic Capture-Recapture Sampling. *Ecology, 87*(11), 2925-2937. &lt;https://doi.org/10.1890/0012-9658(2006)87[2925:ATPDUP]2.0.CO;2&gt;"</v>
      </c>
      <c r="V220" s="64"/>
    </row>
    <row r="221" spans="1:22" ht="15.75">
      <c r="A221" s="64"/>
      <c r="B221" s="77" t="b">
        <v>0</v>
      </c>
      <c r="C221" s="77" t="b">
        <v>0</v>
      </c>
      <c r="D221" s="77"/>
      <c r="E221" s="64" t="s">
        <v>1904</v>
      </c>
      <c r="F221" s="64" t="s">
        <v>3076</v>
      </c>
      <c r="G221" s="64" t="s">
        <v>3075</v>
      </c>
      <c r="H221" s="64" t="s">
        <v>3075</v>
      </c>
      <c r="I221" s="64" t="b">
        <v>1</v>
      </c>
      <c r="J221" s="66" t="s">
        <v>3074</v>
      </c>
      <c r="K221" s="66" t="s">
        <v>3960</v>
      </c>
      <c r="L221" s="64" t="s">
        <v>4024</v>
      </c>
      <c r="M221" s="64" t="s">
        <v>5797</v>
      </c>
      <c r="N221" s="65" t="str">
        <f t="shared" si="24"/>
        <v>[Kavčić, K., Palencia, P., Apollonio, M., Vicente, J., &amp; Šprem, N. (2021). Random encounter model to estimate density of mountain-dwelling ungulate. &lt;i&gt;European Journal of Wildlife Research, 67&lt;/i&gt;(5), 87. &lt;a target="_blank" href="https://doi.org/10.1007/s10344-021-01530-1"&gt;{https://doi.org/10.1007/s10344-021-01530-1}]{#kavcic_et_al_2021}&lt;br&gt;&lt;br&gt;</v>
      </c>
      <c r="O221" s="64" t="s">
        <v>3073</v>
      </c>
      <c r="P221" s="64" t="s">
        <v>984</v>
      </c>
      <c r="Q221" s="64" t="str">
        <f t="shared" si="20"/>
        <v>{{ rtxt_kavcic_et_al_2021 }}</v>
      </c>
      <c r="R221" s="64" t="str">
        <f t="shared" si="21"/>
        <v>{{ rbib_kavcic_et_al_2021 }}</v>
      </c>
      <c r="S221" s="63" t="str">
        <f t="shared" si="25"/>
        <v>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target="_blank"&gt;https://doi.org/10.1007/s10344-021-01530-1&lt;/a&gt;&lt;span style="color:white"&gt;[.]{#kavcic_et_al_2021}&lt;/span&gt;&lt;br&gt;&lt;br&gt;</v>
      </c>
      <c r="T221" s="64" t="str">
        <f t="shared" si="23"/>
        <v xml:space="preserve">    rtxt_kavcic_et_al_2021: "&lt;a href=\"/08_references.html#kavcic_et_al_2021\" target=\"_blank\"&gt;Kavčić et al., 2021&lt;/a&gt;"</v>
      </c>
      <c r="U221" s="64" t="str">
        <f t="shared" si="22"/>
        <v xml:space="preserve">    rbib_kavcic_et_al_2021: "Kavčić, K., Palencia, P., Apollonio, M., Vicente, J., &amp; Šprem, N. (2021). Random encounter model to estimate density of mountain-dwelling ungulate. *European Journal of Wildlife Research, 67*(5), 87. &lt;https://doi.org/10.1007/s10344-021-01530-1&gt;"</v>
      </c>
      <c r="V221" s="64"/>
    </row>
    <row r="222" spans="1:22" ht="15.75">
      <c r="A222" s="64"/>
      <c r="B222" s="77" t="b">
        <v>1</v>
      </c>
      <c r="C222" s="77" t="b">
        <v>0</v>
      </c>
      <c r="D222" s="77" t="b">
        <v>1</v>
      </c>
      <c r="E222" s="64" t="s">
        <v>1904</v>
      </c>
      <c r="F222" s="64" t="s">
        <v>3064</v>
      </c>
      <c r="G222" s="64" t="s">
        <v>3063</v>
      </c>
      <c r="H222" s="64" t="s">
        <v>3063</v>
      </c>
      <c r="I222" s="64" t="b">
        <v>1</v>
      </c>
      <c r="J222" s="66" t="s">
        <v>3062</v>
      </c>
      <c r="K222" s="66" t="s">
        <v>3960</v>
      </c>
      <c r="L222" s="64" t="s">
        <v>4025</v>
      </c>
      <c r="M222" s="64" t="s">
        <v>5896</v>
      </c>
      <c r="N222" s="65" t="str">
        <f t="shared" si="24"/>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href="https://doi.org/10.1111/2041-210x.13370"&gt;{https://doi.org/10.1111/2041-210x.13370}]{#kays_et_al_2020}&lt;br&gt;&lt;br&gt;</v>
      </c>
      <c r="O222" s="64" t="s">
        <v>3061</v>
      </c>
      <c r="P222" s="64" t="s">
        <v>984</v>
      </c>
      <c r="Q222" s="64" t="str">
        <f t="shared" si="20"/>
        <v>{{ rtxt_kays_et_al_2020 }}</v>
      </c>
      <c r="R222" s="64" t="str">
        <f t="shared" si="21"/>
        <v>{{ rbib_kays_et_al_2020 }}</v>
      </c>
      <c r="S222" s="63" t="str">
        <f t="shared" si="25"/>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href="https://doi.org/10.1111/2041-210x.13370" target="_blank"&gt;https://doi.org/10.1111/2041-210x.13370&lt;/a&gt;&lt;span style="color:white"&gt;[.]{#kays_et_al_2020}&lt;/span&gt;&lt;br&gt;&lt;br&gt;</v>
      </c>
      <c r="T222" s="64" t="str">
        <f t="shared" si="23"/>
        <v xml:space="preserve">    rtxt_kays_et_al_2020: "&lt;a href=\"/08_references.html#kays_et_al_2020\" target=\"_blank\"&gt;Kays et al., 2020&lt;/a&gt;"</v>
      </c>
      <c r="U222" s="64" t="str">
        <f t="shared" si="22"/>
        <v xml:space="preserve">    rbib_kays_et_al_2020: "Kays,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v>
      </c>
      <c r="V222" s="64"/>
    </row>
    <row r="223" spans="1:22" ht="15.75">
      <c r="A223" s="64"/>
      <c r="B223" s="77" t="b">
        <v>1</v>
      </c>
      <c r="C223" s="77" t="b">
        <v>0</v>
      </c>
      <c r="D223" s="77" t="b">
        <v>0</v>
      </c>
      <c r="E223" s="64" t="s">
        <v>1904</v>
      </c>
      <c r="F223" s="64" t="s">
        <v>3060</v>
      </c>
      <c r="G223" s="64" t="s">
        <v>3059</v>
      </c>
      <c r="H223" s="64" t="s">
        <v>3059</v>
      </c>
      <c r="I223" s="64" t="b">
        <v>1</v>
      </c>
      <c r="J223" s="66" t="s">
        <v>3058</v>
      </c>
      <c r="K223" s="66" t="s">
        <v>3960</v>
      </c>
      <c r="L223" s="64" t="s">
        <v>4026</v>
      </c>
      <c r="M223" s="64" t="s">
        <v>5954</v>
      </c>
      <c r="N223" s="65" t="str">
        <f t="shared" si="24"/>
        <v>[Kays, R., Hody, A., Jachowski, D. S., &amp; Parsons, A. W. (2021). Empirical Evaluation of the Spatial Scale and Detection Process of Camera Trap Surveys. &lt;i&gt;Movement Ecology, 9&lt;/i&gt;, 41. &lt;a target="_blank" href="https://doi.org/10.1186/s40462-021-00277-3."&gt;{https://doi.org/10.1186/s40462-021-00277-3.}]{#kays_et_al_2021}&lt;br&gt;&lt;br&gt;</v>
      </c>
      <c r="O223" s="64" t="s">
        <v>3057</v>
      </c>
      <c r="P223" s="64" t="s">
        <v>984</v>
      </c>
      <c r="Q223" s="64" t="str">
        <f t="shared" si="20"/>
        <v>{{ rtxt_kays_et_al_2021 }}</v>
      </c>
      <c r="R223" s="64" t="str">
        <f t="shared" si="21"/>
        <v>{{ rbib_kays_et_al_2021 }}</v>
      </c>
      <c r="S223" s="63" t="str">
        <f t="shared" si="25"/>
        <v>Kays, R., Hody, A., Jachowski, D. S., &amp; Parsons, A. W. (2021). Empirical Evaluation of the Spatial Scale and Detection Process of Camera Trap Surveys. &lt;i&gt;Movement Ecology, 9&lt;/i&gt;, 41. &lt;a href="https://doi.org/10.1186/s40462-021-00277-3." target="_blank"&gt;https://doi.org/10.1186/s40462-021-00277-3.&lt;/a&gt;&lt;span style="color:white"&gt;[.]{#kays_et_al_2021}&lt;/span&gt;&lt;br&gt;&lt;br&gt;</v>
      </c>
      <c r="T223" s="64" t="str">
        <f t="shared" si="23"/>
        <v xml:space="preserve">    rtxt_kays_et_al_2021: "&lt;a href=\"/08_references.html#kays_et_al_2021\" target=\"_blank\"&gt;Kays et al., 2021&lt;/a&gt;"</v>
      </c>
      <c r="U223" s="64" t="str">
        <f t="shared" si="22"/>
        <v xml:space="preserve">    rbib_kays_et_al_2021: "Kays, R., Hody, A., Jachowski, D. S., &amp; Parsons, A. W. (2021). Empirical Evaluation of the Spatial Scale and Detection Process of Camera Trap Surveys. *Movement Ecology, 9*, 41. &lt;https://doi.org/10.1186/s40462-021-00277-3.&gt;"</v>
      </c>
      <c r="V223" s="64"/>
    </row>
    <row r="224" spans="1:22" ht="15.75">
      <c r="A224" s="64"/>
      <c r="B224" s="77" t="b">
        <v>0</v>
      </c>
      <c r="C224" s="77" t="b">
        <v>0</v>
      </c>
      <c r="D224" s="77" t="s">
        <v>1993</v>
      </c>
      <c r="E224" s="64" t="s">
        <v>1904</v>
      </c>
      <c r="F224" s="64" t="s">
        <v>3072</v>
      </c>
      <c r="G224" s="64" t="s">
        <v>3071</v>
      </c>
      <c r="H224" s="64" t="s">
        <v>3071</v>
      </c>
      <c r="I224" s="64" t="b">
        <v>1</v>
      </c>
      <c r="J224" s="66" t="s">
        <v>3070</v>
      </c>
      <c r="K224" s="66" t="s">
        <v>3960</v>
      </c>
      <c r="L224" s="64" t="s">
        <v>4027</v>
      </c>
      <c r="M224" s="64" t="s">
        <v>5872</v>
      </c>
      <c r="N224" s="65" t="str">
        <f t="shared" si="24"/>
        <v>[Kays,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href="https://doi.org/10.1109/lcn.2009.5355046"&gt;{https://doi.org/10.1109/lcn.2009.5355046}]{#kays_et_al_2009}&lt;br&gt;&lt;br&gt;</v>
      </c>
      <c r="O224" s="64" t="s">
        <v>3069</v>
      </c>
      <c r="P224" s="64" t="s">
        <v>984</v>
      </c>
      <c r="Q224" s="64" t="str">
        <f t="shared" si="20"/>
        <v>{{ rtxt_kays_et_al_2009 }}</v>
      </c>
      <c r="R224" s="64" t="str">
        <f t="shared" si="21"/>
        <v>{{ rbib_kays_et_al_2009 }}</v>
      </c>
      <c r="S224" s="63" t="str">
        <f t="shared" si="25"/>
        <v>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target="_blank"&gt;https://doi.org/10.1109/lcn.2009.5355046&lt;/a&gt;&lt;span style="color:white"&gt;[.]{#kays_et_al_2009}&lt;/span&gt;&lt;br&gt;&lt;br&gt;</v>
      </c>
      <c r="T224" s="64" t="str">
        <f t="shared" si="23"/>
        <v xml:space="preserve">    rtxt_kays_et_al_2009: "&lt;a href=\"/08_references.html#kays_et_al_2009\" target=\"_blank\"&gt;Kays et al., 2009&lt;/a&gt;"</v>
      </c>
      <c r="U224" s="64" t="str">
        <f t="shared" si="22"/>
        <v xml:space="preserve">    rbib_kays_et_al_2009: "Kays, R., Kranstauber, B., Jansen, P., Carbone, C., Rowcliffe, M., Fountain, T., &amp; Tilak, S. (2009). Camera traps as sensor networks for monitoring animal communities. *2009 IEEE 34th Conference on Local Computer Networks*, 811-818. &lt;https://doi.org/10.1109/lcn.2009.5355046&gt;"</v>
      </c>
      <c r="V224" s="64"/>
    </row>
    <row r="225" spans="1:22" ht="15.75">
      <c r="A225" s="64"/>
      <c r="B225" s="77" t="b">
        <v>1</v>
      </c>
      <c r="C225" s="77" t="b">
        <v>0</v>
      </c>
      <c r="D225" s="77" t="b">
        <v>0</v>
      </c>
      <c r="E225" s="64" t="s">
        <v>1904</v>
      </c>
      <c r="F225" s="64" t="s">
        <v>3068</v>
      </c>
      <c r="G225" s="64" t="s">
        <v>3067</v>
      </c>
      <c r="H225" s="64" t="s">
        <v>3067</v>
      </c>
      <c r="I225" s="64" t="b">
        <v>1</v>
      </c>
      <c r="J225" s="66" t="s">
        <v>3066</v>
      </c>
      <c r="K225" s="66" t="s">
        <v>3960</v>
      </c>
      <c r="L225" s="64" t="s">
        <v>4028</v>
      </c>
      <c r="M225" s="64" t="s">
        <v>5694</v>
      </c>
      <c r="N225" s="65" t="str">
        <f t="shared" si="24"/>
        <v>[Kays, R., Tilak, S., Kranstauber, B., Jansen, P. A., Carbone, C., Rowcliffe, M. J., &amp; He, Z. (2010). Monitoring wild animal communities with arrays of motion sensitive camera traps. &lt;i&gt;arXiv Preprint&lt;/i&gt;, arXiv:1009. 5718. &lt;a target="_blank" href="https://arxiv.org/pdf/1009.5718"&gt;{https://arxiv.org/pdf/1009.5718}]{#kays_et_al_2010}&lt;br&gt;&lt;br&gt;</v>
      </c>
      <c r="O225" s="64" t="s">
        <v>3065</v>
      </c>
      <c r="P225" s="64" t="s">
        <v>984</v>
      </c>
      <c r="Q225" s="64" t="str">
        <f t="shared" si="20"/>
        <v>{{ rtxt_kays_et_al_2010 }}</v>
      </c>
      <c r="R225" s="64" t="str">
        <f t="shared" si="21"/>
        <v>{{ rbib_kays_et_al_2010 }}</v>
      </c>
      <c r="S225" s="63" t="str">
        <f t="shared" si="25"/>
        <v>Kays, R., Tilak, S., Kranstauber, B., Jansen, P. A., Carbone, C., Rowcliffe, M. J., &amp; He, Z. (2010). Monitoring wild animal communities with arrays of motion sensitive camera traps. &lt;i&gt;arXiv Preprint&lt;/i&gt;, arXiv:1009. 5718. &lt;a href="https://arxiv.org/pdf/1009.5718" target="_blank"&gt;https://arxiv.org/pdf/1009.5718&lt;/a&gt;&lt;span style="color:white"&gt;[.]{#kays_et_al_2010}&lt;/span&gt;&lt;br&gt;&lt;br&gt;</v>
      </c>
      <c r="T225" s="64" t="str">
        <f t="shared" si="23"/>
        <v xml:space="preserve">    rtxt_kays_et_al_2010: "&lt;a href=\"/08_references.html#kays_et_al_2010\" target=\"_blank\"&gt;Kays et al., 2010&lt;/a&gt;"</v>
      </c>
      <c r="U225" s="64" t="str">
        <f t="shared" si="22"/>
        <v xml:space="preserve">    rbib_kays_et_al_2010: "Kays, R., Tilak, S., Kranstauber, B., Jansen, P. A., Carbone, C., Rowcliffe, M. J., &amp; He, Z. (2010). Monitoring wild animal communities with arrays of motion sensitive camera traps. *arXiv Preprint*, arXiv:1009. 5718. &lt;https://arxiv.org/pdf/1009.5718&gt;"</v>
      </c>
      <c r="V225" s="64"/>
    </row>
    <row r="226" spans="1:22" ht="15.75">
      <c r="A226" s="64"/>
      <c r="B226" s="77" t="b">
        <v>0</v>
      </c>
      <c r="C226" s="77" t="b">
        <v>0</v>
      </c>
      <c r="D226" s="77" t="b">
        <v>1</v>
      </c>
      <c r="E226" s="64" t="s">
        <v>1904</v>
      </c>
      <c r="F226" s="64" t="s">
        <v>3056</v>
      </c>
      <c r="G226" s="64" t="s">
        <v>3055</v>
      </c>
      <c r="H226" s="64" t="s">
        <v>3055</v>
      </c>
      <c r="I226" s="64" t="b">
        <v>1</v>
      </c>
      <c r="J226" s="66" t="s">
        <v>3054</v>
      </c>
      <c r="K226" s="66" t="s">
        <v>3960</v>
      </c>
      <c r="L226" s="64" t="s">
        <v>4029</v>
      </c>
      <c r="M226" s="64" t="s">
        <v>5995</v>
      </c>
      <c r="N226" s="65" t="str">
        <f t="shared" si="24"/>
        <v>[Keim, J. L., DeWitt, P. D., &amp; Lele, S. R. (2011). Predators choose prey over prey habitats: Evidence from a lynx-hare system. &lt;i&gt;Ecological Applications&lt;i&gt;, &lt;i&gt;21&lt;/i&gt;(4), 1011-1016. &lt;a target="_blank" href="https://doi.org/10.1890/10-0949.1"&gt;{https://doi.org/10.1890/10-0949.1}]{#keim_et_al_2011}&lt;br&gt;&lt;br&gt;</v>
      </c>
      <c r="O226" s="64" t="s">
        <v>3053</v>
      </c>
      <c r="P226" s="64" t="s">
        <v>984</v>
      </c>
      <c r="Q226" s="64" t="str">
        <f t="shared" si="20"/>
        <v>{{ rtxt_keim_et_al_2011 }}</v>
      </c>
      <c r="R226" s="64" t="str">
        <f t="shared" si="21"/>
        <v>{{ rbib_keim_et_al_2011 }}</v>
      </c>
      <c r="S226" s="63" t="str">
        <f t="shared" si="25"/>
        <v>Keim, J. L., DeWitt, P. D., &amp; Lele, S. R. (2011). Predators choose prey over prey habitats: Evidence from a lynx-hare system. &lt;i&gt;Ecological Applications&lt;i&gt;, &lt;i&gt;21&lt;/i&gt;(4), 1011-1016. &lt;a href="https://doi.org/10.1890/10-0949.1" target="_blank"&gt;https://doi.org/10.1890/10-0949.1&lt;/a&gt;&lt;span style="color:white"&gt;[.]{#keim_et_al_2011}&lt;/span&gt;&lt;br&gt;&lt;br&gt;</v>
      </c>
      <c r="T226" s="64" t="str">
        <f t="shared" si="23"/>
        <v xml:space="preserve">    rtxt_keim_et_al_2011: "&lt;a href=\"/08_references.html#keim_et_al_2011\" target=\"_blank\"&gt;Keim et al., 2011&lt;/a&gt;"</v>
      </c>
      <c r="U226" s="64" t="str">
        <f t="shared" si="22"/>
        <v xml:space="preserve">    rbib_keim_et_al_2011: "Keim, J. L., DeWitt, P. D., &amp; Lele, S. R. (2011). Predators choose prey over prey habitats: Evidence from a lynx-hare system. *Ecological Applications, 21*(4), 1011-1016. &lt;https://doi.org/10.1890/10-0949.1&gt;"</v>
      </c>
      <c r="V226" s="64"/>
    </row>
    <row r="227" spans="1:22" ht="15.75">
      <c r="A227" s="64"/>
      <c r="B227" s="77" t="b">
        <v>1</v>
      </c>
      <c r="C227" s="77" t="b">
        <v>0</v>
      </c>
      <c r="D227" s="77" t="b">
        <v>0</v>
      </c>
      <c r="E227" s="64" t="s">
        <v>1904</v>
      </c>
      <c r="F227" s="64" t="s">
        <v>3048</v>
      </c>
      <c r="G227" s="64" t="s">
        <v>3047</v>
      </c>
      <c r="H227" s="64" t="s">
        <v>3047</v>
      </c>
      <c r="I227" s="64" t="b">
        <v>1</v>
      </c>
      <c r="J227" s="66" t="s">
        <v>3046</v>
      </c>
      <c r="K227" s="66" t="s">
        <v>3960</v>
      </c>
      <c r="L227" s="64" t="s">
        <v>4030</v>
      </c>
      <c r="M227" s="64" t="s">
        <v>6042</v>
      </c>
      <c r="N227" s="65" t="str">
        <f t="shared" si="24"/>
        <v>[Keim,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href="https://esajournals.onlinelibrary.wiley.com/doi/10.1002/fee.2358"&gt;{https://esajournals.onlinelibrary.wiley.com/doi/10.1002/fee.2358}]{#keim_et_al_2021}&lt;br&gt;&lt;br&gt;</v>
      </c>
      <c r="O227" s="64" t="s">
        <v>3045</v>
      </c>
      <c r="P227" s="64" t="s">
        <v>984</v>
      </c>
      <c r="Q227" s="64" t="str">
        <f t="shared" si="20"/>
        <v>{{ rtxt_keim_et_al_2021 }}</v>
      </c>
      <c r="R227" s="64" t="str">
        <f t="shared" si="21"/>
        <v>{{ rbib_keim_et_al_2021 }}</v>
      </c>
      <c r="S227" s="63" t="str">
        <f t="shared" si="25"/>
        <v>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target="_blank"&gt;https://esajournals.onlinelibrary.wiley.com/doi/10.1002/fee.2358&lt;/a&gt;&lt;span style="color:white"&gt;[.]{#keim_et_al_2021}&lt;/span&gt;&lt;br&gt;&lt;br&gt;</v>
      </c>
      <c r="T227" s="64" t="str">
        <f t="shared" si="23"/>
        <v xml:space="preserve">    rtxt_keim_et_al_2021: "&lt;a href=\"/08_references.html#keim_et_al_2021\" target=\"_blank\"&gt;Keim et al., 2021&lt;/a&gt;"</v>
      </c>
      <c r="U227" s="64" t="str">
        <f t="shared" si="22"/>
        <v xml:space="preserve">    rbib_keim_et_al_2021: "Keim, J. L., DeWitt, P. D., Wilson, S. F., Fitzpatrick, J. J., Jenni, N. S., &amp; Lele, S. R. (2021). Managing animal movement conserves predator-prey dynamics. *Frontiers in Ecology and the Environment, 19*(7), 379-385. &lt;https://esajournals.onlinelibrary.wiley.com/doi/10.1002/fee.2358&gt;"</v>
      </c>
      <c r="V227" s="64"/>
    </row>
    <row r="228" spans="1:22" ht="15.75">
      <c r="A228" s="64"/>
      <c r="B228" s="77" t="b">
        <v>1</v>
      </c>
      <c r="C228" s="77" t="b">
        <v>0</v>
      </c>
      <c r="D228" s="77" t="b">
        <v>1</v>
      </c>
      <c r="E228" s="64" t="s">
        <v>1904</v>
      </c>
      <c r="F228" s="64" t="s">
        <v>3052</v>
      </c>
      <c r="G228" s="64" t="s">
        <v>3051</v>
      </c>
      <c r="H228" s="64" t="s">
        <v>3051</v>
      </c>
      <c r="I228" s="64" t="b">
        <v>1</v>
      </c>
      <c r="J228" s="66" t="s">
        <v>3050</v>
      </c>
      <c r="K228" s="66" t="s">
        <v>3960</v>
      </c>
      <c r="L228" s="64" t="s">
        <v>4031</v>
      </c>
      <c r="M228" s="64" t="s">
        <v>5874</v>
      </c>
      <c r="N228" s="65" t="str">
        <f t="shared" si="24"/>
        <v>[Keim, J. L., Lele, S. R., DeWitt, P. D., Fitzpatrick, J. J., Jenni, N. S. (2019). Estimating the intensity of use by interacting predators and prey using camera traps. &lt;i&gt;Journal of Animal Ecology, 88&lt;/i&gt;, 690-701. &lt;a target="_blank" href="https://doi.org/10.1111/1365-2656.12960"&gt;{https://doi.org/10.1111/1365-2656.12960}]{#keim_et_al_2019}&lt;br&gt;&lt;br&gt;</v>
      </c>
      <c r="O228" s="64" t="s">
        <v>3049</v>
      </c>
      <c r="P228" s="64" t="s">
        <v>984</v>
      </c>
      <c r="Q228" s="64" t="str">
        <f t="shared" si="20"/>
        <v>{{ rtxt_keim_et_al_2019 }}</v>
      </c>
      <c r="R228" s="64" t="str">
        <f t="shared" si="21"/>
        <v>{{ rbib_keim_et_al_2019 }}</v>
      </c>
      <c r="S228" s="63" t="str">
        <f t="shared" si="25"/>
        <v>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target="_blank"&gt;https://doi.org/10.1111/1365-2656.12960&lt;/a&gt;&lt;span style="color:white"&gt;[.]{#keim_et_al_2019}&lt;/span&gt;&lt;br&gt;&lt;br&gt;</v>
      </c>
      <c r="T228" s="64" t="str">
        <f t="shared" si="23"/>
        <v xml:space="preserve">    rtxt_keim_et_al_2019: "&lt;a href=\"/08_references.html#keim_et_al_2019\" target=\"_blank\"&gt;Keim et al., 2019&lt;/a&gt;"</v>
      </c>
      <c r="U228" s="64" t="str">
        <f t="shared" si="22"/>
        <v xml:space="preserve">    rbib_keim_et_al_2019: "Keim, J. L., Lele, S. R., DeWitt, P. D., Fitzpatrick, J. J., Jenni, N. S. (2019). Estimating the intensity of use by interacting predators and prey using camera traps. *Journal of Animal Ecology, 88*, 690-701. &lt;https://doi.org/10.1111/1365-2656.12960&gt;"</v>
      </c>
      <c r="V228" s="64"/>
    </row>
    <row r="229" spans="1:22" ht="15.75">
      <c r="A229" s="64"/>
      <c r="B229" s="77"/>
      <c r="C229" s="77"/>
      <c r="D229" s="77"/>
      <c r="E229" s="64" t="s">
        <v>1904</v>
      </c>
      <c r="F229" s="65" t="s">
        <v>3044</v>
      </c>
      <c r="G229" s="65" t="s">
        <v>3043</v>
      </c>
      <c r="H229" s="64"/>
      <c r="I229" s="64" t="b">
        <v>1</v>
      </c>
      <c r="J229" s="66" t="s">
        <v>3042</v>
      </c>
      <c r="K229" s="66" t="s">
        <v>3960</v>
      </c>
      <c r="L229" s="64" t="s">
        <v>4032</v>
      </c>
      <c r="M229" s="64" t="s">
        <v>5845</v>
      </c>
      <c r="N229" s="65" t="str">
        <f t="shared" si="24"/>
        <v>[Kelejian,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href="https://doi.org/10.1023/A:1007707430416"&gt;{https://doi.org/10.1023/A:1007707430416}]{#kelejian_prucha_1998}&lt;br&gt;&lt;br&gt;</v>
      </c>
      <c r="O229" s="64" t="s">
        <v>3041</v>
      </c>
      <c r="P229" s="64" t="s">
        <v>984</v>
      </c>
      <c r="Q229" s="64" t="str">
        <f t="shared" si="20"/>
        <v>{{ rtxt_kelejian_prucha_1998 }}</v>
      </c>
      <c r="R229" s="64" t="str">
        <f t="shared" si="21"/>
        <v>{{ rbib_kelejian_prucha_1998 }}</v>
      </c>
      <c r="S229" s="63" t="str">
        <f t="shared" si="25"/>
        <v>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target="_blank"&gt;https://doi.org/10.1023/A:1007707430416&lt;/a&gt;&lt;span style="color:white"&gt;[.]{#kelejian_prucha_1998}&lt;/span&gt;&lt;br&gt;&lt;br&gt;</v>
      </c>
      <c r="T229" s="64" t="str">
        <f t="shared" si="23"/>
        <v xml:space="preserve">    rtxt_kelejian_prucha_1998: "&lt;a href=\"/08_references.html#kelejian_prucha_1998\" target=\"_blank\"&gt;Kelejian &amp; Prucha, 1998&lt;/a&gt;"</v>
      </c>
      <c r="U229" s="64" t="str">
        <f t="shared" si="22"/>
        <v xml:space="preserve">    rbib_kelejian_prucha_1998: "Kelejian, H. H., &amp; Prucha, I. R. (1998). A Generalized Spatial Two-Stage Least Squares Procedure for Estimating a Spatial Autoregressive Model with Autoregressive Disturbances. *Journal of Real Estate Finance and Economics, 17*, 99-121. &lt;https://doi.org/10.1023/A:1007707430416&gt;"</v>
      </c>
      <c r="V229" s="64"/>
    </row>
    <row r="230" spans="1:22" ht="15.75">
      <c r="A230" s="64"/>
      <c r="B230" s="77"/>
      <c r="C230" s="77"/>
      <c r="D230" s="77"/>
      <c r="E230" s="64" t="s">
        <v>2246</v>
      </c>
      <c r="F230" s="64" t="s">
        <v>3394</v>
      </c>
      <c r="G230" s="64" t="s">
        <v>3393</v>
      </c>
      <c r="H230" s="64"/>
      <c r="I230" s="64" t="b">
        <v>1</v>
      </c>
      <c r="J230" s="66" t="s">
        <v>3392</v>
      </c>
      <c r="K230" s="66" t="s">
        <v>3960</v>
      </c>
      <c r="L230" s="64" t="s">
        <v>4033</v>
      </c>
      <c r="M230" s="64" t="s">
        <v>6101</v>
      </c>
      <c r="N230" s="65" t="str">
        <f t="shared" si="24"/>
        <v>[Kellner,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href="https://www.jstatsoft.org/v43/i10/"&gt;{https://www.jstatsoft.org/v43/i10/}]{#fiske_chandler_2011}&lt;br&gt;&lt;br&gt;</v>
      </c>
      <c r="O230" s="64" t="s">
        <v>3391</v>
      </c>
      <c r="P230" s="64" t="s">
        <v>984</v>
      </c>
      <c r="Q230" s="64" t="str">
        <f t="shared" si="20"/>
        <v>{{ rtxt_fiske_chandler_2011 }}</v>
      </c>
      <c r="R230" s="64" t="str">
        <f t="shared" si="21"/>
        <v>{{ rbib_fiske_chandler_2011 }}</v>
      </c>
      <c r="S230" s="63" t="str">
        <f t="shared" si="25"/>
        <v>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target="_blank"&gt;https://www.jstatsoft.org/v43/i10/&lt;/a&gt;&lt;span style="color:white"&gt;[.]{#fiske_chandler_2011}&lt;/span&gt;&lt;br&gt;&lt;br&gt;</v>
      </c>
      <c r="T230" s="64" t="str">
        <f t="shared" si="23"/>
        <v xml:space="preserve">    rtxt_fiske_chandler_2011: "&lt;a href=\"/08_references.html#fiske_chandler_2011\" target=\"_blank\"&gt;Fiske &amp; Chandler, 2011&lt;/a&gt;"</v>
      </c>
      <c r="U230" s="64" t="str">
        <f t="shared" si="22"/>
        <v xml:space="preserve">    rbib_fiske_chandler_2011: "Kellner, K. F., Smith, A. D., Royle, J. A., Kery, M, Belant, J. L., &amp; Chandler, R. B. (2023). The unmarked R package: Twelve years of advances in occurrence and abundance modelling in ecology. *Methods in Ecology and Evolution, 14* (6), 1408-1415. &lt;https://www.jstatsoft.org/v43/i10/&gt;"</v>
      </c>
      <c r="V230" s="64"/>
    </row>
    <row r="231" spans="1:22" ht="15.75">
      <c r="A231" s="64"/>
      <c r="B231" s="77" t="b">
        <v>1</v>
      </c>
      <c r="C231" s="77" t="b">
        <v>0</v>
      </c>
      <c r="D231" s="77" t="b">
        <v>0</v>
      </c>
      <c r="E231" s="64" t="s">
        <v>1904</v>
      </c>
      <c r="F231" s="64" t="s">
        <v>3036</v>
      </c>
      <c r="G231" s="64" t="s">
        <v>3035</v>
      </c>
      <c r="H231" s="64" t="s">
        <v>3035</v>
      </c>
      <c r="I231" s="64" t="b">
        <v>1</v>
      </c>
      <c r="J231" s="66" t="s">
        <v>3034</v>
      </c>
      <c r="K231" s="66" t="s">
        <v>3960</v>
      </c>
      <c r="L231" s="64" t="s">
        <v>4034</v>
      </c>
      <c r="M231" s="64" t="s">
        <v>5979</v>
      </c>
      <c r="N231" s="65" t="str">
        <f t="shared" si="24"/>
        <v>[Kelly,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href="https://doi.org/10.1644/06-MAMM-A-424R.1"&gt;{https://doi.org/10.1644/06-MAMM-A-424R.1}]{#kelly_et_al_2008}&lt;br&gt;&lt;br&gt;</v>
      </c>
      <c r="O231" s="64" t="s">
        <v>3033</v>
      </c>
      <c r="P231" s="64" t="s">
        <v>984</v>
      </c>
      <c r="Q231" s="64" t="str">
        <f t="shared" si="20"/>
        <v>{{ rtxt_kelly_et_al_2008 }}</v>
      </c>
      <c r="R231" s="64" t="str">
        <f t="shared" si="21"/>
        <v>{{ rbib_kelly_et_al_2008 }}</v>
      </c>
      <c r="S231" s="63" t="str">
        <f t="shared" si="25"/>
        <v>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target="_blank"&gt;https://doi.org/10.1644/06-MAMM-A-424R.1&lt;/a&gt;&lt;span style="color:white"&gt;[.]{#kelly_et_al_2008}&lt;/span&gt;&lt;br&gt;&lt;br&gt;</v>
      </c>
      <c r="T231" s="64" t="str">
        <f t="shared" si="23"/>
        <v xml:space="preserve">    rtxt_kelly_et_al_2008: "&lt;a href=\"/08_references.html#kelly_et_al_2008\" target=\"_blank\"&gt;Kelly et al., 2008&lt;/a&gt;"</v>
      </c>
      <c r="U231" s="64" t="str">
        <f t="shared" si="22"/>
        <v xml:space="preserve">    rbib_kelly_et_al_2008: "Kelly, M. J., Noss, A. J., Bitetti, M. S., Maffei, L., Arispe, R. L., Paviolo, A., Angelo, C. D. D., &amp; Di Blanco, Y. E. (2008). Estimating Puma Densities from Camera Trapping Across Three Study Sites: Bolivia, Argentina, And Belize. *Journal of Mammalogy, 89*(2), 408-418. &lt;https://doi.org/10.1644/06-MAMM-A-424R.1&gt;"</v>
      </c>
      <c r="V231" s="64"/>
    </row>
    <row r="232" spans="1:22" ht="15.75">
      <c r="A232" s="64"/>
      <c r="B232" s="77"/>
      <c r="C232" s="77"/>
      <c r="D232" s="77"/>
      <c r="E232" s="64" t="s">
        <v>2480</v>
      </c>
      <c r="F232" s="64" t="s">
        <v>651</v>
      </c>
      <c r="G232" s="65" t="s">
        <v>3032</v>
      </c>
      <c r="H232" s="65" t="s">
        <v>3032</v>
      </c>
      <c r="I232" s="64" t="b">
        <v>1</v>
      </c>
      <c r="J232" s="64" t="s">
        <v>3031</v>
      </c>
      <c r="K232" s="66" t="s">
        <v>3960</v>
      </c>
      <c r="L232" s="64" t="s">
        <v>4035</v>
      </c>
      <c r="M232" s="64" t="s">
        <v>6090</v>
      </c>
      <c r="N232" s="65" t="str">
        <f t="shared" si="24"/>
        <v>[Kemp,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href="https://wildcams.ca/site/assets/files/1386/cbm_wildlife_camera_guide-_aug2022.pdf"&gt;{https://wildcams.ca/site/assets/files/1386/cbm_wildlife_camera_guide-_aug2022.pdf}]{#kemp_et_al_2022}&lt;br&gt;&lt;br&gt;</v>
      </c>
      <c r="O232" s="64" t="s">
        <v>3030</v>
      </c>
      <c r="P232" s="64" t="s">
        <v>984</v>
      </c>
      <c r="Q232" s="64" t="str">
        <f t="shared" si="20"/>
        <v>{{ rtxt_kemp_et_al_2022 }}</v>
      </c>
      <c r="R232" s="64" t="str">
        <f t="shared" si="21"/>
        <v>{{ rbib_kemp_et_al_2022 }}</v>
      </c>
      <c r="S232" s="63" t="str">
        <f t="shared" si="25"/>
        <v>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target="_blank"&gt;https://wildcams.ca/site/assets/files/1386/cbm_wildlife_camera_guide-_aug2022.pdf&lt;/a&gt;&lt;span style="color:white"&gt;[.]{#kemp_et_al_2022}&lt;/span&gt;&lt;br&gt;&lt;br&gt;</v>
      </c>
      <c r="T232" s="64" t="str">
        <f t="shared" si="23"/>
        <v xml:space="preserve">    rtxt_kemp_et_al_2022: "&lt;a href=\"/08_references.html#kemp_et_al_2022\" target=\"_blank\"&gt;Kemp et al., 2022&lt;/a&gt;"</v>
      </c>
      <c r="U232" s="64" t="str">
        <f t="shared" si="22"/>
        <v xml:space="preserve">    rbib_kemp_et_al_2022: "Kemp, C., Yarchuk, K., Menzies, A., &amp; Popp, J. (2022). *A Guide to Using Wildlife Cameras for Ecological Monitoring in a Community-based Context*. WISE Lab. &lt;https://wildcams.ca/site/assets/files/1386/cbm_wildlife_camera_guide-_aug2022.pdf&gt;"</v>
      </c>
      <c r="V232" s="64"/>
    </row>
    <row r="233" spans="1:22" ht="15.75">
      <c r="A233" s="64"/>
      <c r="B233" s="77" t="b">
        <v>1</v>
      </c>
      <c r="C233" s="77" t="b">
        <v>0</v>
      </c>
      <c r="D233" s="77" t="b">
        <v>1</v>
      </c>
      <c r="E233" s="64" t="s">
        <v>984</v>
      </c>
      <c r="F233" s="64" t="s">
        <v>3029</v>
      </c>
      <c r="G233" s="64" t="s">
        <v>3028</v>
      </c>
      <c r="H233" s="64" t="s">
        <v>3028</v>
      </c>
      <c r="I233" s="64" t="b">
        <v>1</v>
      </c>
      <c r="J233" s="66" t="s">
        <v>3027</v>
      </c>
      <c r="K233" s="66" t="s">
        <v>3960</v>
      </c>
      <c r="L233" s="64" t="s">
        <v>4036</v>
      </c>
      <c r="M233" s="64" t="s">
        <v>6107</v>
      </c>
      <c r="N233" s="65" t="str">
        <f t="shared" si="24"/>
        <v>[Kinnaird,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href="https://www.jstor.org/stable/41417102"&gt;{https://www.jstor.org/stable/41417102}]{#kinnaird_obrien_2012}&lt;br&gt;&lt;br&gt;</v>
      </c>
      <c r="O233" s="64" t="s">
        <v>2663</v>
      </c>
      <c r="P233" s="64" t="s">
        <v>984</v>
      </c>
      <c r="Q233" s="64" t="str">
        <f t="shared" si="20"/>
        <v>{{ rtxt_kinnaird_obrien_2012 }}</v>
      </c>
      <c r="R233" s="64" t="str">
        <f t="shared" si="21"/>
        <v>{{ rbib_kinnaird_obrien_2012 }}</v>
      </c>
      <c r="S233" s="63" t="str">
        <f t="shared" si="25"/>
        <v>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style="color:white"&gt;[.]{#kinnaird_obrien_2012}&lt;/span&gt;&lt;br&gt;&lt;br&gt;</v>
      </c>
      <c r="T233" s="64" t="str">
        <f t="shared" si="23"/>
        <v xml:space="preserve">    rtxt_kinnaird_obrien_2012: "&lt;a href=\"/08_references.html#kinnaird_obrien_2012\" target=\"_blank\"&gt;Kinnaird &amp; O'Brien, 2012&lt;/a&gt;"</v>
      </c>
      <c r="U233" s="64" t="str">
        <f t="shared" si="22"/>
        <v xml:space="preserve">    rbib_kinnaird_obrien_2012: "Kinnaird, M. F., &amp; O'Brien, T. G. (2011). Density estimation of sympatric carnivores using spatially explicit capture-recapture methods and standard trapping grid. *Ecological Applications, 21*(8), 2908-2916. &lt;https://www.jstor.org/stable/41417102&gt;"</v>
      </c>
      <c r="V233" s="64"/>
    </row>
    <row r="234" spans="1:22" ht="15.75">
      <c r="A234" s="64"/>
      <c r="B234" s="77" t="b">
        <v>1</v>
      </c>
      <c r="C234" s="77" t="b">
        <v>1</v>
      </c>
      <c r="D234" s="77" t="b">
        <v>1</v>
      </c>
      <c r="E234" s="64" t="s">
        <v>1904</v>
      </c>
      <c r="F234" s="64" t="s">
        <v>3026</v>
      </c>
      <c r="G234" s="64" t="s">
        <v>3025</v>
      </c>
      <c r="H234" s="64" t="s">
        <v>3025</v>
      </c>
      <c r="I234" s="64" t="b">
        <v>1</v>
      </c>
      <c r="J234" s="66" t="s">
        <v>3024</v>
      </c>
      <c r="K234" s="66" t="s">
        <v>3960</v>
      </c>
      <c r="L234" s="64" t="s">
        <v>4037</v>
      </c>
      <c r="M234" s="64" t="s">
        <v>6115</v>
      </c>
      <c r="N234" s="65" t="str">
        <f t="shared" si="24"/>
        <v>[Kitamura,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kitamura_et_al_2010}&lt;br&gt;&lt;br&gt;</v>
      </c>
      <c r="O234" s="64" t="s">
        <v>3023</v>
      </c>
      <c r="P234" s="64" t="s">
        <v>984</v>
      </c>
      <c r="Q234" s="64" t="str">
        <f t="shared" si="20"/>
        <v>{{ rtxt_kitamura_et_al_2010 }}</v>
      </c>
      <c r="R234" s="64" t="str">
        <f t="shared" si="21"/>
        <v>{{ rbib_kitamura_et_al_2010 }}</v>
      </c>
      <c r="S234" s="63" t="str">
        <f t="shared" si="25"/>
        <v>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style="color:white"&gt;[.]{#kitamura_et_al_2010}&lt;/span&gt;&lt;br&gt;&lt;br&gt;</v>
      </c>
      <c r="T234" s="64" t="str">
        <f t="shared" si="23"/>
        <v xml:space="preserve">    rtxt_kitamura_et_al_2010: "&lt;a href=\"/08_references.html#kitamura_et_al_2010\" target=\"_blank\"&gt;Kitamura et al., 2010&lt;/a&gt;"</v>
      </c>
      <c r="U234" s="64" t="str">
        <f t="shared" si="22"/>
        <v xml:space="preserve">    rbib_kitamura_et_al_2010: "Kitamura,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v>
      </c>
      <c r="V234" s="64"/>
    </row>
    <row r="235" spans="1:22" ht="15.75">
      <c r="A235" s="64"/>
      <c r="B235" s="77" t="b">
        <v>0</v>
      </c>
      <c r="C235" s="77" t="b">
        <v>0</v>
      </c>
      <c r="D235" s="77" t="b">
        <v>1</v>
      </c>
      <c r="E235" s="64" t="s">
        <v>1904</v>
      </c>
      <c r="F235" s="64" t="s">
        <v>3022</v>
      </c>
      <c r="G235" s="64" t="s">
        <v>3021</v>
      </c>
      <c r="H235" s="64" t="s">
        <v>3021</v>
      </c>
      <c r="I235" s="64" t="b">
        <v>1</v>
      </c>
      <c r="J235" s="66" t="s">
        <v>3020</v>
      </c>
      <c r="K235" s="66" t="s">
        <v>3960</v>
      </c>
      <c r="L235" s="64" t="s">
        <v>4038</v>
      </c>
      <c r="M235" s="64" t="s">
        <v>5856</v>
      </c>
      <c r="N235" s="65" t="str">
        <f t="shared" si="24"/>
        <v>[Kleiber, C., &amp; Zeileis, A. (2016). Visualizing Count Data Regressions Using Rootograms. &lt;i&gt;The American Statistician, 70&lt;/i&gt;(3), 296-303. &lt;a target="_blank" href="https://doi.org/10.1080/00031305.2016.1173590"&gt;{https://doi.org/10.1080/00031305.2016.1173590}]{#kleiber_zeileis_2016}&lt;br&gt;&lt;br&gt;</v>
      </c>
      <c r="O235" s="64" t="s">
        <v>3019</v>
      </c>
      <c r="P235" s="64" t="s">
        <v>984</v>
      </c>
      <c r="Q235" s="64" t="str">
        <f t="shared" si="20"/>
        <v>{{ rtxt_kleiber_zeileis_2016 }}</v>
      </c>
      <c r="R235" s="64" t="str">
        <f t="shared" si="21"/>
        <v>{{ rbib_kleiber_zeileis_2016 }}</v>
      </c>
      <c r="S235" s="63" t="str">
        <f t="shared" si="25"/>
        <v>Kleiber, C., &amp; Zeileis, A. (2016). Visualizing Count Data Regressions Using Rootograms. &lt;i&gt;The American Statistician, 70&lt;/i&gt;(3), 296-303. &lt;a href="https://doi.org/10.1080/00031305.2016.1173590" target="_blank"&gt;https://doi.org/10.1080/00031305.2016.1173590&lt;/a&gt;&lt;span style="color:white"&gt;[.]{#kleiber_zeileis_2016}&lt;/span&gt;&lt;br&gt;&lt;br&gt;</v>
      </c>
      <c r="T235" s="64" t="str">
        <f t="shared" si="23"/>
        <v xml:space="preserve">    rtxt_kleiber_zeileis_2016: "&lt;a href=\"/08_references.html#kleiber_zeileis_2016\" target=\"_blank\"&gt;Kleiber &amp; Zeileis, 2016&lt;/a&gt;"</v>
      </c>
      <c r="U235" s="64" t="str">
        <f t="shared" si="22"/>
        <v xml:space="preserve">    rbib_kleiber_zeileis_2016: "Kleiber, C., &amp; Zeileis, A. (2016). Visualizing Count Data Regressions Using Rootograms. *The American Statistician, 70*(3), 296-303. &lt;https://doi.org/10.1080/00031305.2016.1173590&gt;"</v>
      </c>
      <c r="V235" s="64"/>
    </row>
    <row r="236" spans="1:22" ht="15.75">
      <c r="A236" s="64"/>
      <c r="B236" s="77" t="b">
        <v>1</v>
      </c>
      <c r="C236" s="77" t="b">
        <v>0</v>
      </c>
      <c r="D236" s="77" t="b">
        <v>0</v>
      </c>
      <c r="E236" s="64" t="s">
        <v>1904</v>
      </c>
      <c r="F236" s="64" t="s">
        <v>3014</v>
      </c>
      <c r="G236" s="64" t="s">
        <v>3013</v>
      </c>
      <c r="H236" s="64" t="s">
        <v>3013</v>
      </c>
      <c r="I236" s="64" t="b">
        <v>1</v>
      </c>
      <c r="J236" s="66" t="s">
        <v>3012</v>
      </c>
      <c r="K236" s="66" t="s">
        <v>3960</v>
      </c>
      <c r="L236" s="64" t="s">
        <v>4039</v>
      </c>
      <c r="M236" s="64" t="s">
        <v>5980</v>
      </c>
      <c r="N236" s="65" t="str">
        <f t="shared" si="24"/>
        <v>[Krebs, C. J., Boonstra, R., Gilbert, S., Reid, D., Kenney, A. J., Hofer, E. J., &amp; an Vuren, D. H. (2011). Density estimation for small mammals from livetrapping grids: rodents in northern Canada. &lt;i&gt;Journal of Mammalogy, 92&lt;/i&gt;(5), 974-981. &lt;a target="_blank" href="https://doi.org/10.1644/10-M"&gt;{https://doi.org/10.1644/10-M}]{#krebs_et_al_2011}&lt;br&gt;&lt;br&gt;</v>
      </c>
      <c r="O236" s="64" t="s">
        <v>3011</v>
      </c>
      <c r="P236" s="64" t="s">
        <v>984</v>
      </c>
      <c r="Q236" s="64" t="str">
        <f t="shared" si="20"/>
        <v>{{ rtxt_krebs_et_al_2011 }}</v>
      </c>
      <c r="R236" s="64" t="str">
        <f t="shared" si="21"/>
        <v>{{ rbib_krebs_et_al_2011 }}</v>
      </c>
      <c r="S236" s="63" t="str">
        <f t="shared" si="25"/>
        <v>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target="_blank"&gt;https://doi.org/10.1644/10-M&lt;/a&gt;&lt;span style="color:white"&gt;[.]{#krebs_et_al_2011}&lt;/span&gt;&lt;br&gt;&lt;br&gt;</v>
      </c>
      <c r="T236" s="64" t="str">
        <f t="shared" si="23"/>
        <v xml:space="preserve">    rtxt_krebs_et_al_2011: "&lt;a href=\"/08_references.html#krebs_et_al_2011\" target=\"_blank\"&gt;Krebs et al., 2011&lt;/a&gt;"</v>
      </c>
      <c r="U236" s="64" t="str">
        <f t="shared" si="22"/>
        <v xml:space="preserve">    rbib_krebs_et_al_2011: "Krebs, C. J., Boonstra, R., Gilbert, S., Reid, D., Kenney, A. J., Hofer, E. J., &amp; an Vuren, D. H. (2011). Density estimation for small mammals from livetrapping grids: rodents in northern Canada. *Journal of Mammalogy, 92*(5), 974-981. &lt;https://doi.org/10.1644/10-M&gt;"</v>
      </c>
      <c r="V236" s="64"/>
    </row>
    <row r="237" spans="1:22" ht="15.75">
      <c r="A237" s="64"/>
      <c r="B237" s="77"/>
      <c r="C237" s="77"/>
      <c r="D237" s="77"/>
      <c r="E237" s="64" t="s">
        <v>1904</v>
      </c>
      <c r="F237" s="64" t="s">
        <v>3018</v>
      </c>
      <c r="G237" s="64" t="s">
        <v>3017</v>
      </c>
      <c r="H237" s="64" t="s">
        <v>3017</v>
      </c>
      <c r="I237" s="64" t="b">
        <v>1</v>
      </c>
      <c r="J237" s="66" t="s">
        <v>3016</v>
      </c>
      <c r="K237" s="66" t="s">
        <v>3960</v>
      </c>
      <c r="L237" s="64" t="s">
        <v>4040</v>
      </c>
      <c r="M237" s="64" t="s">
        <v>5948</v>
      </c>
      <c r="N237" s="65" t="str">
        <f t="shared" si="24"/>
        <v>[Krebs, C. J., Gilbert, B. S., Boutin, S., &amp; Boonstra, R. (1987). Estimation of snowshoe hare population density from turd transects. &lt;i&gt;Canadian Journal of Zoology, 65&lt;/i&gt;(3), 565-567. &lt;a target="_blank" href="https://doi.org/10.1139/z87-087"&gt;{https://doi.org/10.1139/z87-087}]{#krebs_et_al_1987}&lt;br&gt;&lt;br&gt;</v>
      </c>
      <c r="O237" s="64" t="s">
        <v>3015</v>
      </c>
      <c r="P237" s="64" t="s">
        <v>984</v>
      </c>
      <c r="Q237" s="64" t="str">
        <f t="shared" si="20"/>
        <v>{{ rtxt_krebs_et_al_1987 }}</v>
      </c>
      <c r="R237" s="64" t="str">
        <f t="shared" si="21"/>
        <v>{{ rbib_krebs_et_al_1987 }}</v>
      </c>
      <c r="S237" s="63" t="str">
        <f t="shared" si="25"/>
        <v>Krebs, C. J., Gilbert, B. S., Boutin, S., &amp; Boonstra, R. (1987). Estimation of snowshoe hare population density from turd transects. &lt;i&gt;Canadian Journal of Zoology, 65&lt;/i&gt;(3), 565-567. &lt;a href="https://doi.org/10.1139/z87-087" target="_blank"&gt;https://doi.org/10.1139/z87-087&lt;/a&gt;&lt;span style="color:white"&gt;[.]{#krebs_et_al_1987}&lt;/span&gt;&lt;br&gt;&lt;br&gt;</v>
      </c>
      <c r="T237" s="64" t="str">
        <f t="shared" si="23"/>
        <v xml:space="preserve">    rtxt_krebs_et_al_1987: "&lt;a href=\"/08_references.html#krebs_et_al_1987\" target=\"_blank\"&gt;Krebs et al., 1987&lt;/a&gt;"</v>
      </c>
      <c r="U237" s="64" t="str">
        <f t="shared" si="22"/>
        <v xml:space="preserve">    rbib_krebs_et_al_1987: "Krebs, C. J., Gilbert, B. S., Boutin, S., &amp; Boonstra, R. (1987). Estimation of snowshoe hare population density from turd transects. *Canadian Journal of Zoology, 65*(3), 565-567. &lt;https://doi.org/10.1139/z87-087&gt;"</v>
      </c>
      <c r="V237" s="64"/>
    </row>
    <row r="238" spans="1:22" ht="15.75">
      <c r="A238" s="64"/>
      <c r="B238" s="77" t="b">
        <v>1</v>
      </c>
      <c r="C238" s="77" t="b">
        <v>1</v>
      </c>
      <c r="D238" s="77" t="b">
        <v>0</v>
      </c>
      <c r="E238" s="64" t="s">
        <v>1904</v>
      </c>
      <c r="F238" s="64" t="s">
        <v>3010</v>
      </c>
      <c r="G238" s="64" t="s">
        <v>3009</v>
      </c>
      <c r="H238" s="64" t="s">
        <v>3009</v>
      </c>
      <c r="I238" s="64" t="b">
        <v>1</v>
      </c>
      <c r="J238" s="66" t="s">
        <v>3008</v>
      </c>
      <c r="K238" s="66" t="s">
        <v>3960</v>
      </c>
      <c r="L238" s="64" t="s">
        <v>4041</v>
      </c>
      <c r="M238" s="64" t="s">
        <v>5795</v>
      </c>
      <c r="N238" s="65" t="str">
        <f t="shared" si="24"/>
        <v>[Kruger,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href="https://doi.org/10.1007/s10344-018-1233-7"&gt;{https://doi.org/10.1007/s10344-018-1233-7}]{#kruger_et_al_2018}&lt;br&gt;&lt;br&gt;</v>
      </c>
      <c r="O238" s="64" t="s">
        <v>3007</v>
      </c>
      <c r="P238" s="64" t="s">
        <v>984</v>
      </c>
      <c r="Q238" s="64" t="str">
        <f t="shared" si="20"/>
        <v>{{ rtxt_kruger_et_al_2018 }}</v>
      </c>
      <c r="R238" s="64" t="str">
        <f t="shared" si="21"/>
        <v>{{ rbib_kruger_et_al_2018 }}</v>
      </c>
      <c r="S238" s="63" t="str">
        <f t="shared" si="25"/>
        <v>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target="_blank"&gt;https://doi.org/10.1007/s10344-018-1233-7&lt;/a&gt;&lt;span style="color:white"&gt;[.]{#kruger_et_al_2018}&lt;/span&gt;&lt;br&gt;&lt;br&gt;</v>
      </c>
      <c r="T238" s="64" t="str">
        <f t="shared" si="23"/>
        <v xml:space="preserve">    rtxt_kruger_et_al_2018: "&lt;a href=\"/08_references.html#kruger_et_al_2018\" target=\"_blank\"&gt;Kruger et al., 2018&lt;/a&gt;"</v>
      </c>
      <c r="U238" s="64" t="str">
        <f t="shared" si="22"/>
        <v xml:space="preserve">    rbib_kruger_et_al_2018: "Kruger, H., Vaananen, V. -M., Holopainen, S., &amp; Nummi, P. (2018). The new faces of nest predation in agricultural landscapes - a camera trap Survey with artificial nests. European *Journal of Wildlife Research, 64*(6), 76. &lt;https://doi.org/10.1007/s10344-018-1233-7&gt;"</v>
      </c>
      <c r="V238" s="64"/>
    </row>
    <row r="239" spans="1:22" ht="15.75">
      <c r="A239" s="64"/>
      <c r="B239" s="77" t="b">
        <v>1</v>
      </c>
      <c r="C239" s="77" t="b">
        <v>0</v>
      </c>
      <c r="D239" s="77" t="b">
        <v>0</v>
      </c>
      <c r="E239" s="64" t="s">
        <v>1904</v>
      </c>
      <c r="F239" s="64" t="s">
        <v>3006</v>
      </c>
      <c r="G239" s="64" t="s">
        <v>3002</v>
      </c>
      <c r="H239" s="64" t="s">
        <v>3002</v>
      </c>
      <c r="I239" s="64" t="b">
        <v>1</v>
      </c>
      <c r="J239" s="66" t="s">
        <v>3005</v>
      </c>
      <c r="K239" s="66" t="s">
        <v>3960</v>
      </c>
      <c r="L239" s="64" t="s">
        <v>4042</v>
      </c>
      <c r="M239" s="64" t="s">
        <v>5784</v>
      </c>
      <c r="N239" s="65" t="str">
        <f t="shared" si="24"/>
        <v>[Kucera, T. E., &amp; R. H. Barrett. (2011). A History of Camera Trapping. In A. F. O'Connell, J. D. Nichols, &amp; K. U. Karanth (Eds.), &lt;i&gt;Camera Traps In Animal Ecology: Methods and Analyses&lt;/i&gt; (pp. 9-26). Springer. &lt;a target="_blank" href="https://doi.org/10.1007/978-4-431-99495-4_6"&gt;{https://doi.org/10.1007/978-4-431-99495-4_6}]{#kucera_barrett._2011}&lt;br&gt;&lt;br&gt;</v>
      </c>
      <c r="O239" s="64" t="s">
        <v>2648</v>
      </c>
      <c r="P239" s="64" t="s">
        <v>984</v>
      </c>
      <c r="Q239" s="64" t="str">
        <f t="shared" si="20"/>
        <v>{{ rtxt_kucera_barrett._2011 }}</v>
      </c>
      <c r="R239" s="64" t="str">
        <f t="shared" si="21"/>
        <v>{{ rbib_kucera_barrett._2011 }}</v>
      </c>
      <c r="S239" s="63" t="str">
        <f t="shared" si="25"/>
        <v>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target="_blank"&gt;https://doi.org/10.1007/978-4-431-99495-4_6&lt;/a&gt;&lt;span style="color:white"&gt;[.]{#kucera_barrett._2011}&lt;/span&gt;&lt;br&gt;&lt;br&gt;</v>
      </c>
      <c r="T239" s="64" t="str">
        <f t="shared" si="23"/>
        <v xml:space="preserve">    rtxt_kucera_barrett._2011: "&lt;a href=\"/08_references.html#kucera_barrett._2011\" target=\"_blank\"&gt;Kucera &amp; Barrett., 2011&lt;/a&gt;"</v>
      </c>
      <c r="U239" s="64" t="str">
        <f t="shared" si="22"/>
        <v xml:space="preserve">    rbib_kucera_barrett._2011: "Kucera, T. E., &amp; R. H. Barrett. (2011). A History of Camera Trapping. In A. F. O'Connell, J. D. Nichols, &amp; K. U. Karanth (Eds.), *Camera Traps In Animal Ecology: Methods and Analyses* (pp. 9-26). Springer. &lt;https://doi.org/10.1007/978-4-431-99495-4_6&gt;"</v>
      </c>
      <c r="V239" s="64"/>
    </row>
    <row r="240" spans="1:22" ht="15.75">
      <c r="A240" s="64"/>
      <c r="B240" s="77" t="b">
        <v>0</v>
      </c>
      <c r="C240" s="77" t="b">
        <v>0</v>
      </c>
      <c r="D240" s="77"/>
      <c r="E240" s="64" t="s">
        <v>1939</v>
      </c>
      <c r="F240" s="64" t="s">
        <v>3004</v>
      </c>
      <c r="G240" s="64" t="s">
        <v>3003</v>
      </c>
      <c r="H240" s="64" t="s">
        <v>3002</v>
      </c>
      <c r="I240" s="64" t="b">
        <v>1</v>
      </c>
      <c r="J240" s="66" t="s">
        <v>3001</v>
      </c>
      <c r="K240" s="66" t="s">
        <v>3960</v>
      </c>
      <c r="L240" s="64" t="s">
        <v>4043</v>
      </c>
      <c r="M240" s="64" t="s">
        <v>6060</v>
      </c>
      <c r="N240" s="65" t="str">
        <f t="shared" si="24"/>
        <v>[Kunin,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href="https://link.springer.com/book/10.1007/978-94-011-5874-9"&gt;{https://link.springer.com/book/10.1007/978-94-011-5874-9}]{#kunin_1997}&lt;br&gt;&lt;br&gt;</v>
      </c>
      <c r="O240" s="64" t="s">
        <v>3000</v>
      </c>
      <c r="P240" s="64" t="s">
        <v>984</v>
      </c>
      <c r="Q240" s="64" t="str">
        <f t="shared" si="20"/>
        <v>{{ rtxt_kunin_1997 }}</v>
      </c>
      <c r="R240" s="64" t="str">
        <f t="shared" si="21"/>
        <v>{{ rbib_kunin_1997 }}</v>
      </c>
      <c r="S240" s="63" t="str">
        <f t="shared" si="25"/>
        <v>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target="_blank"&gt;https://link.springer.com/book/10.1007/978-94-011-5874-9&lt;/a&gt;&lt;span style="color:white"&gt;[.]{#kunin_1997}&lt;/span&gt;&lt;br&gt;&lt;br&gt;</v>
      </c>
      <c r="T240" s="64" t="str">
        <f t="shared" si="23"/>
        <v xml:space="preserve">    rtxt_kunin_1997: "&lt;a href=\"/08_references.html#kunin_1997\" target=\"_blank\"&gt;Kunin, 1997&lt;/a&gt;"</v>
      </c>
      <c r="U240" s="64" t="str">
        <f t="shared" si="22"/>
        <v xml:space="preserve">    rbib_kunin_1997: "Kunin, W. K. (1997). Introduction: on the causes and consequences of rare-common differences. In Kunin, W. K., &amp; Kevin, J. G. (Eds) *The Biology of Rarity. * (pp. 3-4). Chapman &amp; Hall. &lt;https://link.springer.com/book/10.1007/978-94-011-5874-9&gt;"</v>
      </c>
      <c r="V240" s="64"/>
    </row>
    <row r="241" spans="1:22" ht="15.75">
      <c r="A241" s="64"/>
      <c r="B241" s="77" t="b">
        <v>1</v>
      </c>
      <c r="C241" s="77" t="b">
        <v>0</v>
      </c>
      <c r="D241" s="77" t="b">
        <v>0</v>
      </c>
      <c r="E241" s="64" t="s">
        <v>1904</v>
      </c>
      <c r="F241" s="64" t="s">
        <v>2999</v>
      </c>
      <c r="G241" s="64" t="s">
        <v>2998</v>
      </c>
      <c r="H241" s="64" t="s">
        <v>2998</v>
      </c>
      <c r="I241" s="64" t="b">
        <v>1</v>
      </c>
      <c r="J241" s="66" t="s">
        <v>2997</v>
      </c>
      <c r="K241" s="66" t="s">
        <v>3960</v>
      </c>
      <c r="L241" s="64" t="s">
        <v>4044</v>
      </c>
      <c r="M241" s="64" t="s">
        <v>5912</v>
      </c>
      <c r="N241" s="65" t="str">
        <f t="shared" si="24"/>
        <v>[Kusi,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href="https://doi.org/10.1111/csp2.165"&gt;{https://doi.org/10.1111/csp2.165}]{#kusi_et_al_2019}&lt;br&gt;&lt;br&gt;</v>
      </c>
      <c r="O241" s="64" t="s">
        <v>2996</v>
      </c>
      <c r="P241" s="64" t="s">
        <v>984</v>
      </c>
      <c r="Q241" s="64" t="str">
        <f t="shared" si="20"/>
        <v>{{ rtxt_kusi_et_al_2019 }}</v>
      </c>
      <c r="R241" s="64" t="str">
        <f t="shared" si="21"/>
        <v>{{ rbib_kusi_et_al_2019 }}</v>
      </c>
      <c r="S241" s="63" t="str">
        <f t="shared" si="25"/>
        <v>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target="_blank"&gt;https://doi.org/10.1111/csp2.165&lt;/a&gt;&lt;span style="color:white"&gt;[.]{#kusi_et_al_2019}&lt;/span&gt;&lt;br&gt;&lt;br&gt;</v>
      </c>
      <c r="T241" s="64" t="str">
        <f t="shared" si="23"/>
        <v xml:space="preserve">    rtxt_kusi_et_al_2019: "&lt;a href=\"/08_references.html#kusi_et_al_2019\" target=\"_blank\"&gt;Kusi et al., 2019&lt;/a&gt;"</v>
      </c>
      <c r="U241" s="64" t="str">
        <f t="shared" si="22"/>
        <v xml:space="preserve">    rbib_kusi_et_al_2019: "Kusi, N., Sillero‐Zubiri, C., Macdonald, D. W., Johnson, P. J., &amp; Werhahn, G. (2019). Perspectives of traditional Himalayan communities on fostering coexistence with Himalayan wolf and snow leopard. *Conservation Science and Practice, 2*(3). &lt;https://doi.org/10.1111/csp2.165&gt;"</v>
      </c>
      <c r="V241" s="64"/>
    </row>
    <row r="242" spans="1:22" ht="15.75">
      <c r="A242" s="64"/>
      <c r="B242" s="77"/>
      <c r="C242" s="77"/>
      <c r="D242" s="77"/>
      <c r="E242" s="64" t="s">
        <v>1904</v>
      </c>
      <c r="F242" s="64" t="s">
        <v>2995</v>
      </c>
      <c r="G242" s="64" t="s">
        <v>2994</v>
      </c>
      <c r="H242" s="64" t="s">
        <v>2994</v>
      </c>
      <c r="I242" s="64" t="b">
        <v>1</v>
      </c>
      <c r="J242" s="66" t="s">
        <v>2993</v>
      </c>
      <c r="K242" s="66" t="s">
        <v>3960</v>
      </c>
      <c r="L242" s="64" t="s">
        <v>4045</v>
      </c>
      <c r="M242" s="64" t="s">
        <v>5949</v>
      </c>
      <c r="N242" s="65" t="str">
        <f t="shared" si="24"/>
        <v>[LaBarbera, M. (2003). Analyzing Body Size as a Factor in Ecology and Evolution. &lt;i&gt;Annual Review of Ecology and Systematics, 20&lt;/i&gt;(1), 97-117. &lt;a target="_blank" href="https://doi.org/10.1146/annurev.es.20.110189.000525"&gt;{https://doi.org/10.1146/annurev.es.20.110189.000525}]{#labarbera_1989}&lt;br&gt;&lt;br&gt;</v>
      </c>
      <c r="O242" s="64" t="s">
        <v>2992</v>
      </c>
      <c r="P242" s="64" t="s">
        <v>984</v>
      </c>
      <c r="Q242" s="64" t="str">
        <f t="shared" si="20"/>
        <v>{{ rtxt_labarbera_1989 }}</v>
      </c>
      <c r="R242" s="64" t="str">
        <f t="shared" si="21"/>
        <v>{{ rbib_labarbera_1989 }}</v>
      </c>
      <c r="S242" s="63" t="str">
        <f t="shared" si="25"/>
        <v>LaBarbera, M. (2003). Analyzing Body Size as a Factor in Ecology and Evolution. &lt;i&gt;Annual Review of Ecology and Systematics, 20&lt;/i&gt;(1), 97-117. &lt;a href="https://doi.org/10.1146/annurev.es.20.110189.000525" target="_blank"&gt;https://doi.org/10.1146/annurev.es.20.110189.000525&lt;/a&gt;&lt;span style="color:white"&gt;[.]{#labarbera_1989}&lt;/span&gt;&lt;br&gt;&lt;br&gt;</v>
      </c>
      <c r="T242" s="64" t="str">
        <f t="shared" si="23"/>
        <v xml:space="preserve">    rtxt_labarbera_1989: "&lt;a href=\"/08_references.html#labarbera_1989\" target=\"_blank\"&gt;LaBarbera, 2003&lt;/a&gt;"</v>
      </c>
      <c r="U242" s="64" t="str">
        <f t="shared" si="22"/>
        <v xml:space="preserve">    rbib_labarbera_1989: "LaBarbera, M. (2003). Analyzing Body Size as a Factor in Ecology and Evolution. *Annual Review of Ecology and Systematics, 20*(1), 97-117. &lt;https://doi.org/10.1146/annurev.es.20.110189.000525&gt;"</v>
      </c>
      <c r="V242" s="64"/>
    </row>
    <row r="243" spans="1:22" ht="15.75">
      <c r="A243" s="64"/>
      <c r="B243" s="77"/>
      <c r="C243" s="77"/>
      <c r="D243" s="77"/>
      <c r="E243" s="64" t="s">
        <v>1904</v>
      </c>
      <c r="F243" s="64" t="s">
        <v>2991</v>
      </c>
      <c r="G243" s="64" t="s">
        <v>2990</v>
      </c>
      <c r="H243" s="64" t="s">
        <v>2990</v>
      </c>
      <c r="I243" s="64" t="b">
        <v>1</v>
      </c>
      <c r="J243" s="66" t="s">
        <v>2989</v>
      </c>
      <c r="K243" s="66" t="s">
        <v>3960</v>
      </c>
      <c r="L243" s="64" t="s">
        <v>4046</v>
      </c>
      <c r="M243" s="64" t="s">
        <v>5855</v>
      </c>
      <c r="N243" s="65" t="str">
        <f t="shared" si="24"/>
        <v>[Ladd, R., Meek, P., &amp; Leung, L. K.-P. (2022). The influence of camera-trap flash type on the behavioural response, detection rate and individual recognition of Eld's deer. &lt;i&gt;Wildlife Research, 50&lt;/i&gt;(6), 475-483. &lt;a target="_blank" href="https://doi.org/10.1071/WR22055"&gt;{https://doi.org/10.1071/WR22055}]{#ladd_et_al_2022}&lt;br&gt;&lt;br&gt;</v>
      </c>
      <c r="O243" s="64" t="s">
        <v>2988</v>
      </c>
      <c r="P243" s="64" t="s">
        <v>984</v>
      </c>
      <c r="Q243" s="64" t="str">
        <f t="shared" si="20"/>
        <v>{{ rtxt_ladd_et_al_2022 }}</v>
      </c>
      <c r="R243" s="64" t="str">
        <f t="shared" si="21"/>
        <v>{{ rbib_ladd_et_al_2022 }}</v>
      </c>
      <c r="S243" s="63" t="str">
        <f t="shared" si="25"/>
        <v>Ladd, R., Meek, P., &amp; Leung, L. K.-P. (2022). The influence of camera-trap flash type on the behavioural response, detection rate and individual recognition of Eld's deer. &lt;i&gt;Wildlife Research, 50&lt;/i&gt;(6), 475-483. &lt;a href="https://doi.org/10.1071/WR22055" target="_blank"&gt;https://doi.org/10.1071/WR22055&lt;/a&gt;&lt;span style="color:white"&gt;[.]{#ladd_et_al_2022}&lt;/span&gt;&lt;br&gt;&lt;br&gt;</v>
      </c>
      <c r="T243" s="64" t="str">
        <f t="shared" si="23"/>
        <v xml:space="preserve">    rtxt_ladd_et_al_2022: "&lt;a href=\"/08_references.html#ladd_et_al_2022\" target=\"_blank\"&gt;Ladd et al., 2022&lt;/a&gt;"</v>
      </c>
      <c r="U243" s="64" t="str">
        <f t="shared" si="22"/>
        <v xml:space="preserve">    rbib_ladd_et_al_2022: "Ladd, R., Meek, P., &amp; Leung, L. K.-P. (2022). The influence of camera-trap flash type on the behavioural response, detection rate and individual recognition of Eld's deer. *Wildlife Research, 50*(6), 475-483. &lt;https://doi.org/10.1071/WR22055&gt;"</v>
      </c>
      <c r="V243" s="64"/>
    </row>
    <row r="244" spans="1:22" ht="15.75">
      <c r="A244" s="64"/>
      <c r="B244" s="77" t="b">
        <v>1</v>
      </c>
      <c r="C244" s="77" t="b">
        <v>1</v>
      </c>
      <c r="D244" s="77" t="b">
        <v>0</v>
      </c>
      <c r="E244" s="64" t="s">
        <v>1904</v>
      </c>
      <c r="F244" s="64" t="s">
        <v>2987</v>
      </c>
      <c r="G244" s="64" t="s">
        <v>2986</v>
      </c>
      <c r="H244" s="64" t="s">
        <v>2986</v>
      </c>
      <c r="I244" s="64" t="b">
        <v>1</v>
      </c>
      <c r="J244" s="66" t="s">
        <v>2985</v>
      </c>
      <c r="K244" s="66" t="s">
        <v>3960</v>
      </c>
      <c r="L244" s="64" t="s">
        <v>4047</v>
      </c>
      <c r="M244" s="64" t="s">
        <v>5858</v>
      </c>
      <c r="N244" s="65" t="str">
        <f t="shared" si="24"/>
        <v>[Lahoz-Monfort, J. J., &amp; Magrath, M. J. L. (2021). A Comprehensive Overview of Technologies for Species and Habitat Monitoring and Conservation. &lt;i&gt;Bioscience, 71&lt;/i&gt;(10), 1038-1062. &lt;a target="_blank" href="https://doi.org/10.1093/biosci/biab073"&gt;{https://doi.org/10.1093/biosci/biab073}]{#lahoz_monfort_magrath_2021}&lt;br&gt;&lt;br&gt;</v>
      </c>
      <c r="O244" s="64" t="s">
        <v>2984</v>
      </c>
      <c r="P244" s="64" t="s">
        <v>984</v>
      </c>
      <c r="Q244" s="64" t="str">
        <f t="shared" si="20"/>
        <v>{{ rtxt_lahoz_monfort_magrath_2021 }}</v>
      </c>
      <c r="R244" s="64" t="str">
        <f t="shared" si="21"/>
        <v>{{ rbib_lahoz_monfort_magrath_2021 }}</v>
      </c>
      <c r="S244" s="63" t="str">
        <f t="shared" si="25"/>
        <v>Lahoz-Monfort, J. J., &amp; Magrath, M. J. L. (2021). A Comprehensive Overview of Technologies for Species and Habitat Monitoring and Conservation. &lt;i&gt;Bioscience, 71&lt;/i&gt;(10), 1038-1062. &lt;a href="https://doi.org/10.1093/biosci/biab073" target="_blank"&gt;https://doi.org/10.1093/biosci/biab073&lt;/a&gt;&lt;span style="color:white"&gt;[.]{#lahoz_monfort_magrath_2021}&lt;/span&gt;&lt;br&gt;&lt;br&gt;</v>
      </c>
      <c r="T244" s="64" t="str">
        <f t="shared" si="23"/>
        <v xml:space="preserve">    rtxt_lahoz_monfort_magrath_2021: "&lt;a href=\"/08_references.html#lahoz_monfort_magrath_2021\" target=\"_blank\"&gt;Lahoz-Monfort &amp; Magrath, 2021&lt;/a&gt;"</v>
      </c>
      <c r="U244" s="64" t="str">
        <f t="shared" si="22"/>
        <v xml:space="preserve">    rbib_lahoz_monfort_magrath_2021: "Lahoz-Monfort, J. J., &amp; Magrath, M. J. L. (2021). A Comprehensive Overview of Technologies for Species and Habitat Monitoring and Conservation. *Bioscience, 71*(10), 1038-1062. &lt;https://doi.org/10.1093/biosci/biab073&gt;"</v>
      </c>
      <c r="V244" s="64"/>
    </row>
    <row r="245" spans="1:22" ht="15.75">
      <c r="A245" s="64"/>
      <c r="B245" s="77" t="b">
        <v>1</v>
      </c>
      <c r="C245" s="77" t="b">
        <v>0</v>
      </c>
      <c r="D245" s="77" t="b">
        <v>0</v>
      </c>
      <c r="E245" s="64" t="s">
        <v>1904</v>
      </c>
      <c r="F245" s="64" t="s">
        <v>2983</v>
      </c>
      <c r="G245" s="64" t="s">
        <v>2982</v>
      </c>
      <c r="H245" s="64" t="s">
        <v>2982</v>
      </c>
      <c r="I245" s="64" t="b">
        <v>1</v>
      </c>
      <c r="J245" s="66" t="s">
        <v>2981</v>
      </c>
      <c r="K245" s="66" t="s">
        <v>3960</v>
      </c>
      <c r="L245" s="64" t="s">
        <v>4048</v>
      </c>
      <c r="M245" s="64" t="s">
        <v>6004</v>
      </c>
      <c r="N245" s="65" t="str">
        <f t="shared" si="24"/>
        <v>[Lambert, D. (1992). Zero-Inflated Poisson Regression, with an application to Defects in Manufacturing. &lt;i&gt;Technometrics, 34&lt;/i&gt;(1), 1-14. &lt;a target="_blank" href="https://doi.org/10.2307/1269547"&gt;{https://doi.org/10.2307/1269547}]{#lambert_1992}&lt;br&gt;&lt;br&gt;</v>
      </c>
      <c r="O245" s="64" t="s">
        <v>2980</v>
      </c>
      <c r="P245" s="64" t="s">
        <v>984</v>
      </c>
      <c r="Q245" s="64" t="str">
        <f t="shared" si="20"/>
        <v>{{ rtxt_lambert_1992 }}</v>
      </c>
      <c r="R245" s="64" t="str">
        <f t="shared" si="21"/>
        <v>{{ rbib_lambert_1992 }}</v>
      </c>
      <c r="S245" s="63" t="str">
        <f t="shared" si="25"/>
        <v>Lambert, D. (1992). Zero-Inflated Poisson Regression, with an application to Defects in Manufacturing. &lt;i&gt;Technometrics, 34&lt;/i&gt;(1), 1-14. &lt;a href="https://doi.org/10.2307/1269547" target="_blank"&gt;https://doi.org/10.2307/1269547&lt;/a&gt;&lt;span style="color:white"&gt;[.]{#lambert_1992}&lt;/span&gt;&lt;br&gt;&lt;br&gt;</v>
      </c>
      <c r="T245" s="64" t="str">
        <f t="shared" si="23"/>
        <v xml:space="preserve">    rtxt_lambert_1992: "&lt;a href=\"/08_references.html#lambert_1992\" target=\"_blank\"&gt;Lambert, 1992&lt;/a&gt;"</v>
      </c>
      <c r="U245" s="64" t="str">
        <f t="shared" si="22"/>
        <v xml:space="preserve">    rbib_lambert_1992: "Lambert, D. (1992). Zero-Inflated Poisson Regression, with an application to Defects in Manufacturing. *Technometrics, 34*(1), 1-14. &lt;https://doi.org/10.2307/1269547&gt;"</v>
      </c>
      <c r="V245" s="64"/>
    </row>
    <row r="246" spans="1:22" ht="15.75">
      <c r="A246" s="64"/>
      <c r="B246" s="77" t="b">
        <v>1</v>
      </c>
      <c r="C246" s="77" t="b">
        <v>1</v>
      </c>
      <c r="D246" s="77" t="b">
        <v>0</v>
      </c>
      <c r="E246" s="64" t="s">
        <v>1904</v>
      </c>
      <c r="F246" s="64" t="s">
        <v>2979</v>
      </c>
      <c r="G246" s="64" t="s">
        <v>2978</v>
      </c>
      <c r="H246" s="64" t="s">
        <v>2977</v>
      </c>
      <c r="I246" s="64" t="b">
        <v>1</v>
      </c>
      <c r="J246" s="66" t="s">
        <v>2976</v>
      </c>
      <c r="K246" s="66" t="s">
        <v>3960</v>
      </c>
      <c r="L246" s="64" t="s">
        <v>4049</v>
      </c>
      <c r="M246" s="64" t="s">
        <v>6001</v>
      </c>
      <c r="N246" s="65" t="str">
        <f t="shared" si="24"/>
        <v>[Lazenby, B. T., Mooney, N. J., &amp; Dickman, C. R. (2015). Detecting species interactions using remote cameras: Effects on small mammals of predators, conspecifics, and climate. &lt;i&gt;Ecosphere, 6&lt;/i&gt;(12), 1-18. &lt;a target="_blank" href="https://doi.org/10.1890/ES14-00522.1"&gt;{https://doi.org/10.1890/ES14-00522.1}]{#lazenby_et_al_2015}&lt;br&gt;&lt;br&gt;</v>
      </c>
      <c r="O246" s="64" t="s">
        <v>2975</v>
      </c>
      <c r="P246" s="64" t="s">
        <v>984</v>
      </c>
      <c r="Q246" s="64" t="str">
        <f t="shared" si="20"/>
        <v>{{ rtxt_lazenby_et_al_2015 }}</v>
      </c>
      <c r="R246" s="64" t="str">
        <f t="shared" si="21"/>
        <v>{{ rbib_lazenby_et_al_2015 }}</v>
      </c>
      <c r="S246" s="63" t="str">
        <f t="shared" si="25"/>
        <v>Lazenby, B. T., Mooney, N. J., &amp; Dickman, C. R. (2015). Detecting species interactions using remote cameras: Effects on small mammals of predators, conspecifics, and climate. &lt;i&gt;Ecosphere, 6&lt;/i&gt;(12), 1-18. &lt;a href="https://doi.org/10.1890/ES14-00522.1" target="_blank"&gt;https://doi.org/10.1890/ES14-00522.1&lt;/a&gt;&lt;span style="color:white"&gt;[.]{#lazenby_et_al_2015}&lt;/span&gt;&lt;br&gt;&lt;br&gt;</v>
      </c>
      <c r="T246" s="64" t="str">
        <f t="shared" si="23"/>
        <v xml:space="preserve">    rtxt_lazenby_et_al_2015: "&lt;a href=\"/08_references.html#lazenby_et_al_2015\" target=\"_blank\"&gt;Lazenby et al., 2015&lt;/a&gt;"</v>
      </c>
      <c r="U246" s="64" t="str">
        <f t="shared" si="22"/>
        <v xml:space="preserve">    rbib_lazenby_et_al_2015: "Lazenby, B. T., Mooney, N. J., &amp; Dickman, C. R. (2015). Detecting species interactions using remote cameras: Effects on small mammals of predators, conspecifics, and climate. *Ecosphere, 6*(12), 1-18. &lt;https://doi.org/10.1890/ES14-00522.1&gt;"</v>
      </c>
      <c r="V246" s="64"/>
    </row>
    <row r="247" spans="1:22" ht="15.75">
      <c r="A247" s="64"/>
      <c r="B247" s="77"/>
      <c r="C247" s="77"/>
      <c r="D247" s="77"/>
      <c r="E247" s="64" t="s">
        <v>1904</v>
      </c>
      <c r="F247" s="64" t="s">
        <v>2974</v>
      </c>
      <c r="G247" s="64" t="s">
        <v>2973</v>
      </c>
      <c r="H247" s="64" t="s">
        <v>2973</v>
      </c>
      <c r="I247" s="64" t="b">
        <v>1</v>
      </c>
      <c r="J247" s="66" t="s">
        <v>2972</v>
      </c>
      <c r="K247" s="66" t="s">
        <v>3960</v>
      </c>
      <c r="L247" s="64" t="s">
        <v>4050</v>
      </c>
      <c r="M247" s="64" t="s">
        <v>6007</v>
      </c>
      <c r="N247" s="65" t="str">
        <f t="shared" si="24"/>
        <v>[Le Cren, E. D. (1965). A Note on the History of Mark-Recapture Population Estimates. &lt;i&gt;The Journal of Animal Ecology, 34&lt;/i&gt;(2),453-54. &lt;a target="_blank" href="https://doi.org/10.2307/2661"&gt;{https://doi.org/10.2307/2661}]{#lecren_1965}&lt;br&gt;&lt;br&gt;</v>
      </c>
      <c r="O247" s="64" t="s">
        <v>2971</v>
      </c>
      <c r="P247" s="64" t="s">
        <v>984</v>
      </c>
      <c r="Q247" s="64" t="str">
        <f t="shared" si="20"/>
        <v>{{ rtxt_lecren_1965 }}</v>
      </c>
      <c r="R247" s="64" t="str">
        <f t="shared" si="21"/>
        <v>{{ rbib_lecren_1965 }}</v>
      </c>
      <c r="S247" s="63" t="str">
        <f t="shared" si="25"/>
        <v>Le Cren, E. D. (1965). A Note on the History of Mark-Recapture Population Estimates. &lt;i&gt;The Journal of Animal Ecology, 34&lt;/i&gt;(2),453-54. &lt;a href="https://doi.org/10.2307/2661" target="_blank"&gt;https://doi.org/10.2307/2661&lt;/a&gt;&lt;span style="color:white"&gt;[.]{#lecren_1965}&lt;/span&gt;&lt;br&gt;&lt;br&gt;</v>
      </c>
      <c r="T247" s="64" t="str">
        <f t="shared" si="23"/>
        <v xml:space="preserve">    rtxt_lecren_1965: "&lt;a href=\"/08_references.html#lecren_1965\" target=\"_blank\"&gt;Le Cren, 1965&lt;/a&gt;"</v>
      </c>
      <c r="U247" s="64" t="str">
        <f t="shared" si="22"/>
        <v xml:space="preserve">    rbib_lecren_1965: "Le Cren, E. D. (1965). A Note on the History of Mark-Recapture Population Estimates. *The Journal of Animal Ecology, 34*(2),453-54. &lt;https://doi.org/10.2307/2661&gt;"</v>
      </c>
      <c r="V247" s="64"/>
    </row>
    <row r="248" spans="1:22" ht="15.75">
      <c r="A248" s="64"/>
      <c r="B248" s="77" t="b">
        <v>0</v>
      </c>
      <c r="C248" s="77" t="b">
        <v>0</v>
      </c>
      <c r="D248" s="77" t="b">
        <v>1</v>
      </c>
      <c r="E248" s="64" t="s">
        <v>1904</v>
      </c>
      <c r="F248" s="64" t="s">
        <v>2970</v>
      </c>
      <c r="G248" s="64" t="s">
        <v>2969</v>
      </c>
      <c r="H248" s="64" t="s">
        <v>2969</v>
      </c>
      <c r="I248" s="64" t="b">
        <v>1</v>
      </c>
      <c r="J248" s="66" t="s">
        <v>2968</v>
      </c>
      <c r="K248" s="66" t="s">
        <v>3960</v>
      </c>
      <c r="L248" s="64" t="s">
        <v>4051</v>
      </c>
      <c r="M248" s="64" t="s">
        <v>5873</v>
      </c>
      <c r="N248" s="65" t="str">
        <f t="shared" si="24"/>
        <v>[Lele, S. R., Merrill, E. H., Keim, J., &amp; Boyce, M. S. (2013). Selection, use, choice and occupancy: Clarifying concepts in resource selection studies. &lt;i&gt;Journal of Animal Ecology, 82&lt;/i&gt;(6), 1183-1191. &lt;a target="_blank" href="https://doi.org/10.1111/1365-2656.12141"&gt;{https://doi.org/10.1111/1365-2656.12141}]{#lele_et_al_2013}&lt;br&gt;&lt;br&gt;</v>
      </c>
      <c r="O248" s="64" t="s">
        <v>2967</v>
      </c>
      <c r="P248" s="64" t="s">
        <v>984</v>
      </c>
      <c r="Q248" s="64" t="str">
        <f t="shared" si="20"/>
        <v>{{ rtxt_lele_et_al_2013 }}</v>
      </c>
      <c r="R248" s="64" t="str">
        <f t="shared" si="21"/>
        <v>{{ rbib_lele_et_al_2013 }}</v>
      </c>
      <c r="S248" s="63" t="str">
        <f t="shared" si="25"/>
        <v>Lele, S. R., Merrill, E. H., Keim, J., &amp; Boyce, M. S. (2013). Selection, use, choice and occupancy: Clarifying concepts in resource selection studies. &lt;i&gt;Journal of Animal Ecology, 82&lt;/i&gt;(6), 1183-1191. &lt;a href="https://doi.org/10.1111/1365-2656.12141" target="_blank"&gt;https://doi.org/10.1111/1365-2656.12141&lt;/a&gt;&lt;span style="color:white"&gt;[.]{#lele_et_al_2013}&lt;/span&gt;&lt;br&gt;&lt;br&gt;</v>
      </c>
      <c r="T248" s="64" t="str">
        <f t="shared" si="23"/>
        <v xml:space="preserve">    rtxt_lele_et_al_2013: "&lt;a href=\"/08_references.html#lele_et_al_2013\" target=\"_blank\"&gt;Lele et al., 2013&lt;/a&gt;"</v>
      </c>
      <c r="U248" s="64" t="str">
        <f t="shared" si="22"/>
        <v xml:space="preserve">    rbib_lele_et_al_2013: "Lele, S. R., Merrill, E. H., Keim, J., &amp; Boyce, M. S. (2013). Selection, use, choice and occupancy: Clarifying concepts in resource selection studies. *Journal of Animal Ecology, 82*(6), 1183-1191. &lt;https://doi.org/10.1111/1365-2656.12141&gt;"</v>
      </c>
      <c r="V248" s="64"/>
    </row>
    <row r="249" spans="1:22" ht="15.75">
      <c r="A249" s="64"/>
      <c r="B249" s="77"/>
      <c r="C249" s="77"/>
      <c r="D249" s="77"/>
      <c r="E249" s="64" t="s">
        <v>2246</v>
      </c>
      <c r="F249" s="64" t="s">
        <v>2966</v>
      </c>
      <c r="G249" s="64" t="s">
        <v>2965</v>
      </c>
      <c r="H249" s="64" t="s">
        <v>2965</v>
      </c>
      <c r="I249" s="64" t="b">
        <v>1</v>
      </c>
      <c r="J249" s="66" t="s">
        <v>2964</v>
      </c>
      <c r="K249" s="66" t="s">
        <v>3960</v>
      </c>
      <c r="L249" s="64" t="s">
        <v>4052</v>
      </c>
      <c r="M249" s="64" t="s">
        <v>5710</v>
      </c>
      <c r="N249" s="65" t="str">
        <f t="shared" si="24"/>
        <v>[Leroy, B. (2023). &lt;i&gt;Package ‘Rarity’: Calculation of Rarity Indices for Species and Assemblages of Species.&lt;/i&gt; R package version 1.3-8, &lt;a target="_blank" href="https://cran.r-project.org/web/packages/Rarity/"&gt;{https://cran.r-project.org/web/packages/Rarity/}]{#leroy_2023}&lt;br&gt;&lt;br&gt;</v>
      </c>
      <c r="O249" s="64" t="s">
        <v>2963</v>
      </c>
      <c r="P249" s="64" t="s">
        <v>984</v>
      </c>
      <c r="Q249" s="64" t="str">
        <f t="shared" si="20"/>
        <v>{{ rtxt_leroy_2023 }}</v>
      </c>
      <c r="R249" s="64" t="str">
        <f t="shared" si="21"/>
        <v>{{ rbib_leroy_2023 }}</v>
      </c>
      <c r="S249" s="63" t="str">
        <f t="shared" si="25"/>
        <v>Leroy, B. (2023). &lt;i&gt;Package ‘Rarity’: Calculation of Rarity Indices for Species and Assemblages of Species.&lt;/i&gt; R package version 1.3-8, &lt;a href="https://cran.r-project.org/web/packages/Rarity/" target="_blank"&gt;https://cran.r-project.org/web/packages/Rarity/&lt;/a&gt;&lt;span style="color:white"&gt;[.]{#leroy_2023}&lt;/span&gt;&lt;br&gt;&lt;br&gt;</v>
      </c>
      <c r="T249" s="64" t="str">
        <f t="shared" si="23"/>
        <v xml:space="preserve">    rtxt_leroy_2023: "&lt;a href=\"/08_references.html#leroy_2023\" target=\"_blank\"&gt;Leroy, 2023&lt;/a&gt;"</v>
      </c>
      <c r="U249" s="64" t="str">
        <f t="shared" si="22"/>
        <v xml:space="preserve">    rbib_leroy_2023: "Leroy, B. (2023). *Package ‘Rarity’: Calculation of Rarity Indices for Species and Assemblages of Species.* R package version 1.3-8, &lt;https://cran.r-project.org/web/packages/Rarity/&gt;"</v>
      </c>
      <c r="V249" s="64"/>
    </row>
    <row r="250" spans="1:22" ht="15.75">
      <c r="A250" s="64"/>
      <c r="B250" s="77"/>
      <c r="C250" s="77"/>
      <c r="D250" s="77"/>
      <c r="E250" s="64" t="s">
        <v>1950</v>
      </c>
      <c r="F250" s="64" t="s">
        <v>2962</v>
      </c>
      <c r="G250" s="64" t="s">
        <v>2961</v>
      </c>
      <c r="H250" s="64" t="s">
        <v>2961</v>
      </c>
      <c r="I250" s="64" t="b">
        <v>1</v>
      </c>
      <c r="J250" s="66" t="s">
        <v>2960</v>
      </c>
      <c r="K250" s="66" t="s">
        <v>3960</v>
      </c>
      <c r="L250" s="64" t="s">
        <v>4053</v>
      </c>
      <c r="M250" s="64" t="s">
        <v>5702</v>
      </c>
      <c r="N250" s="65" t="str">
        <f t="shared" si="24"/>
        <v>[Leroy, B. (2024). &lt;i&gt;Rarity Indices.&lt;/i&gt; &lt;a target="_blank" href="https://borisleroy.com/en/research/rarity-indices/"&gt;{https://borisleroy.com/en/research/rarity-indices/}]{#leroy_2024}&lt;br&gt;&lt;br&gt;</v>
      </c>
      <c r="O250" s="64" t="s">
        <v>2959</v>
      </c>
      <c r="P250" s="64" t="s">
        <v>984</v>
      </c>
      <c r="Q250" s="64" t="str">
        <f t="shared" si="20"/>
        <v>{{ rtxt_leroy_2024 }}</v>
      </c>
      <c r="R250" s="64" t="str">
        <f t="shared" si="21"/>
        <v>{{ rbib_leroy_2024 }}</v>
      </c>
      <c r="S250" s="63" t="str">
        <f t="shared" si="25"/>
        <v>Leroy, B. (2024). &lt;i&gt;Rarity Indices.&lt;/i&gt; &lt;a href="https://borisleroy.com/en/research/rarity-indices/" target="_blank"&gt;https://borisleroy.com/en/research/rarity-indices/&lt;/a&gt;&lt;span style="color:white"&gt;[.]{#leroy_2024}&lt;/span&gt;&lt;br&gt;&lt;br&gt;</v>
      </c>
      <c r="T250" s="64" t="str">
        <f t="shared" si="23"/>
        <v xml:space="preserve">    rtxt_leroy_2024: "&lt;a href=\"/08_references.html#leroy_2024\" target=\"_blank\"&gt;Leroy, 2024&lt;/a&gt;"</v>
      </c>
      <c r="U250" s="64" t="str">
        <f t="shared" si="22"/>
        <v xml:space="preserve">    rbib_leroy_2024: "Leroy, B. (2024). *Rarity Indices.* &lt;https://borisleroy.com/en/research/rarity-indices/&gt;"</v>
      </c>
      <c r="V250" s="64"/>
    </row>
    <row r="251" spans="1:22" ht="15.75">
      <c r="A251" s="64"/>
      <c r="B251" s="77"/>
      <c r="C251" s="77"/>
      <c r="D251" s="77"/>
      <c r="E251" s="64" t="s">
        <v>1904</v>
      </c>
      <c r="F251" s="64" t="s">
        <v>2958</v>
      </c>
      <c r="G251" s="64" t="s">
        <v>2957</v>
      </c>
      <c r="H251" s="64" t="s">
        <v>2957</v>
      </c>
      <c r="I251" s="64" t="b">
        <v>1</v>
      </c>
      <c r="J251" s="66" t="s">
        <v>2956</v>
      </c>
      <c r="K251" s="66" t="s">
        <v>3960</v>
      </c>
      <c r="L251" s="64" t="s">
        <v>4054</v>
      </c>
      <c r="M251" s="64" t="s">
        <v>5813</v>
      </c>
      <c r="N251" s="65" t="str">
        <f t="shared" si="24"/>
        <v>[Levitis, D. A., Lidicker, W. Z., &amp; Freund, G. (2009). Behavioural biologists don't agree on what constitutes behaviour. &lt;i&gt;Animal Behaviour, 78&lt;/i&gt;(1), 103-110. &lt;a target="_blank" href="https://doi.org/10.1016/j.anbehav.2009.03.018"&gt;{https://doi.org/10.1016/j.anbehav.2009.03.018}]{#levitis_et_al_2009}&lt;br&gt;&lt;br&gt;</v>
      </c>
      <c r="O251" s="64" t="s">
        <v>2955</v>
      </c>
      <c r="P251" s="64" t="s">
        <v>984</v>
      </c>
      <c r="Q251" s="64" t="str">
        <f t="shared" si="20"/>
        <v>{{ rtxt_levitis_et_al_2009 }}</v>
      </c>
      <c r="R251" s="64" t="str">
        <f t="shared" si="21"/>
        <v>{{ rbib_levitis_et_al_2009 }}</v>
      </c>
      <c r="S251" s="63" t="str">
        <f t="shared" si="25"/>
        <v>Levitis, D. A., Lidicker, W. Z., &amp; Freund, G. (2009). Behavioural biologists don't agree on what constitutes behaviour. &lt;i&gt;Animal Behaviour, 78&lt;/i&gt;(1), 103-110. &lt;a href="https://doi.org/10.1016/j.anbehav.2009.03.018" target="_blank"&gt;https://doi.org/10.1016/j.anbehav.2009.03.018&lt;/a&gt;&lt;span style="color:white"&gt;[.]{#levitis_et_al_2009}&lt;/span&gt;&lt;br&gt;&lt;br&gt;</v>
      </c>
      <c r="T251" s="64" t="str">
        <f t="shared" si="23"/>
        <v xml:space="preserve">    rtxt_levitis_et_al_2009: "&lt;a href=\"/08_references.html#levitis_et_al_2009\" target=\"_blank\"&gt;Levitis et al., 2009&lt;/a&gt;"</v>
      </c>
      <c r="U251" s="64" t="str">
        <f t="shared" si="22"/>
        <v xml:space="preserve">    rbib_levitis_et_al_2009: "Levitis, D. A., Lidicker, W. Z., &amp; Freund, G. (2009). Behavioural biologists don't agree on what constitutes behaviour. *Animal Behaviour, 78* (1), 103-110. &lt;https://doi.org/10.1016/j.anbehav.2009.03.018&gt;"</v>
      </c>
      <c r="V251" s="64"/>
    </row>
    <row r="252" spans="1:22" ht="15.75">
      <c r="A252" s="64"/>
      <c r="B252" s="77" t="b">
        <v>1</v>
      </c>
      <c r="C252" s="77" t="b">
        <v>0</v>
      </c>
      <c r="D252" s="77" t="b">
        <v>0</v>
      </c>
      <c r="E252" s="64" t="s">
        <v>1904</v>
      </c>
      <c r="F252" s="64" t="s">
        <v>2954</v>
      </c>
      <c r="G252" s="64" t="s">
        <v>2953</v>
      </c>
      <c r="H252" s="64" t="s">
        <v>2953</v>
      </c>
      <c r="I252" s="64" t="b">
        <v>1</v>
      </c>
      <c r="J252" s="66" t="s">
        <v>2952</v>
      </c>
      <c r="K252" s="66" t="s">
        <v>3960</v>
      </c>
      <c r="L252" s="64" t="s">
        <v>4055</v>
      </c>
      <c r="M252" s="64" t="s">
        <v>5773</v>
      </c>
      <c r="N252" s="65" t="str">
        <f t="shared" si="24"/>
        <v>[Li,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href="https://doi.org/10.1002/wsb.161"&gt;{https://doi.org/10.1002/wsb.161}]{#li_et_al_2012}&lt;br&gt;&lt;br&gt;</v>
      </c>
      <c r="O252" s="64" t="s">
        <v>2951</v>
      </c>
      <c r="P252" s="64" t="s">
        <v>984</v>
      </c>
      <c r="Q252" s="64" t="str">
        <f t="shared" si="20"/>
        <v>{{ rtxt_li_et_al_2012 }}</v>
      </c>
      <c r="R252" s="64" t="str">
        <f t="shared" si="21"/>
        <v>{{ rbib_li_et_al_2012 }}</v>
      </c>
      <c r="S252" s="63" t="str">
        <f t="shared" si="25"/>
        <v>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target="_blank"&gt;https://doi.org/10.1002/wsb.161&lt;/a&gt;&lt;span style="color:white"&gt;[.]{#li_et_al_2012}&lt;/span&gt;&lt;br&gt;&lt;br&gt;</v>
      </c>
      <c r="T252" s="64" t="str">
        <f t="shared" si="23"/>
        <v xml:space="preserve">    rtxt_li_et_al_2012: "&lt;a href=\"/08_references.html#li_et_al_2012\" target=\"_blank\"&gt;Li et al., 2012&lt;/a&gt;"</v>
      </c>
      <c r="U252" s="64" t="str">
        <f t="shared" si="22"/>
        <v xml:space="preserve">    rbib_li_et_al_2012: "Li, S., McShea, W. J., Wang, D. J., Huang, J. Z., &amp; Shao, L. K. (2012). A Direct Comparison of Camera-Trapping and Sign Transects for Monitoring Wildlife in the Wanglang National Nature Reserve, China. *Wildlife Society Bulletin, 36*(3), 538-545. &lt;https://doi.org/10.1002/wsb.161&gt;"</v>
      </c>
      <c r="V252" s="64"/>
    </row>
    <row r="253" spans="1:22" ht="15.75">
      <c r="A253" s="64"/>
      <c r="B253" s="77" t="b">
        <v>1</v>
      </c>
      <c r="C253" s="77" t="b">
        <v>0</v>
      </c>
      <c r="D253" s="77" t="b">
        <v>0</v>
      </c>
      <c r="E253" s="64" t="s">
        <v>1904</v>
      </c>
      <c r="F253" s="64" t="s">
        <v>2950</v>
      </c>
      <c r="G253" s="64" t="s">
        <v>2949</v>
      </c>
      <c r="H253" s="64" t="s">
        <v>2949</v>
      </c>
      <c r="I253" s="64" t="b">
        <v>1</v>
      </c>
      <c r="J253" s="66" t="s">
        <v>2948</v>
      </c>
      <c r="K253" s="66" t="s">
        <v>3960</v>
      </c>
      <c r="L253" s="64" t="s">
        <v>4056</v>
      </c>
      <c r="M253" s="64" t="s">
        <v>5882</v>
      </c>
      <c r="N253" s="65" t="str">
        <f t="shared" si="24"/>
        <v>[Linden, D. W., Fuller, A. K., Royle, J. A., &amp; Hare, M. P. (2017). Examining the occupancy-Density relationship for a low‐Density carnivore. &lt;i&gt;Journal of Applied Ecology, 54&lt;/i&gt;(6), 2043-2052. &lt;a target="_blank" href="https://doi.org/10.1111/1365-2664.12883"&gt;{https://doi.org/10.1111/1365-2664.12883}]{#linden_et_al_2017}&lt;br&gt;&lt;br&gt;</v>
      </c>
      <c r="O253" s="64" t="s">
        <v>2947</v>
      </c>
      <c r="P253" s="64" t="s">
        <v>984</v>
      </c>
      <c r="Q253" s="64" t="str">
        <f t="shared" si="20"/>
        <v>{{ rtxt_linden_et_al_2017 }}</v>
      </c>
      <c r="R253" s="64" t="str">
        <f t="shared" si="21"/>
        <v>{{ rbib_linden_et_al_2017 }}</v>
      </c>
      <c r="S253" s="63" t="str">
        <f t="shared" si="25"/>
        <v>Linden, D. W., Fuller, A. K., Royle, J. A., &amp; Hare, M. P. (2017). Examining the occupancy-Density relationship for a low‐Density carnivore. &lt;i&gt;Journal of Applied Ecology, 54&lt;/i&gt;(6), 2043-2052. &lt;a href="https://doi.org/10.1111/1365-2664.12883" target="_blank"&gt;https://doi.org/10.1111/1365-2664.12883&lt;/a&gt;&lt;span style="color:white"&gt;[.]{#linden_et_al_2017}&lt;/span&gt;&lt;br&gt;&lt;br&gt;</v>
      </c>
      <c r="T253" s="64" t="str">
        <f t="shared" si="23"/>
        <v xml:space="preserve">    rtxt_linden_et_al_2017: "&lt;a href=\"/08_references.html#linden_et_al_2017\" target=\"_blank\"&gt;Linden et al., 2017&lt;/a&gt;"</v>
      </c>
      <c r="U253" s="64" t="str">
        <f t="shared" si="22"/>
        <v xml:space="preserve">    rbib_linden_et_al_2017: "Linden, D. W., Fuller, A. K., Royle, J. A., &amp; Hare, M. P. (2017). Examining the occupancy-Density relationship for a low‐Density carnivore. *Journal of Applied Ecology, 54*(6), 2043-2052. &lt;https://doi.org/10.1111/1365-2664.12883&gt;"</v>
      </c>
      <c r="V253" s="64"/>
    </row>
    <row r="254" spans="1:22" ht="15.75">
      <c r="A254" s="64"/>
      <c r="B254" s="77"/>
      <c r="C254" s="77"/>
      <c r="D254" s="77"/>
      <c r="E254" s="64" t="s">
        <v>2946</v>
      </c>
      <c r="F254" s="64" t="s">
        <v>2945</v>
      </c>
      <c r="G254" s="64" t="s">
        <v>2944</v>
      </c>
      <c r="H254" s="64" t="s">
        <v>2944</v>
      </c>
      <c r="I254" s="64" t="b">
        <v>1</v>
      </c>
      <c r="J254" s="66" t="s">
        <v>2943</v>
      </c>
      <c r="K254" s="66" t="s">
        <v>3960</v>
      </c>
      <c r="L254" s="64" t="s">
        <v>4057</v>
      </c>
      <c r="M254" s="64" t="s">
        <v>6080</v>
      </c>
      <c r="N254" s="65" t="str">
        <f t="shared" si="24"/>
        <v>[Loonam,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href="https://scholarworks.umt.edu/cgi/viewcontent.cgi?article=12550&amp;context=etd"&gt;{https://scholarworks.umt.edu/cgi/viewcontent.cgi?article=12550&amp;context=etd}]{#loonam_2019}&lt;br&gt;&lt;br&gt;</v>
      </c>
      <c r="O254" s="64" t="s">
        <v>2942</v>
      </c>
      <c r="P254" s="64" t="s">
        <v>984</v>
      </c>
      <c r="Q254" s="64" t="str">
        <f t="shared" si="20"/>
        <v>{{ rtxt_loonam_2019 }}</v>
      </c>
      <c r="R254" s="64" t="str">
        <f t="shared" si="21"/>
        <v>{{ rbib_loonam_2019 }}</v>
      </c>
      <c r="S254" s="63" t="str">
        <f t="shared" si="25"/>
        <v>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target="_blank"&gt;https://scholarworks.umt.edu/cgi/viewcontent.cgi?article=12550&amp;context=etd&lt;/a&gt;&lt;span style="color:white"&gt;[.]{#loonam_2019}&lt;/span&gt;&lt;br&gt;&lt;br&gt;</v>
      </c>
      <c r="T254" s="64" t="str">
        <f t="shared" si="23"/>
        <v xml:space="preserve">    rtxt_loonam_2019: "&lt;a href=\"/08_references.html#loonam_2019\" target=\"_blank\"&gt;Loonam, 2019&lt;/a&gt;"</v>
      </c>
      <c r="U254" s="64" t="str">
        <f t="shared" si="22"/>
        <v xml:space="preserve">    rbib_loonam_2019: "Loonam, K. E. (2019). *Assessing the Robustness of Time-to-Event Abundance Estimation* [Thesis: Master of Science in Wildlife Biology, University of Montana]. &lt;https://scholarworks.umt.edu/cgi/viewcontent.cgi?article=12550&amp;context=etd&gt;"</v>
      </c>
      <c r="V254" s="64"/>
    </row>
    <row r="255" spans="1:22" ht="15.75">
      <c r="A255" s="64"/>
      <c r="B255" s="77"/>
      <c r="C255" s="77"/>
      <c r="D255" s="77"/>
      <c r="E255" s="64" t="s">
        <v>1904</v>
      </c>
      <c r="F255" s="64" t="s">
        <v>2941</v>
      </c>
      <c r="G255" s="64" t="s">
        <v>2940</v>
      </c>
      <c r="H255" s="64" t="s">
        <v>2940</v>
      </c>
      <c r="I255" s="64" t="b">
        <v>1</v>
      </c>
      <c r="J255" s="65" t="s">
        <v>2939</v>
      </c>
      <c r="K255" s="66" t="s">
        <v>3960</v>
      </c>
      <c r="L255" s="64" t="s">
        <v>4058</v>
      </c>
      <c r="M255" s="64" t="s">
        <v>5751</v>
      </c>
      <c r="N255" s="65" t="str">
        <f t="shared" si="24"/>
        <v>[Loonam, K. E., Ausband, D. E., Lukacs, P. M., Mitchell, M. S., &amp; Robinson, H. S. (2021a). Estimating Abundance of an Unmarked, Low‐Density Species using Cameras. &lt;i&gt;The Journal of Wildlife Management, 85&lt;/i&gt;(1), 87-96. &lt;a target="_blank" href="https://doi.org/10.1002/jwmg.21950"&gt;{https://doi.org/10.1002/jwmg.21950}]{#loonam_et_al_2021a}&lt;br&gt;&lt;br&gt;</v>
      </c>
      <c r="O255" s="64" t="s">
        <v>2938</v>
      </c>
      <c r="P255" s="64" t="s">
        <v>984</v>
      </c>
      <c r="Q255" s="64" t="str">
        <f t="shared" si="20"/>
        <v>{{ rtxt_loonam_et_al_2021a }}</v>
      </c>
      <c r="R255" s="64" t="str">
        <f t="shared" si="21"/>
        <v>{{ rbib_loonam_et_al_2021a }}</v>
      </c>
      <c r="S255" s="63" t="str">
        <f t="shared" si="25"/>
        <v>Loonam, K. E., Ausband, D. E., Lukacs, P. M., Mitchell, M. S., &amp; Robinson, H. S. (2021a). Estimating Abundance of an Unmarked, Low‐Density Species using Cameras. &lt;i&gt;The Journal of Wildlife Management, 85&lt;/i&gt;(1), 87-96. &lt;a href="https://doi.org/10.1002/jwmg.21950" target="_blank"&gt;https://doi.org/10.1002/jwmg.21950&lt;/a&gt;&lt;span style="color:white"&gt;[.]{#loonam_et_al_2021a}&lt;/span&gt;&lt;br&gt;&lt;br&gt;</v>
      </c>
      <c r="T255" s="64" t="str">
        <f t="shared" si="23"/>
        <v xml:space="preserve">    rtxt_loonam_et_al_2021a: "&lt;a href=\"/08_references.html#loonam_et_al_2021a\" target=\"_blank\"&gt;Loonam et al., 2021a&lt;/a&gt;"</v>
      </c>
      <c r="U255" s="64" t="str">
        <f t="shared" si="22"/>
        <v xml:space="preserve">    rbib_loonam_et_al_2021a: "Loonam, K. E., Ausband, D. E., Lukacs, P. M., Mitchell, M. S., &amp; Robinson, H. S. (2021a). Estimating Abundance of an Unmarked, Low‐Density Species using Cameras. *The Journal of Wildlife Management, 85*(1), 87-96. &lt;https://doi.org/10.1002/jwmg.21950&gt;"</v>
      </c>
      <c r="V255" s="64"/>
    </row>
    <row r="256" spans="1:22" ht="15.75">
      <c r="A256" s="64"/>
      <c r="B256" s="77" t="b">
        <v>1</v>
      </c>
      <c r="C256" s="77" t="b">
        <v>0</v>
      </c>
      <c r="D256" s="77" t="b">
        <v>0</v>
      </c>
      <c r="E256" s="64" t="s">
        <v>1904</v>
      </c>
      <c r="F256" s="64" t="s">
        <v>2937</v>
      </c>
      <c r="G256" s="64" t="s">
        <v>2936</v>
      </c>
      <c r="H256" s="64" t="s">
        <v>2936</v>
      </c>
      <c r="I256" s="64" t="b">
        <v>1</v>
      </c>
      <c r="J256" s="66" t="s">
        <v>2935</v>
      </c>
      <c r="K256" s="66" t="s">
        <v>3960</v>
      </c>
      <c r="L256" s="64" t="s">
        <v>4059</v>
      </c>
      <c r="M256" s="64" t="s">
        <v>5722</v>
      </c>
      <c r="N256" s="65" t="str">
        <f t="shared" si="24"/>
        <v>[Loonam,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href="https://doi.org/10.1002/eap.2388"&gt;{https://doi.org/10.1002/eap.2388}]{#loonam_et_al_2021b}&lt;br&gt;&lt;br&gt;</v>
      </c>
      <c r="O256" s="64" t="s">
        <v>2934</v>
      </c>
      <c r="P256" s="64" t="s">
        <v>984</v>
      </c>
      <c r="Q256" s="64" t="str">
        <f t="shared" si="20"/>
        <v>{{ rtxt_loonam_et_al_2021b }}</v>
      </c>
      <c r="R256" s="64" t="str">
        <f t="shared" si="21"/>
        <v>{{ rbib_loonam_et_al_2021b }}</v>
      </c>
      <c r="S256" s="63" t="str">
        <f t="shared" si="25"/>
        <v>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target="_blank"&gt;https://doi.org/10.1002/eap.2388&lt;/a&gt;&lt;span style="color:white"&gt;[.]{#loonam_et_al_2021b}&lt;/span&gt;&lt;br&gt;&lt;br&gt;</v>
      </c>
      <c r="T256" s="64" t="str">
        <f t="shared" si="23"/>
        <v xml:space="preserve">    rtxt_loonam_et_al_2021b: "&lt;a href=\"/08_references.html#loonam_et_al_2021b\" target=\"_blank\"&gt;Loonam et al., 2021b&lt;/a&gt;"</v>
      </c>
      <c r="U256" s="64" t="str">
        <f t="shared" si="22"/>
        <v xml:space="preserve">    rbib_loonam_et_al_2021b: "Loonam, K. E., Lukacs, P. M., Ausband, D. E., Mitchell, M. S., &amp; Robinson, H. S. (2021b). Assessing the robustness of time-to-event models for estimating unmarked wildlife abundance using remote cameras. *Ecological Applications, 31*(6), Article e02388. &lt;https://doi.org/10.1002/eap.2388&gt;"</v>
      </c>
      <c r="V256" s="64"/>
    </row>
    <row r="257" spans="1:22" ht="15.75">
      <c r="A257" s="64"/>
      <c r="B257" s="77" t="b">
        <v>0</v>
      </c>
      <c r="C257" s="77" t="b">
        <v>0</v>
      </c>
      <c r="D257" s="77"/>
      <c r="E257" s="64" t="s">
        <v>1939</v>
      </c>
      <c r="F257" s="64" t="s">
        <v>2933</v>
      </c>
      <c r="G257" s="64" t="s">
        <v>2932</v>
      </c>
      <c r="H257" s="64" t="s">
        <v>2932</v>
      </c>
      <c r="I257" s="64" t="b">
        <v>1</v>
      </c>
      <c r="J257" s="66" t="s">
        <v>2931</v>
      </c>
      <c r="K257" s="66" t="s">
        <v>3960</v>
      </c>
      <c r="L257" s="64" t="s">
        <v>4060</v>
      </c>
      <c r="M257" s="64" t="s">
        <v>6125</v>
      </c>
      <c r="N257" s="65" t="str">
        <f t="shared" si="24"/>
        <v>[Loreau,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href="https://www.researchgate.net/publication/285953769_The_challenges_of_biodiversity_science"&gt;{https://www.researchgate.net/publication/285953769_The_challenges_of_biodiversity_science}]{#loreau_2010}&lt;br&gt;&lt;br&gt;</v>
      </c>
      <c r="O257" s="64" t="s">
        <v>2930</v>
      </c>
      <c r="P257" s="64" t="s">
        <v>984</v>
      </c>
      <c r="Q257" s="64" t="str">
        <f t="shared" si="20"/>
        <v>{{ rtxt_loreau_2010 }}</v>
      </c>
      <c r="R257" s="64" t="str">
        <f t="shared" si="21"/>
        <v>{{ rbib_loreau_2010 }}</v>
      </c>
      <c r="S257" s="63" t="str">
        <f t="shared" si="25"/>
        <v>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target="_blank"&gt;https://www.researchgate.net/publication/285953769_The_challenges_of_biodiversity_science&lt;/a&gt;&lt;span style="color:white"&gt;[.]{#loreau_2010}&lt;/span&gt;&lt;br&gt;&lt;br&gt;</v>
      </c>
      <c r="T257" s="64" t="str">
        <f t="shared" si="23"/>
        <v xml:space="preserve">    rtxt_loreau_2010: "&lt;a href=\"/08_references.html#loreau_2010\" target=\"_blank\"&gt;Loreau, 2010&lt;/a&gt;"</v>
      </c>
      <c r="U257" s="64" t="str">
        <f t="shared" si="22"/>
        <v xml:space="preserve">    rbib_loreau_2010: "Loreau,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v>
      </c>
      <c r="V257" s="64"/>
    </row>
    <row r="258" spans="1:22" ht="15.75">
      <c r="A258" s="64"/>
      <c r="B258" s="77"/>
      <c r="C258" s="77"/>
      <c r="D258" s="77"/>
      <c r="E258" s="64" t="s">
        <v>2929</v>
      </c>
      <c r="F258" s="64" t="s">
        <v>2928</v>
      </c>
      <c r="G258" s="64" t="s">
        <v>2927</v>
      </c>
      <c r="H258" s="64" t="s">
        <v>2927</v>
      </c>
      <c r="I258" s="64" t="b">
        <v>1</v>
      </c>
      <c r="J258" s="66" t="s">
        <v>3967</v>
      </c>
      <c r="K258" s="66" t="s">
        <v>3960</v>
      </c>
      <c r="L258" s="64" t="s">
        <v>4298</v>
      </c>
      <c r="M258" s="64" t="s">
        <v>6088</v>
      </c>
      <c r="N258" s="65" t="str">
        <f t="shared" si="24"/>
        <v>[Lukacs,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lukacs_2021}&lt;br&gt;&lt;br&gt;</v>
      </c>
      <c r="O258" s="64" t="s">
        <v>2926</v>
      </c>
      <c r="P258" s="64" t="s">
        <v>984</v>
      </c>
      <c r="Q258" s="64" t="str">
        <f t="shared" ref="Q258:Q321" si="26">"{{ rtxt_"&amp;F258&amp;" }}"</f>
        <v>{{ rtxt_lukacs_2021 }}</v>
      </c>
      <c r="R258" s="64" t="str">
        <f t="shared" ref="R258:R321" si="27">"{{ rbib_"&amp;F258&amp;" }}"</f>
        <v>{{ rbib_lukacs_2021 }}</v>
      </c>
      <c r="S258" s="63" t="str">
        <f t="shared" si="25"/>
        <v>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style="color:white"&gt;[.]{#lukacs_2021}&lt;/span&gt;&lt;br&gt;&lt;br&gt;</v>
      </c>
      <c r="T258" s="64" t="str">
        <f t="shared" si="23"/>
        <v xml:space="preserve">    rtxt_lukacs_2021: "&lt;a href=\"/08_references.html#lukacs_2021\" target=\"_blank\"&gt;Lukacs, 2021&lt;/a&gt;"</v>
      </c>
      <c r="U258" s="64" t="str">
        <f t="shared" ref="U258:U321" si="28">"    rbib_"&amp;F258&amp;": "&amp;""""&amp;J258&amp;""""</f>
        <v xml:space="preserve">    rbib_lukacs_2021: "Lukacs, P. M. (2021, Oct 26).*Animal Abundance from Camera Data:Pipe Dream to Main Stream.* Presented at the FCFC Seminar. &lt;https://umontana.zoom.us/rec/play/eY6_CAjDNUjCAfFrmRvJH8NtrL4J38I46T5idY4gO3i1YHqxBnDUrDeufvgAps-D-aFJFJ_F9AMuE6k.VjerQ5kRpa5HsybV&gt;"</v>
      </c>
      <c r="V258" s="64"/>
    </row>
    <row r="259" spans="1:22" ht="15.75">
      <c r="A259" s="64"/>
      <c r="B259" s="77" t="b">
        <v>1</v>
      </c>
      <c r="C259" s="77" t="b">
        <v>1</v>
      </c>
      <c r="D259" s="77" t="b">
        <v>0</v>
      </c>
      <c r="E259" s="64" t="s">
        <v>1904</v>
      </c>
      <c r="F259" s="64" t="s">
        <v>2925</v>
      </c>
      <c r="G259" s="64" t="s">
        <v>2924</v>
      </c>
      <c r="H259" s="64" t="s">
        <v>2923</v>
      </c>
      <c r="I259" s="64" t="b">
        <v>1</v>
      </c>
      <c r="J259" s="66" t="s">
        <v>2922</v>
      </c>
      <c r="K259" s="66" t="s">
        <v>3960</v>
      </c>
      <c r="L259" s="64" t="s">
        <v>4061</v>
      </c>
      <c r="M259" s="64" t="s">
        <v>5891</v>
      </c>
      <c r="N259" s="65" t="str">
        <f t="shared" si="24"/>
        <v>[Lynch, T. P., Alderman, R., &amp; Hobday, A. J. (2015). A high-resolution panorama camera system for monitoring colony-wide seabird nesting behaviour. &lt;i&gt;Methods in Ecology and Evolution, 6&lt;/i&gt;(5), 491-499. &lt;a target="_blank" href="https://doi.org/10.1111/2041-210X.12339"&gt;{https://doi.org/10.1111/2041-210X.12339}]{#lynch_et_al_2015}&lt;br&gt;&lt;br&gt;</v>
      </c>
      <c r="O259" s="64" t="s">
        <v>2921</v>
      </c>
      <c r="P259" s="64" t="s">
        <v>984</v>
      </c>
      <c r="Q259" s="64" t="str">
        <f t="shared" si="26"/>
        <v>{{ rtxt_lynch_et_al_2015 }}</v>
      </c>
      <c r="R259" s="64" t="str">
        <f t="shared" si="27"/>
        <v>{{ rbib_lynch_et_al_2015 }}</v>
      </c>
      <c r="S259" s="63" t="str">
        <f t="shared" si="25"/>
        <v>Lynch, T. P., Alderman, R., &amp; Hobday, A. J. (2015). A high-resolution panorama camera system for monitoring colony-wide seabird nesting behaviour. &lt;i&gt;Methods in Ecology and Evolution, 6&lt;/i&gt;(5), 491-499. &lt;a href="https://doi.org/10.1111/2041-210X.12339" target="_blank"&gt;https://doi.org/10.1111/2041-210X.12339&lt;/a&gt;&lt;span style="color:white"&gt;[.]{#lynch_et_al_2015}&lt;/span&gt;&lt;br&gt;&lt;br&gt;</v>
      </c>
      <c r="T259" s="64" t="str">
        <f t="shared" ref="T259:T322" si="29">"    rtxt_"&amp;F259&amp;": "&amp;""""&amp;"&lt;a href=\"&amp;""""&amp;"/08_references.html#"&amp;F259&amp;"\"&amp;""""&amp;" target=\"&amp;""""&amp;"_blank\"&amp;""""&amp;"&gt;"&amp;G259&amp;"&lt;/a&gt;"&amp;""""</f>
        <v xml:space="preserve">    rtxt_lynch_et_al_2015: "&lt;a href=\"/08_references.html#lynch_et_al_2015\" target=\"_blank\"&gt;Lynch et al., 2015&lt;/a&gt;"</v>
      </c>
      <c r="U259" s="64" t="str">
        <f t="shared" si="28"/>
        <v xml:space="preserve">    rbib_lynch_et_al_2015: "Lynch, T. P., Alderman, R., &amp; Hobday, A. J. (2015). A high-resolution panorama camera system for monitoring colony-wide seabird nesting behaviour. *Methods in Ecology and Evolution, 6*(5), 491-499. &lt;https://doi.org/10.1111/2041-210X.12339&gt;"</v>
      </c>
      <c r="V259" s="64"/>
    </row>
    <row r="260" spans="1:22" ht="15.75">
      <c r="A260" s="64"/>
      <c r="B260" s="77" t="b">
        <v>1</v>
      </c>
      <c r="C260" s="77" t="b">
        <v>1</v>
      </c>
      <c r="D260" s="77" t="b">
        <v>1</v>
      </c>
      <c r="E260" s="64" t="s">
        <v>1904</v>
      </c>
      <c r="F260" s="64" t="s">
        <v>2899</v>
      </c>
      <c r="G260" s="64" t="s">
        <v>2898</v>
      </c>
      <c r="H260" s="64" t="s">
        <v>2898</v>
      </c>
      <c r="I260" s="64" t="b">
        <v>1</v>
      </c>
      <c r="J260" s="66" t="s">
        <v>2897</v>
      </c>
      <c r="K260" s="66" t="s">
        <v>3960</v>
      </c>
      <c r="L260" s="64" t="s">
        <v>4062</v>
      </c>
      <c r="M260" s="64" t="s">
        <v>5987</v>
      </c>
      <c r="N260" s="65" t="str">
        <f t="shared" si="24"/>
        <v>[MacKenzie, D. I., &amp; Kendall, W. L. (2002) How Should Detection Probability Be Incorporated into Estimates of Relative Abundance? &lt;i&gt;Ecology, 83&lt;/i&gt;(9), 2387-93. &lt;a target="_blank" href="https://doi.org/10.1890/0012-9658(2002)083[2387:HSDPBI]2.0.CO;2"&gt;{https://doi.org/10.1890/0012-9658(2002)083[2387:HSDPBI]2.0.CO;2}]{#mackenzie_kendall_2002}&lt;br&gt;&lt;br&gt;</v>
      </c>
      <c r="O260" s="64" t="s">
        <v>2896</v>
      </c>
      <c r="P260" s="64" t="s">
        <v>984</v>
      </c>
      <c r="Q260" s="64" t="str">
        <f t="shared" si="26"/>
        <v>{{ rtxt_mackenzie_kendall_2002 }}</v>
      </c>
      <c r="R260" s="64" t="str">
        <f t="shared" si="27"/>
        <v>{{ rbib_mackenzie_kendall_2002 }}</v>
      </c>
      <c r="S260" s="63" t="str">
        <f t="shared" si="25"/>
        <v>MacKenzie, D. I., &amp; Kendall, W. L. (2002) How Should Detection Probability Be Incorporated into Estimates of Relative Abundance? &lt;i&gt;Ecology, 83&lt;/i&gt;(9), 2387-93. &lt;a href="https://doi.org/10.1890/0012-9658(2002)083[2387:HSDPBI]2.0.CO;2" target="_blank"&gt;https://doi.org/10.1890/0012-9658(2002)083[2387:HSDPBI]2.0.CO;2&lt;/a&gt;&lt;span style="color:white"&gt;[.]{#mackenzie_kendall_2002}&lt;/span&gt;&lt;br&gt;&lt;br&gt;</v>
      </c>
      <c r="T260" s="64" t="str">
        <f t="shared" si="29"/>
        <v xml:space="preserve">    rtxt_mackenzie_kendall_2002: "&lt;a href=\"/08_references.html#mackenzie_kendall_2002\" target=\"_blank\"&gt;MacKenzie &amp; Kendall, 2002&lt;/a&gt;"</v>
      </c>
      <c r="U260" s="64" t="str">
        <f t="shared" si="28"/>
        <v xml:space="preserve">    rbib_mackenzie_kendall_2002: "MacKenzie, D. I., &amp; Kendall, W. L. (2002) How Should Detection Probability Be Incorporated into Estimates of Relative Abundance? *Ecology, 83*(9), 2387-93. &lt;https://doi.org/10.1890/0012-9658(2002)083[2387:HSDPBI]2.0.CO;2&gt;"</v>
      </c>
      <c r="V260" s="64"/>
    </row>
    <row r="261" spans="1:22" ht="15.75">
      <c r="A261" s="64"/>
      <c r="B261" s="77" t="b">
        <v>1</v>
      </c>
      <c r="C261" s="77" t="b">
        <v>0</v>
      </c>
      <c r="D261" s="77" t="b">
        <v>1</v>
      </c>
      <c r="E261" s="64" t="s">
        <v>1904</v>
      </c>
      <c r="F261" s="64" t="s">
        <v>2895</v>
      </c>
      <c r="G261" s="64" t="s">
        <v>2894</v>
      </c>
      <c r="H261" s="64" t="s">
        <v>2894</v>
      </c>
      <c r="I261" s="64" t="b">
        <v>1</v>
      </c>
      <c r="J261" s="66" t="s">
        <v>2893</v>
      </c>
      <c r="K261" s="66" t="s">
        <v>3960</v>
      </c>
      <c r="L261" s="64" t="s">
        <v>4063</v>
      </c>
      <c r="M261" s="64" t="s">
        <v>5922</v>
      </c>
      <c r="N261" s="65" t="str">
        <f t="shared" ref="N261:N324" si="30">"["&amp;L261&amp;"]{#"&amp;F261&amp;"}&lt;br&gt;&lt;br&gt;"</f>
        <v>[Mackenzie, D. I., &amp; Royle, J. A. (2005). Designing occupancy studies: general advice and allocating Survey effort. &lt;i&gt;Journal of Applied Ecology, 42&lt;/i&gt;, 1105-1114. &lt;a target="_blank" href="https://doi.org/10.1111/j.1365-2664.2005.01098.x"&gt;{https://doi.org/10.1111/j.1365-2664.2005.01098.x}]{#mackenzie_royle_2005}&lt;br&gt;&lt;br&gt;</v>
      </c>
      <c r="O261" s="64" t="s">
        <v>2892</v>
      </c>
      <c r="P261" s="64" t="s">
        <v>984</v>
      </c>
      <c r="Q261" s="64" t="str">
        <f t="shared" si="26"/>
        <v>{{ rtxt_mackenzie_royle_2005 }}</v>
      </c>
      <c r="R261" s="64" t="str">
        <f t="shared" si="27"/>
        <v>{{ rbib_mackenzie_royle_2005 }}</v>
      </c>
      <c r="S261" s="63" t="str">
        <f t="shared" si="25"/>
        <v>Mackenzie, D. I., &amp; Royle, J. A. (2005). Designing occupancy studies: general advice and allocating Survey effort. &lt;i&gt;Journal of Applied Ecology, 42&lt;/i&gt;, 1105-1114. &lt;a href="https://doi.org/10.1111/j.1365-2664.2005.01098.x" target="_blank"&gt;https://doi.org/10.1111/j.1365-2664.2005.01098.x&lt;/a&gt;&lt;span style="color:white"&gt;[.]{#mackenzie_royle_2005}&lt;/span&gt;&lt;br&gt;&lt;br&gt;</v>
      </c>
      <c r="T261" s="64" t="str">
        <f t="shared" si="29"/>
        <v xml:space="preserve">    rtxt_mackenzie_royle_2005: "&lt;a href=\"/08_references.html#mackenzie_royle_2005\" target=\"_blank\"&gt;Mackenzie &amp; Royle, 2005&lt;/a&gt;"</v>
      </c>
      <c r="U261" s="64" t="str">
        <f t="shared" si="28"/>
        <v xml:space="preserve">    rbib_mackenzie_royle_2005: "Mackenzie, D. I., &amp; Royle, J. A. (2005). Designing occupancy studies: general advice and allocating Survey effort. *Journal of Applied Ecology, 42*, 1105-1114. &lt;https://doi.org/10.1111/j.1365-2664.2005.01098.x&gt;"</v>
      </c>
      <c r="V261" s="64"/>
    </row>
    <row r="262" spans="1:22" ht="15.75">
      <c r="A262" s="64"/>
      <c r="B262" s="77" t="b">
        <v>1</v>
      </c>
      <c r="C262" s="77" t="b">
        <v>0</v>
      </c>
      <c r="D262" s="77" t="b">
        <v>0</v>
      </c>
      <c r="E262" s="64" t="s">
        <v>1904</v>
      </c>
      <c r="F262" s="64" t="s">
        <v>2912</v>
      </c>
      <c r="G262" s="64" t="s">
        <v>2911</v>
      </c>
      <c r="H262" s="64" t="s">
        <v>2910</v>
      </c>
      <c r="I262" s="64" t="b">
        <v>1</v>
      </c>
      <c r="J262" s="66" t="s">
        <v>2909</v>
      </c>
      <c r="K262" s="66" t="s">
        <v>3960</v>
      </c>
      <c r="L262" s="64" t="s">
        <v>4064</v>
      </c>
      <c r="M262" s="64" t="s">
        <v>5920</v>
      </c>
      <c r="N262" s="65" t="str">
        <f t="shared" si="30"/>
        <v>[MacKenzie, D. I., Bailey, L. L., &amp; Nichols, J. D. (2004). Investigating Species Co-Occurrence Patterns When Species Are Detected Imperfectly. &lt;i&gt;Journal of Animal Ecology, 73&lt;/i&gt;(3), 546-555. &lt;a target="_blank" href="https://doi.org/10.1111/j.0021-8790.2004.00828.x"&gt;{https://doi.org/10.1111/j.0021-8790.2004.00828.x}]{#mackenzie_et_al_2004}&lt;br&gt;&lt;br&gt;</v>
      </c>
      <c r="O262" s="64" t="s">
        <v>2908</v>
      </c>
      <c r="P262" s="64" t="s">
        <v>984</v>
      </c>
      <c r="Q262" s="64" t="str">
        <f t="shared" si="26"/>
        <v>{{ rtxt_mackenzie_et_al_2004 }}</v>
      </c>
      <c r="R262" s="64" t="str">
        <f t="shared" si="27"/>
        <v>{{ rbib_mackenzie_et_al_2004 }}</v>
      </c>
      <c r="S262" s="63" t="str">
        <f t="shared" si="25"/>
        <v>MacKenzie, D. I., Bailey, L. L., &amp; Nichols, J. D. (2004). Investigating Species Co-Occurrence Patterns When Species Are Detected Imperfectly. &lt;i&gt;Journal of Animal Ecology, 73&lt;/i&gt;(3), 546-555. &lt;a href="https://doi.org/10.1111/j.0021-8790.2004.00828.x" target="_blank"&gt;https://doi.org/10.1111/j.0021-8790.2004.00828.x&lt;/a&gt;&lt;span style="color:white"&gt;[.]{#mackenzie_et_al_2004}&lt;/span&gt;&lt;br&gt;&lt;br&gt;</v>
      </c>
      <c r="T262" s="64" t="str">
        <f t="shared" si="29"/>
        <v xml:space="preserve">    rtxt_mackenzie_et_al_2004: "&lt;a href=\"/08_references.html#mackenzie_et_al_2004\" target=\"_blank\"&gt;MacKenzie et al., 2004&lt;/a&gt;"</v>
      </c>
      <c r="U262" s="64" t="str">
        <f t="shared" si="28"/>
        <v xml:space="preserve">    rbib_mackenzie_et_al_2004: "MacKenzie, D. I., Bailey, L. L., &amp; Nichols, J. D. (2004). Investigating Species Co-Occurrence Patterns When Species Are Detected Imperfectly. *Journal of Animal Ecology, 73*(3), 546-555. &lt;https://doi.org/10.1111/j.0021-8790.2004.00828.x&gt;"</v>
      </c>
      <c r="V262" s="64"/>
    </row>
    <row r="263" spans="1:22" ht="15.75">
      <c r="A263" s="64"/>
      <c r="B263" s="77" t="b">
        <v>1</v>
      </c>
      <c r="C263" s="77" t="b">
        <v>0</v>
      </c>
      <c r="D263" s="77" t="b">
        <v>0</v>
      </c>
      <c r="E263" s="64" t="s">
        <v>1904</v>
      </c>
      <c r="F263" s="64" t="s">
        <v>2916</v>
      </c>
      <c r="G263" s="64" t="s">
        <v>2915</v>
      </c>
      <c r="H263" s="64" t="s">
        <v>2915</v>
      </c>
      <c r="I263" s="64" t="b">
        <v>1</v>
      </c>
      <c r="J263" s="66" t="s">
        <v>2914</v>
      </c>
      <c r="K263" s="66" t="s">
        <v>3960</v>
      </c>
      <c r="L263" s="64" t="s">
        <v>4065</v>
      </c>
      <c r="M263" s="64" t="s">
        <v>5990</v>
      </c>
      <c r="N263" s="65" t="str">
        <f t="shared" si="30"/>
        <v>[MacKenzie, D. I., Nichols, J. D., Hines, J. E., Knutson, M. G., &amp; Franklin, A. B. (2003). Estimating site occupancy, colonization, and local extinction when a species is detected imperfectly. &lt;i&gt;Ecology, 84&lt;/i&gt;(8), 2200-2207. &lt;a target="_blank" href="https://doi.org/10.1890/02-3090"&gt;{https://doi.org/10.1890/02-3090}]{#mackenzie_et_al_2003}&lt;br&gt;&lt;br&gt;</v>
      </c>
      <c r="O263" s="64" t="s">
        <v>2913</v>
      </c>
      <c r="P263" s="64" t="s">
        <v>984</v>
      </c>
      <c r="Q263" s="64" t="str">
        <f t="shared" si="26"/>
        <v>{{ rtxt_mackenzie_et_al_2003 }}</v>
      </c>
      <c r="R263" s="64" t="str">
        <f t="shared" si="27"/>
        <v>{{ rbib_mackenzie_et_al_2003 }}</v>
      </c>
      <c r="S263" s="63" t="str">
        <f t="shared" si="25"/>
        <v>MacKenzie, D. I., Nichols, J. D., Hines, J. E., Knutson, M. G., &amp; Franklin, A. B. (2003). Estimating site occupancy, colonization, and local extinction when a species is detected imperfectly. &lt;i&gt;Ecology, 84&lt;/i&gt;(8), 2200-2207. &lt;a href="https://doi.org/10.1890/02-3090" target="_blank"&gt;https://doi.org/10.1890/02-3090&lt;/a&gt;&lt;span style="color:white"&gt;[.]{#mackenzie_et_al_2003}&lt;/span&gt;&lt;br&gt;&lt;br&gt;</v>
      </c>
      <c r="T263" s="64" t="str">
        <f t="shared" si="29"/>
        <v xml:space="preserve">    rtxt_mackenzie_et_al_2003: "&lt;a href=\"/08_references.html#mackenzie_et_al_2003\" target=\"_blank\"&gt;MacKenzie et al., 2003&lt;/a&gt;"</v>
      </c>
      <c r="U263" s="64" t="str">
        <f t="shared" si="28"/>
        <v xml:space="preserve">    rbib_mackenzie_et_al_2003: "MacKenzie, D. I., Nichols, J. D., Hines, J. E., Knutson, M. G., &amp; Franklin, A. B. (2003). Estimating site occupancy, colonization, and local extinction when a species is detected imperfectly. *Ecology, 84*(8), 2200-2207. &lt;https://doi.org/10.1890/02-3090&gt;"</v>
      </c>
      <c r="V263" s="64"/>
    </row>
    <row r="264" spans="1:22" ht="15.75">
      <c r="A264" s="64"/>
      <c r="B264" s="77" t="b">
        <v>1</v>
      </c>
      <c r="C264" s="77" t="b">
        <v>0</v>
      </c>
      <c r="D264" s="77" t="b">
        <v>0</v>
      </c>
      <c r="E264" s="64" t="s">
        <v>1904</v>
      </c>
      <c r="F264" s="64" t="s">
        <v>2920</v>
      </c>
      <c r="G264" s="64" t="s">
        <v>2919</v>
      </c>
      <c r="H264" s="64" t="s">
        <v>2919</v>
      </c>
      <c r="I264" s="64" t="b">
        <v>1</v>
      </c>
      <c r="J264" s="66" t="s">
        <v>2918</v>
      </c>
      <c r="K264" s="66" t="s">
        <v>3960</v>
      </c>
      <c r="L264" s="64" t="s">
        <v>4066</v>
      </c>
      <c r="M264" s="64" t="s">
        <v>6009</v>
      </c>
      <c r="N264" s="65" t="str">
        <f t="shared" si="30"/>
        <v>[MacKenzie, D. I., Nichols, J. D., Lachman, G. B., Droege, S., Royle, J. A., &amp; Langtimm, C. A. (2002). Estimating Site Occupancy Rates When Detection Probabilities Are Less Than One. &lt;i&gt;Ecology, 83&lt;/i&gt;(8), 2248-2255. &lt;a target="_blank" href="https://doi.org/10.2307/3072056"&gt;{https://doi.org/10.2307/3072056}]{#mackenzie_et_al_2002}&lt;br&gt;&lt;br&gt;</v>
      </c>
      <c r="O264" s="64" t="s">
        <v>2917</v>
      </c>
      <c r="P264" s="64" t="s">
        <v>984</v>
      </c>
      <c r="Q264" s="64" t="str">
        <f t="shared" si="26"/>
        <v>{{ rtxt_mackenzie_et_al_2002 }}</v>
      </c>
      <c r="R264" s="64" t="str">
        <f t="shared" si="27"/>
        <v>{{ rbib_mackenzie_et_al_2002 }}</v>
      </c>
      <c r="S264" s="63" t="str">
        <f t="shared" si="25"/>
        <v>MacKenzie, D. I., Nichols, J. D., Lachman, G. B., Droege, S., Royle, J. A., &amp; Langtimm, C. A. (2002). Estimating Site Occupancy Rates When Detection Probabilities Are Less Than One. &lt;i&gt;Ecology, 83&lt;/i&gt;(8), 2248-2255. &lt;a href="https://doi.org/10.2307/3072056" target="_blank"&gt;https://doi.org/10.2307/3072056&lt;/a&gt;&lt;span style="color:white"&gt;[.]{#mackenzie_et_al_2002}&lt;/span&gt;&lt;br&gt;&lt;br&gt;</v>
      </c>
      <c r="T264" s="64" t="str">
        <f t="shared" si="29"/>
        <v xml:space="preserve">    rtxt_mackenzie_et_al_2002: "&lt;a href=\"/08_references.html#mackenzie_et_al_2002\" target=\"_blank\"&gt;MacKenzie et al., 2002&lt;/a&gt;"</v>
      </c>
      <c r="U264" s="64" t="str">
        <f t="shared" si="28"/>
        <v xml:space="preserve">    rbib_mackenzie_et_al_2002: "MacKenzie, D. I., Nichols, J. D., Lachman, G. B., Droege, S., Royle, J. A., &amp; Langtimm, C. A. (2002). Estimating Site Occupancy Rates When Detection Probabilities Are Less Than One. *Ecology, 83*(8), 2248-2255. &lt;https://doi.org/10.2307/3072056&gt;"</v>
      </c>
      <c r="V264" s="64"/>
    </row>
    <row r="265" spans="1:22" ht="15.75">
      <c r="A265" s="64"/>
      <c r="B265" s="77" t="b">
        <v>1</v>
      </c>
      <c r="C265" s="77" t="b">
        <v>0</v>
      </c>
      <c r="D265" s="77" t="b">
        <v>0</v>
      </c>
      <c r="E265" s="64" t="s">
        <v>1939</v>
      </c>
      <c r="F265" s="64" t="s">
        <v>2907</v>
      </c>
      <c r="G265" s="64" t="s">
        <v>2906</v>
      </c>
      <c r="H265" s="64" t="s">
        <v>2906</v>
      </c>
      <c r="I265" s="64" t="b">
        <v>1</v>
      </c>
      <c r="J265" s="66" t="s">
        <v>2905</v>
      </c>
      <c r="K265" s="66" t="s">
        <v>3960</v>
      </c>
      <c r="L265" s="64" t="s">
        <v>4067</v>
      </c>
      <c r="M265" s="64" t="s">
        <v>6128</v>
      </c>
      <c r="N265" s="65" t="str">
        <f t="shared" si="30"/>
        <v>[MacKenzie,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href="https://www.sciencedirect.com/book/9780124071971/occupancy-estimation-and-modeling"&gt;{https://www.sciencedirect.com/book/9780124071971/occupancy-estimation-and-modeling}]{#mackenzie_et_al_2006}&lt;br&gt;&lt;br&gt;</v>
      </c>
      <c r="O265" s="64" t="s">
        <v>2904</v>
      </c>
      <c r="P265" s="64" t="s">
        <v>984</v>
      </c>
      <c r="Q265" s="64" t="str">
        <f t="shared" si="26"/>
        <v>{{ rtxt_mackenzie_et_al_2006 }}</v>
      </c>
      <c r="R265" s="64" t="str">
        <f t="shared" si="27"/>
        <v>{{ rbib_mackenzie_et_al_2006 }}</v>
      </c>
      <c r="S265" s="63" t="str">
        <f t="shared" si="25"/>
        <v>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target="_blank"&gt;https://www.sciencedirect.com/book/9780124071971/occupancy-estimation-and-modeling&lt;/a&gt;&lt;span style="color:white"&gt;[.]{#mackenzie_et_al_2006}&lt;/span&gt;&lt;br&gt;&lt;br&gt;</v>
      </c>
      <c r="T265" s="64" t="str">
        <f t="shared" si="29"/>
        <v xml:space="preserve">    rtxt_mackenzie_et_al_2006: "&lt;a href=\"/08_references.html#mackenzie_et_al_2006\" target=\"_blank\"&gt;MacKenzie et al., 2006&lt;/a&gt;"</v>
      </c>
      <c r="U265" s="64" t="str">
        <f t="shared" si="28"/>
        <v xml:space="preserve">    rbib_mackenzie_et_al_2006: "MacKenzie, D. I., Nichols, J. D., Royle, J. A., Pollock, K. H., Bailey, L. L., &amp; Hines, J. E. (2006). *Occupancy Estimation and Modeling: Inferring Patterns and Dynamics of Species Occurrence*. Academic Press, USA. &lt;https://www.sciencedirect.com/book/9780124071971/occupancy-estimation-and-modeling&gt;"</v>
      </c>
      <c r="V265" s="64"/>
    </row>
    <row r="266" spans="1:22" ht="15.75">
      <c r="A266" s="64"/>
      <c r="B266" s="77"/>
      <c r="C266" s="77"/>
      <c r="D266" s="77"/>
      <c r="E266" s="64" t="s">
        <v>1939</v>
      </c>
      <c r="F266" s="64" t="s">
        <v>2903</v>
      </c>
      <c r="G266" s="64" t="s">
        <v>2902</v>
      </c>
      <c r="H266" s="64" t="s">
        <v>2902</v>
      </c>
      <c r="I266" s="64" t="b">
        <v>1</v>
      </c>
      <c r="J266" s="66" t="s">
        <v>2901</v>
      </c>
      <c r="K266" s="66" t="s">
        <v>3960</v>
      </c>
      <c r="L266" s="64" t="s">
        <v>4068</v>
      </c>
      <c r="M266" s="64" t="s">
        <v>6129</v>
      </c>
      <c r="N266" s="65" t="str">
        <f t="shared" si="30"/>
        <v>[MacKenzie,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href="https://www.sciencedirect.com/book/9780124071971/occupancy-estimation-and-modeling."&gt;{https://www.sciencedirect.com/book/9780124071971/occupancy-estimation-and-modeling.}]{#mackenzie_et_al_2017}&lt;br&gt;&lt;br&gt;</v>
      </c>
      <c r="O266" s="64" t="s">
        <v>2900</v>
      </c>
      <c r="P266" s="64" t="s">
        <v>984</v>
      </c>
      <c r="Q266" s="64" t="str">
        <f t="shared" si="26"/>
        <v>{{ rtxt_mackenzie_et_al_2017 }}</v>
      </c>
      <c r="R266" s="64" t="str">
        <f t="shared" si="27"/>
        <v>{{ rbib_mackenzie_et_al_2017 }}</v>
      </c>
      <c r="S266" s="63" t="str">
        <f t="shared" si="25"/>
        <v>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target="_blank"&gt;https://www.sciencedirect.com/book/9780124071971/occupancy-estimation-and-modeling.&lt;/a&gt;&lt;span style="color:white"&gt;[.]{#mackenzie_et_al_2017}&lt;/span&gt;&lt;br&gt;&lt;br&gt;</v>
      </c>
      <c r="T266" s="64" t="str">
        <f t="shared" si="29"/>
        <v xml:space="preserve">    rtxt_mackenzie_et_al_2017: "&lt;a href=\"/08_references.html#mackenzie_et_al_2017\" target=\"_blank\"&gt;MacKenzie et al., 2017&lt;/a&gt;"</v>
      </c>
      <c r="U266" s="64" t="str">
        <f t="shared" si="28"/>
        <v xml:space="preserve">    rbib_mackenzie_et_al_2017: "MacKenzie, D. I., Nichols, J. D., Royle, J. A., Pollock, K. H., Bailey, L. L., &amp; Hines, J. E. (2017). *Occupancy Estimation and Modeling: Inferring Patterns and Dynamics of Species Occurrence*. 2nd ed. Academic Press, San Diego. &lt;https://www.sciencedirect.com/book/9780124071971/occupancy-estimation-and-modeling&gt;."</v>
      </c>
      <c r="V266" s="64"/>
    </row>
    <row r="267" spans="1:22" ht="15.75">
      <c r="A267" s="64"/>
      <c r="B267" s="77" t="b">
        <v>1</v>
      </c>
      <c r="C267" s="77" t="b">
        <v>0</v>
      </c>
      <c r="D267" s="77" t="b">
        <v>0</v>
      </c>
      <c r="E267" s="64" t="s">
        <v>1904</v>
      </c>
      <c r="F267" s="64" t="s">
        <v>2891</v>
      </c>
      <c r="G267" s="64" t="s">
        <v>2890</v>
      </c>
      <c r="H267" s="64" t="s">
        <v>2890</v>
      </c>
      <c r="I267" s="64" t="b">
        <v>1</v>
      </c>
      <c r="J267" s="66" t="s">
        <v>2889</v>
      </c>
      <c r="K267" s="66" t="s">
        <v>3960</v>
      </c>
      <c r="L267" s="64" t="s">
        <v>4069</v>
      </c>
      <c r="M267" s="64" t="s">
        <v>5938</v>
      </c>
      <c r="N267" s="65" t="str">
        <f t="shared" si="30"/>
        <v>[Maffei, L., &amp; Noss, A. J. (2008). How Small Is Too Small? Camera Trap Survey Areas and Density Estimates for Ocelots in the Bolivian Chaco. &lt;i&gt;Biotropica, 40&lt;/i&gt;(1), 71-75. &lt;a target="_blank" href="https://doi.org/10.1111/j.1744-7429.2007.00341.x"&gt;{https://doi.org/10.1111/j.1744-7429.2007.00341.x}]{#maffei_noss_2008}&lt;br&gt;&lt;br&gt;</v>
      </c>
      <c r="O267" s="64" t="s">
        <v>2888</v>
      </c>
      <c r="P267" s="64" t="s">
        <v>984</v>
      </c>
      <c r="Q267" s="64" t="str">
        <f t="shared" si="26"/>
        <v>{{ rtxt_maffei_noss_2008 }}</v>
      </c>
      <c r="R267" s="64" t="str">
        <f t="shared" si="27"/>
        <v>{{ rbib_maffei_noss_2008 }}</v>
      </c>
      <c r="S267" s="63" t="str">
        <f t="shared" si="25"/>
        <v>Maffei, L., &amp; Noss, A. J. (2008). How Small Is Too Small? Camera Trap Survey Areas and Density Estimates for Ocelots in the Bolivian Chaco. &lt;i&gt;Biotropica, 40&lt;/i&gt;(1), 71-75. &lt;a href="https://doi.org/10.1111/j.1744-7429.2007.00341.x" target="_blank"&gt;https://doi.org/10.1111/j.1744-7429.2007.00341.x&lt;/a&gt;&lt;span style="color:white"&gt;[.]{#maffei_noss_2008}&lt;/span&gt;&lt;br&gt;&lt;br&gt;</v>
      </c>
      <c r="T267" s="64" t="str">
        <f t="shared" si="29"/>
        <v xml:space="preserve">    rtxt_maffei_noss_2008: "&lt;a href=\"/08_references.html#maffei_noss_2008\" target=\"_blank\"&gt;Maffei &amp; Noss, 2008&lt;/a&gt;"</v>
      </c>
      <c r="U267" s="64" t="str">
        <f t="shared" si="28"/>
        <v xml:space="preserve">    rbib_maffei_noss_2008: "Maffei, L., &amp; Noss, A. J. (2008). How Small Is Too Small? Camera Trap Survey Areas and Density Estimates for Ocelots in the Bolivian Chaco. *Biotropica, 40*(1), 71-75. &lt;https://doi.org/10.1111/j.1744-7429.2007.00341.x&gt;"</v>
      </c>
      <c r="V267" s="64"/>
    </row>
    <row r="268" spans="1:22" ht="15.75">
      <c r="A268" s="64"/>
      <c r="B268" s="77" t="b">
        <v>1</v>
      </c>
      <c r="C268" s="77" t="b">
        <v>0</v>
      </c>
      <c r="D268" s="77" t="b">
        <v>0</v>
      </c>
      <c r="E268" s="64" t="s">
        <v>1939</v>
      </c>
      <c r="F268" s="64" t="s">
        <v>2887</v>
      </c>
      <c r="G268" s="64" t="s">
        <v>2886</v>
      </c>
      <c r="H268" s="64" t="s">
        <v>2885</v>
      </c>
      <c r="I268" s="64" t="b">
        <v>1</v>
      </c>
      <c r="J268" s="66" t="s">
        <v>2884</v>
      </c>
      <c r="K268" s="66" t="s">
        <v>3960</v>
      </c>
      <c r="L268" s="64" t="s">
        <v>4070</v>
      </c>
      <c r="M268" s="64" t="s">
        <v>5776</v>
      </c>
      <c r="N268" s="65" t="str">
        <f t="shared" si="30"/>
        <v>[Manly, B. F. J., McDonald, L. L., &amp; Thomas, D. L. (1993). &lt;i&gt;Resource Selection by Animals: Statistical Design and Analysis for Field Studies.&lt;/i&gt; Chapman &amp; Hall, London, p. 177. &lt;a target="_blank" href="https://doi.org/10.1007/0-306-48151-0"&gt;{https://doi.org/10.1007/0-306-48151-0}]{#manly_et_al_1993}&lt;br&gt;&lt;br&gt;</v>
      </c>
      <c r="O268" s="64" t="s">
        <v>2883</v>
      </c>
      <c r="P268" s="64" t="s">
        <v>984</v>
      </c>
      <c r="Q268" s="64" t="str">
        <f t="shared" si="26"/>
        <v>{{ rtxt_manly_et_al_1993 }}</v>
      </c>
      <c r="R268" s="64" t="str">
        <f t="shared" si="27"/>
        <v>{{ rbib_manly_et_al_1993 }}</v>
      </c>
      <c r="S268" s="63" t="str">
        <f t="shared" si="25"/>
        <v>Manly, B. F. J., McDonald, L. L., &amp; Thomas, D. L. (1993). &lt;i&gt;Resource Selection by Animals: Statistical Design and Analysis for Field Studies.&lt;/i&gt; Chapman &amp; Hall, London, p. 177. &lt;a href="https://doi.org/10.1007/0-306-48151-0" target="_blank"&gt;https://doi.org/10.1007/0-306-48151-0&lt;/a&gt;&lt;span style="color:white"&gt;[.]{#manly_et_al_1993}&lt;/span&gt;&lt;br&gt;&lt;br&gt;</v>
      </c>
      <c r="T268" s="64" t="str">
        <f t="shared" si="29"/>
        <v xml:space="preserve">    rtxt_manly_et_al_1993: "&lt;a href=\"/08_references.html#manly_et_al_1993\" target=\"_blank\"&gt;Manly et al., 1993&lt;/a&gt;"</v>
      </c>
      <c r="U268" s="64" t="str">
        <f t="shared" si="28"/>
        <v xml:space="preserve">    rbib_manly_et_al_1993: "Manly, B. F. J., McDonald, L. L., &amp; Thomas, D. L. (1993). *Resource Selection by Animals: Statistical Design and Analysis for Field Studies*. Chapman &amp; Hall, London, p. 177. &lt;https://doi.org/10.1007/0-306-48151-0&gt;"</v>
      </c>
      <c r="V268" s="64"/>
    </row>
    <row r="269" spans="1:22" ht="15.75">
      <c r="A269" s="64"/>
      <c r="B269" s="77"/>
      <c r="C269" s="77"/>
      <c r="D269" s="77"/>
      <c r="E269" s="64" t="s">
        <v>1945</v>
      </c>
      <c r="F269" s="65" t="s">
        <v>2882</v>
      </c>
      <c r="G269" s="64" t="s">
        <v>2881</v>
      </c>
      <c r="H269" s="64" t="s">
        <v>2881</v>
      </c>
      <c r="I269" s="64" t="b">
        <v>1</v>
      </c>
      <c r="J269" s="66" t="s">
        <v>2880</v>
      </c>
      <c r="K269" s="66" t="s">
        <v>3960</v>
      </c>
      <c r="L269" s="64" t="s">
        <v>4071</v>
      </c>
      <c r="M269" s="64" t="s">
        <v>6141</v>
      </c>
      <c r="N269" s="65" t="str">
        <f t="shared" si="30"/>
        <v>[MarinStatsLectures-R Programming &amp; Statistics (2020a, Mar 17). &lt;i&gt;Poisson Regression Review.&lt;/i&gt; [Video]. YouTube. &lt;a target="_blank" href="https://www.youtube.com/watch?v=A8H6gc9Eq0w"&gt;{https://www.youtube.com/watch?v=A8H6gc9Eq0w}]{#marinstats_2020a}&lt;br&gt;&lt;br&gt;</v>
      </c>
      <c r="O269" s="64" t="s">
        <v>2878</v>
      </c>
      <c r="P269" s="64" t="s">
        <v>2879</v>
      </c>
      <c r="Q269" s="64" t="str">
        <f t="shared" si="26"/>
        <v>{{ rtxt_marinstats_2020a }}</v>
      </c>
      <c r="R269" s="64" t="str">
        <f t="shared" si="27"/>
        <v>{{ rbib_marinstats_2020a }}</v>
      </c>
      <c r="S269" s="63" t="str">
        <f t="shared" si="25"/>
        <v>MarinStatsLectures-R Programming &amp; Statistics (2020a, Mar 17). &lt;i&gt;Poisson Regression Review.&lt;/i&gt; [Video]. YouTube. &lt;a href="https://www.youtube.com/watch?v=A8H6gc9Eq0w" target="_blank"&gt;https://www.youtube.com/watch?v=A8H6gc9Eq0w&lt;/a&gt;&lt;span style="color:white"&gt;[.]{#marinstats_2020a}&lt;/span&gt;&lt;br&gt;&lt;br&gt;</v>
      </c>
      <c r="T269" s="64" t="str">
        <f t="shared" si="29"/>
        <v xml:space="preserve">    rtxt_marinstats_2020a: "&lt;a href=\"/08_references.html#marinstats_2020a\" target=\"_blank\"&gt;MarinStatsLectures-R Programming &amp; Statistics, 2020a&lt;/a&gt;"</v>
      </c>
      <c r="U269" s="64" t="str">
        <f t="shared" si="28"/>
        <v xml:space="preserve">    rbib_marinstats_2020a: "MarinStatsLectures-R Programming &amp; Statistics (2020a, Mar 17). *Poisson Regression Review.* [Video]. YouTube. &lt;https://www.youtube.com/watch?v=A8H6gc9Eq0w&gt;"</v>
      </c>
      <c r="V269" s="64"/>
    </row>
    <row r="270" spans="1:22" ht="15.75">
      <c r="A270" s="64"/>
      <c r="B270" s="77"/>
      <c r="C270" s="77"/>
      <c r="D270" s="77"/>
      <c r="E270" s="64" t="s">
        <v>1945</v>
      </c>
      <c r="F270" s="65" t="s">
        <v>2877</v>
      </c>
      <c r="G270" s="64" t="s">
        <v>2876</v>
      </c>
      <c r="H270" s="64" t="s">
        <v>2876</v>
      </c>
      <c r="I270" s="64" t="b">
        <v>1</v>
      </c>
      <c r="J270" s="66" t="s">
        <v>2875</v>
      </c>
      <c r="K270" s="66" t="s">
        <v>3960</v>
      </c>
      <c r="L270" s="64" t="s">
        <v>4072</v>
      </c>
      <c r="M270" s="64" t="s">
        <v>6146</v>
      </c>
      <c r="N270" s="65" t="str">
        <f t="shared" si="30"/>
        <v>[MarinStatsLectures-R Programming &amp; Statistics (2020b, Mar 17). &lt;i&gt;Poisson Regression: Zero Inflation (Excessive Zeros).&lt;/i&gt; [Video]. YouTube. &lt;a target="_blank" href="https://www.youtube.com/watch?v=eIY--zc5f24"&gt;{https://www.youtube.com/watch?v=eIY--zc5f24}]{#marinstats_2020b}&lt;br&gt;&lt;br&gt;</v>
      </c>
      <c r="O270" s="64" t="s">
        <v>2873</v>
      </c>
      <c r="P270" s="65" t="s">
        <v>2874</v>
      </c>
      <c r="Q270" s="64" t="str">
        <f t="shared" si="26"/>
        <v>{{ rtxt_marinstats_2020b }}</v>
      </c>
      <c r="R270" s="64" t="str">
        <f t="shared" si="27"/>
        <v>{{ rbib_marinstats_2020b }}</v>
      </c>
      <c r="S270" s="63" t="str">
        <f t="shared" si="25"/>
        <v>MarinStatsLectures-R Programming &amp; Statistics (2020b, Mar 17). &lt;i&gt;Poisson Regression: Zero Inflation (Excessive Zeros).&lt;/i&gt; [Video]. YouTube. &lt;a href="https://www.youtube.com/watch?v=eIY--zc5f24" target="_blank"&gt;https://www.youtube.com/watch?v=eIY--zc5f24&lt;/a&gt;&lt;span style="color:white"&gt;[.]{#marinstats_2020b}&lt;/span&gt;&lt;br&gt;&lt;br&gt;</v>
      </c>
      <c r="T270" s="64" t="str">
        <f t="shared" si="29"/>
        <v xml:space="preserve">    rtxt_marinstats_2020b: "&lt;a href=\"/08_references.html#marinstats_2020b\" target=\"_blank\"&gt;MarinStatsLectures-R Programming &amp; Statistics, 2020b&lt;/a&gt;"</v>
      </c>
      <c r="U270" s="64" t="str">
        <f t="shared" si="28"/>
        <v xml:space="preserve">    rbib_marinstats_2020b: "MarinStatsLectures-R Programming &amp; Statistics (2020b, Mar 17). *Poisson Regression: Zero Inflation (Excessive Zeros).* [Video]. YouTube. &lt;https://www.youtube.com/watch?v=eIY--zc5f24&gt;"</v>
      </c>
      <c r="V270" s="64"/>
    </row>
    <row r="271" spans="1:22" ht="15.75">
      <c r="A271" s="64"/>
      <c r="B271" s="77" t="b">
        <v>0</v>
      </c>
      <c r="C271" s="77" t="b">
        <v>0</v>
      </c>
      <c r="D271" s="77" t="b">
        <v>1</v>
      </c>
      <c r="E271" s="64" t="s">
        <v>1904</v>
      </c>
      <c r="F271" s="64" t="s">
        <v>2872</v>
      </c>
      <c r="G271" s="64" t="s">
        <v>2871</v>
      </c>
      <c r="H271" s="64" t="s">
        <v>2871</v>
      </c>
      <c r="I271" s="64" t="b">
        <v>1</v>
      </c>
      <c r="J271" s="66" t="s">
        <v>2870</v>
      </c>
      <c r="K271" s="66" t="s">
        <v>3960</v>
      </c>
      <c r="L271" s="64" t="s">
        <v>4073</v>
      </c>
      <c r="M271" s="64" t="s">
        <v>5835</v>
      </c>
      <c r="N271" s="65" t="str">
        <f t="shared" si="30"/>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href="https://doi.org/10.1016/j.ijpara.2020.02.001"&gt;{https://doi.org/10.1016/j.ijpara.2020.02.001}]{#markle_et_al_2020}&lt;br&gt;&lt;br&gt;</v>
      </c>
      <c r="O271" s="64" t="s">
        <v>2869</v>
      </c>
      <c r="P271" s="64" t="s">
        <v>984</v>
      </c>
      <c r="Q271" s="64" t="str">
        <f t="shared" si="26"/>
        <v>{{ rtxt_markle_et_al_2020 }}</v>
      </c>
      <c r="R271" s="64" t="str">
        <f t="shared" si="27"/>
        <v>{{ rbib_markle_et_al_2020 }}</v>
      </c>
      <c r="S271" s="63" t="str">
        <f t="shared" si="25"/>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target="_blank"&gt;https://doi.org/10.1016/j.ijpara.2020.02.001&lt;/a&gt;&lt;span style="color:white"&gt;[.]{#markle_et_al_2020}&lt;/span&gt;&lt;br&gt;&lt;br&gt;</v>
      </c>
      <c r="T271" s="64" t="str">
        <f t="shared" si="29"/>
        <v xml:space="preserve">    rtxt_markle_et_al_2020: "&lt;a href=\"/08_references.html#markle_et_al_2020\" target=\"_blank\"&gt;Markle et al., 2020&lt;/a&gt;"</v>
      </c>
      <c r="U271" s="64" t="str">
        <f t="shared" si="28"/>
        <v xml:space="preserve">    rbib_markle_et_al_2020: "Markle,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v>
      </c>
      <c r="V271" s="64"/>
    </row>
    <row r="272" spans="1:22" ht="15.75">
      <c r="A272" s="64"/>
      <c r="B272" s="77" t="b">
        <v>1</v>
      </c>
      <c r="C272" s="77" t="b">
        <v>0</v>
      </c>
      <c r="D272" s="77" t="b">
        <v>1</v>
      </c>
      <c r="E272" s="64" t="s">
        <v>1904</v>
      </c>
      <c r="F272" s="64" t="s">
        <v>2868</v>
      </c>
      <c r="G272" s="64" t="s">
        <v>2867</v>
      </c>
      <c r="H272" s="64" t="s">
        <v>2867</v>
      </c>
      <c r="I272" s="64" t="b">
        <v>1</v>
      </c>
      <c r="J272" s="66" t="s">
        <v>2866</v>
      </c>
      <c r="K272" s="66" t="s">
        <v>3960</v>
      </c>
      <c r="L272" s="64" t="s">
        <v>4074</v>
      </c>
      <c r="M272" s="64" t="s">
        <v>5926</v>
      </c>
      <c r="N272" s="65" t="str">
        <f t="shared" si="30"/>
        <v>[Martin,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href="https://doi.org/10.1111/j.1461-0248.2005.00826.x"&gt;{https://doi.org/10.1111/j.1461-0248.2005.00826.x}]{#martin_et_al_2005}&lt;br&gt;&lt;br&gt;</v>
      </c>
      <c r="O272" s="64" t="s">
        <v>2865</v>
      </c>
      <c r="P272" s="64" t="s">
        <v>984</v>
      </c>
      <c r="Q272" s="64" t="str">
        <f t="shared" si="26"/>
        <v>{{ rtxt_martin_et_al_2005 }}</v>
      </c>
      <c r="R272" s="64" t="str">
        <f t="shared" si="27"/>
        <v>{{ rbib_martin_et_al_2005 }}</v>
      </c>
      <c r="S272" s="63" t="str">
        <f t="shared" si="25"/>
        <v>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target="_blank"&gt;https://doi.org/10.1111/j.1461-0248.2005.00826.x&lt;/a&gt;&lt;span style="color:white"&gt;[.]{#martin_et_al_2005}&lt;/span&gt;&lt;br&gt;&lt;br&gt;</v>
      </c>
      <c r="T272" s="64" t="str">
        <f t="shared" si="29"/>
        <v xml:space="preserve">    rtxt_martin_et_al_2005: "&lt;a href=\"/08_references.html#martin_et_al_2005\" target=\"_blank\"&gt;Martin et al., 2005&lt;/a&gt;"</v>
      </c>
      <c r="U272" s="64" t="str">
        <f t="shared" si="28"/>
        <v xml:space="preserve">    rbib_martin_et_al_2005: "Martin, T. G., Wintle, B. A., Rhodes, J. R., Kuhnert, P. M., Field, S. A., Low-Choy, S. J., Tyre, A. J., &amp; Possingham, H. P. (2005). Zero Tolerance Ecology: Improving Ecological Inference by Modelling the Source of Zero Observations. *Ecology Letters, 8*(11), 1235-1246. &lt;https://doi.org/10.1111/j.1461-0248.2005.00826.x&gt;"</v>
      </c>
      <c r="V272" s="64"/>
    </row>
    <row r="273" spans="1:22" ht="15.75">
      <c r="A273" s="64"/>
      <c r="B273" s="77"/>
      <c r="C273" s="77"/>
      <c r="D273" s="77"/>
      <c r="E273" s="64" t="s">
        <v>1904</v>
      </c>
      <c r="F273" s="64" t="s">
        <v>2860</v>
      </c>
      <c r="G273" s="64" t="s">
        <v>2859</v>
      </c>
      <c r="H273" s="64" t="s">
        <v>2859</v>
      </c>
      <c r="I273" s="64" t="b">
        <v>1</v>
      </c>
      <c r="J273" s="66" t="s">
        <v>2858</v>
      </c>
      <c r="K273" s="66" t="s">
        <v>3960</v>
      </c>
      <c r="L273" s="64" t="s">
        <v>4075</v>
      </c>
      <c r="M273" s="64" t="s">
        <v>5726</v>
      </c>
      <c r="N273" s="65" t="str">
        <f t="shared" si="30"/>
        <v>[McClintock, B. T. (2015). multimark: An R package for analysis of capture-recapture data consisting of multiple 'noninvasive' marks. &lt;i&gt;Ecology and Evolution, 5&lt;/i&gt;(21), 4920-4931. &lt;a target="_blank" href="https://doi.org/10.1002/ece3.1676"&gt;{https://doi.org/10.1002/ece3.1676}]{#mcclintock_et_al_2015}&lt;br&gt;&lt;br&gt;</v>
      </c>
      <c r="O273" s="64" t="s">
        <v>2857</v>
      </c>
      <c r="P273" s="64" t="s">
        <v>984</v>
      </c>
      <c r="Q273" s="64" t="str">
        <f t="shared" si="26"/>
        <v>{{ rtxt_mcclintock_et_al_2015 }}</v>
      </c>
      <c r="R273" s="64" t="str">
        <f t="shared" si="27"/>
        <v>{{ rbib_mcclintock_et_al_2015 }}</v>
      </c>
      <c r="S273" s="63" t="str">
        <f t="shared" ref="S273:S336" si="31">M273&amp;IF(O273&lt;&gt;"-",(" &lt;a href="&amp;""""&amp;O273&amp;""""&amp;" target="&amp;""""&amp;"_blank"&amp;""""&amp;"&gt;"&amp;O273&amp;"&lt;/a&gt;&lt;span style="&amp;""""&amp;"color:white"&amp;""""&amp;"&gt;[.]{#"&amp;F273&amp;"}&lt;/span&gt;&lt;br&gt;&lt;br&gt;"),"")</f>
        <v>McClintock, B. T. (2015). multimark: An R package for analysis of capture-recapture data consisting of multiple 'noninvasive' marks. &lt;i&gt;Ecology and Evolution, 5&lt;/i&gt;(21), 4920-4931. &lt;a href="https://doi.org/10.1002/ece3.1676" target="_blank"&gt;https://doi.org/10.1002/ece3.1676&lt;/a&gt;&lt;span style="color:white"&gt;[.]{#mcclintock_et_al_2015}&lt;/span&gt;&lt;br&gt;&lt;br&gt;</v>
      </c>
      <c r="T273" s="64" t="str">
        <f t="shared" si="29"/>
        <v xml:space="preserve">    rtxt_mcclintock_et_al_2015: "&lt;a href=\"/08_references.html#mcclintock_et_al_2015\" target=\"_blank\"&gt;McClintock et al., 2015&lt;/a&gt;"</v>
      </c>
      <c r="U273" s="64" t="str">
        <f t="shared" si="28"/>
        <v xml:space="preserve">    rbib_mcclintock_et_al_2015: "McClintock, B. T. (2015). multimark: An R package for analysis of capture-recapture data consisting of multiple 'noninvasive' marks. *Ecology and Evolution, 5*(21), 4920-4931. &lt;https://doi.org/10.1002/ece3.1676&gt;"</v>
      </c>
      <c r="V273" s="64"/>
    </row>
    <row r="274" spans="1:22" ht="15.75">
      <c r="A274" s="64"/>
      <c r="B274" s="77" t="b">
        <v>1</v>
      </c>
      <c r="C274" s="77" t="b">
        <v>0</v>
      </c>
      <c r="D274" s="77" t="b">
        <v>0</v>
      </c>
      <c r="E274" s="64" t="s">
        <v>1904</v>
      </c>
      <c r="F274" s="64" t="s">
        <v>2864</v>
      </c>
      <c r="G274" s="64" t="s">
        <v>2863</v>
      </c>
      <c r="H274" s="64" t="s">
        <v>2863</v>
      </c>
      <c r="I274" s="64" t="b">
        <v>1</v>
      </c>
      <c r="J274" s="66" t="s">
        <v>2862</v>
      </c>
      <c r="K274" s="66" t="s">
        <v>3960</v>
      </c>
      <c r="L274" s="64" t="s">
        <v>4076</v>
      </c>
      <c r="M274" s="64" t="s">
        <v>5937</v>
      </c>
      <c r="N274" s="65" t="str">
        <f t="shared" si="30"/>
        <v>[McClintock,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href="https://doi.org/10.1111/j.1541-0420.2008.01047.x"&gt;{https://doi.org/10.1111/j.1541-0420.2008.01047.x}]{#mcclintock_et_al_2009}&lt;br&gt;&lt;br&gt;</v>
      </c>
      <c r="O274" s="64" t="s">
        <v>2861</v>
      </c>
      <c r="P274" s="64" t="s">
        <v>984</v>
      </c>
      <c r="Q274" s="64" t="str">
        <f t="shared" si="26"/>
        <v>{{ rtxt_mcclintock_et_al_2009 }}</v>
      </c>
      <c r="R274" s="64" t="str">
        <f t="shared" si="27"/>
        <v>{{ rbib_mcclintock_et_al_2009 }}</v>
      </c>
      <c r="S274" s="63" t="str">
        <f t="shared" si="31"/>
        <v>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target="_blank"&gt;https://doi.org/10.1111/j.1541-0420.2008.01047.x&lt;/a&gt;&lt;span style="color:white"&gt;[.]{#mcclintock_et_al_2009}&lt;/span&gt;&lt;br&gt;&lt;br&gt;</v>
      </c>
      <c r="T274" s="64" t="str">
        <f t="shared" si="29"/>
        <v xml:space="preserve">    rtxt_mcclintock_et_al_2009: "&lt;a href=\"/08_references.html#mcclintock_et_al_2009\" target=\"_blank\"&gt;McClintock et al., 2009&lt;/a&gt;"</v>
      </c>
      <c r="U274" s="64" t="str">
        <f t="shared" si="28"/>
        <v xml:space="preserve">    rbib_mcclintock_et_al_2009: "McClintock, B. T., White, G. C., Antolin, M. F., &amp; Tripp, D. W. (2009). Estimating abundance using mark-resight when sampling is with replacement or the number of marked individuals is unknown. *Biometrics, 65*(1), 237-246. &lt;https://doi.org/10.1111/j.1541-0420.2008.01047.x&gt;"</v>
      </c>
      <c r="V274" s="64"/>
    </row>
    <row r="275" spans="1:22" ht="15.75">
      <c r="A275" s="64"/>
      <c r="B275" s="77" t="b">
        <v>0</v>
      </c>
      <c r="C275" s="77" t="b">
        <v>0</v>
      </c>
      <c r="D275" s="77" t="s">
        <v>1993</v>
      </c>
      <c r="E275" s="64" t="s">
        <v>2480</v>
      </c>
      <c r="F275" s="64" t="s">
        <v>2856</v>
      </c>
      <c r="G275" s="64" t="s">
        <v>2855</v>
      </c>
      <c r="H275" s="64" t="s">
        <v>2854</v>
      </c>
      <c r="I275" s="64" t="b">
        <v>1</v>
      </c>
      <c r="J275" s="66" t="s">
        <v>2853</v>
      </c>
      <c r="K275" s="66" t="s">
        <v>3960</v>
      </c>
      <c r="L275" s="64" t="s">
        <v>4077</v>
      </c>
      <c r="M275" s="64" t="s">
        <v>6072</v>
      </c>
      <c r="N275" s="65" t="str">
        <f t="shared" si="30"/>
        <v>[Mccomb,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mccomb_et_al_2010}&lt;br&gt;&lt;br&gt;</v>
      </c>
      <c r="O275" s="64" t="s">
        <v>2852</v>
      </c>
      <c r="P275" s="64" t="s">
        <v>984</v>
      </c>
      <c r="Q275" s="64" t="str">
        <f t="shared" si="26"/>
        <v>{{ rtxt_mccomb_et_al_2010 }}</v>
      </c>
      <c r="R275" s="64" t="str">
        <f t="shared" si="27"/>
        <v>{{ rbib_mccomb_et_al_2010 }}</v>
      </c>
      <c r="S275" s="63" t="str">
        <f t="shared" si="31"/>
        <v>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style="color:white"&gt;[.]{#mccomb_et_al_2010}&lt;/span&gt;&lt;br&gt;&lt;br&gt;</v>
      </c>
      <c r="T275" s="64" t="str">
        <f t="shared" si="29"/>
        <v xml:space="preserve">    rtxt_mccomb_et_al_2010: "&lt;a href=\"/08_references.html#mccomb_et_al_2010\" target=\"_blank\"&gt;Mccomb et al., 2010&lt;/a&gt;"</v>
      </c>
      <c r="U275" s="64" t="str">
        <f t="shared" si="28"/>
        <v xml:space="preserve">    rbib_mccomb_et_al_2010: "Mccomb,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v>
      </c>
      <c r="V275" s="64"/>
    </row>
    <row r="276" spans="1:22" ht="15.75">
      <c r="A276" s="64"/>
      <c r="B276" s="77" t="b">
        <v>1</v>
      </c>
      <c r="C276" s="77" t="b">
        <v>0</v>
      </c>
      <c r="D276" s="77" t="b">
        <v>0</v>
      </c>
      <c r="E276" s="64" t="s">
        <v>1939</v>
      </c>
      <c r="F276" s="64" t="s">
        <v>2851</v>
      </c>
      <c r="G276" s="64" t="s">
        <v>2850</v>
      </c>
      <c r="H276" s="64" t="s">
        <v>2850</v>
      </c>
      <c r="I276" s="64" t="b">
        <v>1</v>
      </c>
      <c r="J276" s="66" t="s">
        <v>2849</v>
      </c>
      <c r="K276" s="66" t="s">
        <v>3960</v>
      </c>
      <c r="L276" s="64" t="s">
        <v>4078</v>
      </c>
      <c r="M276" s="64" t="s">
        <v>5683</v>
      </c>
      <c r="N276" s="65" t="str">
        <f t="shared" si="30"/>
        <v>[McCullagh, P., &amp; Nelder, J. A. (1989). &lt;i&gt;Generalised Linear Models,&lt;/i&gt; 2nd edn. Chapman and Hall, London. &lt;a target="_blank" href="http://dx.doi.org/10.1007/978-1-4899-3242-6"&gt;{http://dx.doi.org/10.1007/978-1-4899-3242-6}]{#mccullagh_nelder_1989}&lt;br&gt;&lt;br&gt;</v>
      </c>
      <c r="O276" s="64" t="s">
        <v>2848</v>
      </c>
      <c r="P276" s="64" t="s">
        <v>984</v>
      </c>
      <c r="Q276" s="64" t="str">
        <f t="shared" si="26"/>
        <v>{{ rtxt_mccullagh_nelder_1989 }}</v>
      </c>
      <c r="R276" s="64" t="str">
        <f t="shared" si="27"/>
        <v>{{ rbib_mccullagh_nelder_1989 }}</v>
      </c>
      <c r="S276" s="63" t="str">
        <f t="shared" si="31"/>
        <v>McCullagh, P., &amp; Nelder, J. A. (1989). &lt;i&gt;Generalised Linear Models,&lt;/i&gt; 2nd edn. Chapman and Hall, London. &lt;a href="http://dx.doi.org/10.1007/978-1-4899-3242-6" target="_blank"&gt;http://dx.doi.org/10.1007/978-1-4899-3242-6&lt;/a&gt;&lt;span style="color:white"&gt;[.]{#mccullagh_nelder_1989}&lt;/span&gt;&lt;br&gt;&lt;br&gt;</v>
      </c>
      <c r="T276" s="64" t="str">
        <f t="shared" si="29"/>
        <v xml:space="preserve">    rtxt_mccullagh_nelder_1989: "&lt;a href=\"/08_references.html#mccullagh_nelder_1989\" target=\"_blank\"&gt;McCullagh &amp; Nelder, 1989&lt;/a&gt;"</v>
      </c>
      <c r="U276" s="64" t="str">
        <f t="shared" si="28"/>
        <v xml:space="preserve">    rbib_mccullagh_nelder_1989: "McCullagh, P., &amp; Nelder, J. A. (1989). *Generalised Linear Models,* 2nd edn. Chapman and Hall, London. &lt;http://dx.doi.org/10.1007/978-1-4899-3242-6&gt;"</v>
      </c>
      <c r="V276" s="64"/>
    </row>
    <row r="277" spans="1:22" ht="15.75">
      <c r="A277" s="64"/>
      <c r="B277" s="77"/>
      <c r="C277" s="77"/>
      <c r="D277" s="77"/>
      <c r="E277" s="64" t="s">
        <v>1904</v>
      </c>
      <c r="F277" s="64" t="s">
        <v>2847</v>
      </c>
      <c r="G277" s="64" t="s">
        <v>2846</v>
      </c>
      <c r="H277" s="64" t="s">
        <v>2846</v>
      </c>
      <c r="I277" s="64" t="b">
        <v>1</v>
      </c>
      <c r="J277" s="66" t="s">
        <v>2845</v>
      </c>
      <c r="K277" s="66" t="s">
        <v>3960</v>
      </c>
      <c r="L277" s="64" t="s">
        <v>4079</v>
      </c>
      <c r="M277" s="64" t="s">
        <v>5731</v>
      </c>
      <c r="N277" s="65" t="str">
        <f t="shared" si="30"/>
        <v>[McFarlane,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href="https://doi.org/10.1002/ece3.6797"&gt;{https://doi.org/10.1002/ece3.6797}]{#mcfarlane_et_al_2020}&lt;br&gt;&lt;br&gt;</v>
      </c>
      <c r="O277" s="64" t="s">
        <v>2844</v>
      </c>
      <c r="P277" s="64" t="s">
        <v>984</v>
      </c>
      <c r="Q277" s="64" t="str">
        <f t="shared" si="26"/>
        <v>{{ rtxt_mcfarlane_et_al_2020 }}</v>
      </c>
      <c r="R277" s="64" t="str">
        <f t="shared" si="27"/>
        <v>{{ rbib_mcfarlane_et_al_2020 }}</v>
      </c>
      <c r="S277" s="63" t="str">
        <f t="shared" si="31"/>
        <v>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target="_blank"&gt;https://doi.org/10.1002/ece3.6797&lt;/a&gt;&lt;span style="color:white"&gt;[.]{#mcfarlane_et_al_2020}&lt;/span&gt;&lt;br&gt;&lt;br&gt;</v>
      </c>
      <c r="T277" s="64" t="str">
        <f t="shared" si="29"/>
        <v xml:space="preserve">    rtxt_mcfarlane_et_al_2020: "&lt;a href=\"/08_references.html#mcfarlane_et_al_2020\" target=\"_blank\"&gt;McFarlane et al., 2020&lt;/a&gt;"</v>
      </c>
      <c r="U277" s="64" t="str">
        <f t="shared" si="28"/>
        <v xml:space="preserve">    rbib_mcfarlane_et_al_2020: "McFarlane, S., Manseau, M., Steenweg, R., Hervieux, D., Hegel, T., Slater, S., &amp; Wilson, P. J. (2020). An assessment of sampling designs using SCR analyses to estimate abundance of boreal caribou. *Ecology and Evolution, 10*(20), 11631-11642. &lt;https://doi.org/10.1002/ece3.6797&gt;"</v>
      </c>
      <c r="V277" s="64"/>
    </row>
    <row r="278" spans="1:22" ht="15.75">
      <c r="A278" s="64"/>
      <c r="B278" s="77"/>
      <c r="C278" s="77"/>
      <c r="D278" s="77"/>
      <c r="E278" s="64" t="s">
        <v>1904</v>
      </c>
      <c r="F278" s="65" t="s">
        <v>2843</v>
      </c>
      <c r="G278" s="64" t="s">
        <v>2842</v>
      </c>
      <c r="H278" s="64" t="s">
        <v>2842</v>
      </c>
      <c r="I278" s="64" t="b">
        <v>1</v>
      </c>
      <c r="J278" s="66" t="s">
        <v>2841</v>
      </c>
      <c r="K278" s="66" t="s">
        <v>3960</v>
      </c>
      <c r="L278" s="64" t="s">
        <v>4080</v>
      </c>
      <c r="M278" s="64" t="s">
        <v>5772</v>
      </c>
      <c r="N278" s="65" t="str">
        <f t="shared" si="30"/>
        <v>[McMurry, S., Moeller, A. K., Goerz, J., &amp; Robinson, H. S. (2023). Using space to event modeling to estimate density of multiple species in northeastern Washington. &lt;i&gt;Wildlife Society Bulletin, 47&lt;/i&gt;(1). &lt;a target="_blank" href="https://doi.org/10.1002/wsb.1390"&gt;{https://doi.org/10.1002/wsb.1390}]{#mcmurray_et_al_2023}&lt;br&gt;&lt;br&gt;</v>
      </c>
      <c r="O278" s="64" t="s">
        <v>2840</v>
      </c>
      <c r="P278" s="64" t="s">
        <v>984</v>
      </c>
      <c r="Q278" s="64" t="str">
        <f t="shared" si="26"/>
        <v>{{ rtxt_mcmurray_et_al_2023 }}</v>
      </c>
      <c r="R278" s="64" t="str">
        <f t="shared" si="27"/>
        <v>{{ rbib_mcmurray_et_al_2023 }}</v>
      </c>
      <c r="S278" s="63" t="str">
        <f t="shared" si="31"/>
        <v>McMurry, S., Moeller, A. K., Goerz, J., &amp; Robinson, H. S. (2023). Using space to event modeling to estimate density of multiple species in northeastern Washington. &lt;i&gt;Wildlife Society Bulletin, 47&lt;/i&gt;(1). &lt;a href="https://doi.org/10.1002/wsb.1390" target="_blank"&gt;https://doi.org/10.1002/wsb.1390&lt;/a&gt;&lt;span style="color:white"&gt;[.]{#mcmurray_et_al_2023}&lt;/span&gt;&lt;br&gt;&lt;br&gt;</v>
      </c>
      <c r="T278" s="64" t="str">
        <f t="shared" si="29"/>
        <v xml:space="preserve">    rtxt_mcmurray_et_al_2023: "&lt;a href=\"/08_references.html#mcmurray_et_al_2023\" target=\"_blank\"&gt;McMurry et al., 2023&lt;/a&gt;"</v>
      </c>
      <c r="U278" s="64" t="str">
        <f t="shared" si="28"/>
        <v xml:space="preserve">    rbib_mcmurray_et_al_2023: "McMurry, S., Moeller, A. K., Goerz, J., &amp; Robinson, H. S. (2023). Using space to event modeling to estimate density of multiple species in northeastern Washington. *Wildlife Society Bulletin, 47*(1). &lt;https://doi.org/10.1002/wsb.1390&gt;"</v>
      </c>
      <c r="V278" s="64"/>
    </row>
    <row r="279" spans="1:22" ht="15.75">
      <c r="A279" s="64"/>
      <c r="B279" s="77"/>
      <c r="C279" s="77"/>
      <c r="D279" s="77"/>
      <c r="E279" s="64" t="s">
        <v>1950</v>
      </c>
      <c r="F279" s="64" t="s">
        <v>2839</v>
      </c>
      <c r="G279" s="64" t="s">
        <v>2838</v>
      </c>
      <c r="H279" s="64" t="s">
        <v>2838</v>
      </c>
      <c r="I279" s="64" t="b">
        <v>1</v>
      </c>
      <c r="J279" s="66" t="s">
        <v>2837</v>
      </c>
      <c r="K279" s="66" t="s">
        <v>3960</v>
      </c>
      <c r="L279" s="64" t="s">
        <v>4081</v>
      </c>
      <c r="M279" s="64" t="s">
        <v>5714</v>
      </c>
      <c r="N279" s="65" t="str">
        <f t="shared" si="30"/>
        <v>[McNeil, D. (n.d.). &lt;i&gt;Multi-season Occupancy Models&lt;/i&gt;. &lt;a target="_blank" href="https://darinjmcneil.weebly.com/multi-season-occupancy.html"&gt;{https://darinjmcneil.weebly.com/multi-season-occupancy.html}]{#mcneil_nd}&lt;br&gt;&lt;br&gt;</v>
      </c>
      <c r="O279" s="64" t="s">
        <v>2836</v>
      </c>
      <c r="P279" s="64" t="s">
        <v>984</v>
      </c>
      <c r="Q279" s="64" t="str">
        <f t="shared" si="26"/>
        <v>{{ rtxt_mcneil_nd }}</v>
      </c>
      <c r="R279" s="64" t="str">
        <f t="shared" si="27"/>
        <v>{{ rbib_mcneil_nd }}</v>
      </c>
      <c r="S279" s="63" t="str">
        <f t="shared" si="31"/>
        <v>McNeil, D. (n.d.). &lt;i&gt;Multi-season Occupancy Models&lt;/i&gt;. &lt;a href="https://darinjmcneil.weebly.com/multi-season-occupancy.html" target="_blank"&gt;https://darinjmcneil.weebly.com/multi-season-occupancy.html&lt;/a&gt;&lt;span style="color:white"&gt;[.]{#mcneil_nd}&lt;/span&gt;&lt;br&gt;&lt;br&gt;</v>
      </c>
      <c r="T279" s="64" t="str">
        <f t="shared" si="29"/>
        <v xml:space="preserve">    rtxt_mcneil_nd: "&lt;a href=\"/08_references.html#mcneil_nd\" target=\"_blank\"&gt;McNeil (n.d.)&lt;/a&gt;"</v>
      </c>
      <c r="U279" s="64" t="str">
        <f t="shared" si="28"/>
        <v xml:space="preserve">    rbib_mcneil_nd: "McNeil, D. (n.d.). *Multi-season Occupancy Models*. &lt;https://darinjmcneil.weebly.com/multi-season-occupancy.html&gt;"</v>
      </c>
      <c r="V279" s="64"/>
    </row>
    <row r="280" spans="1:22" ht="15.75">
      <c r="A280" s="64"/>
      <c r="B280" s="77" t="b">
        <v>1</v>
      </c>
      <c r="C280" s="77" t="b">
        <v>1</v>
      </c>
      <c r="D280" s="77" t="b">
        <v>0</v>
      </c>
      <c r="E280" s="64" t="s">
        <v>1904</v>
      </c>
      <c r="F280" s="64" t="s">
        <v>2835</v>
      </c>
      <c r="G280" s="64" t="s">
        <v>2834</v>
      </c>
      <c r="H280" s="64" t="s">
        <v>2834</v>
      </c>
      <c r="I280" s="64" t="b">
        <v>1</v>
      </c>
      <c r="J280" s="66" t="s">
        <v>2833</v>
      </c>
      <c r="K280" s="66" t="s">
        <v>3960</v>
      </c>
      <c r="L280" s="64" t="s">
        <v>4082</v>
      </c>
      <c r="M280" s="64" t="s">
        <v>5801</v>
      </c>
      <c r="N280" s="65" t="str">
        <f t="shared" si="30"/>
        <v>[McShea, W. J., Forrester, T., Costello, R., He, Z., &amp; Kays, R. (2015). Volunteer-Run Cameras as Distributed Sensors for Macrosystem Mammal Research. &lt;i&gt;Landscape Ecology, 31,&lt;/i&gt; 1-13. &lt;a target="_blank" href="https://doi.org/10.1007/s10980-015-0262-9"&gt;{https://doi.org/10.1007/s10980-015-0262-9}]{#mcshea_et_al_2015}&lt;br&gt;&lt;br&gt;</v>
      </c>
      <c r="O280" s="64" t="s">
        <v>2832</v>
      </c>
      <c r="P280" s="64" t="s">
        <v>984</v>
      </c>
      <c r="Q280" s="64" t="str">
        <f t="shared" si="26"/>
        <v>{{ rtxt_mcshea_et_al_2015 }}</v>
      </c>
      <c r="R280" s="64" t="str">
        <f t="shared" si="27"/>
        <v>{{ rbib_mcshea_et_al_2015 }}</v>
      </c>
      <c r="S280" s="63" t="str">
        <f t="shared" si="31"/>
        <v>McShea, W. J., Forrester, T., Costello, R., He, Z., &amp; Kays, R. (2015). Volunteer-Run Cameras as Distributed Sensors for Macrosystem Mammal Research. &lt;i&gt;Landscape Ecology, 31,&lt;/i&gt; 1-13. &lt;a href="https://doi.org/10.1007/s10980-015-0262-9" target="_blank"&gt;https://doi.org/10.1007/s10980-015-0262-9&lt;/a&gt;&lt;span style="color:white"&gt;[.]{#mcshea_et_al_2015}&lt;/span&gt;&lt;br&gt;&lt;br&gt;</v>
      </c>
      <c r="T280" s="64" t="str">
        <f t="shared" si="29"/>
        <v xml:space="preserve">    rtxt_mcshea_et_al_2015: "&lt;a href=\"/08_references.html#mcshea_et_al_2015\" target=\"_blank\"&gt;McShea et al., 2015&lt;/a&gt;"</v>
      </c>
      <c r="U280" s="64" t="str">
        <f t="shared" si="28"/>
        <v xml:space="preserve">    rbib_mcshea_et_al_2015: "McShea, W. J., Forrester, T., Costello, R., He, Z., &amp; Kays, R. (2015). Volunteer-Run Cameras as Distributed Sensors for Macrosystem Mammal Research. *Landscape Ecology, 31,* 1-13. &lt;https://doi.org/10.1007/s10980-015-0262-9&gt;"</v>
      </c>
      <c r="V280" s="64"/>
    </row>
    <row r="281" spans="1:22" ht="15.75">
      <c r="A281" s="64"/>
      <c r="B281" s="77" t="b">
        <v>0</v>
      </c>
      <c r="C281" s="77" t="b">
        <v>0</v>
      </c>
      <c r="D281" s="77"/>
      <c r="E281" s="64" t="s">
        <v>1945</v>
      </c>
      <c r="F281" s="64" t="s">
        <v>2831</v>
      </c>
      <c r="G281" s="64" t="s">
        <v>2830</v>
      </c>
      <c r="H281" s="64" t="s">
        <v>2830</v>
      </c>
      <c r="I281" s="64" t="b">
        <v>1</v>
      </c>
      <c r="J281" s="66" t="s">
        <v>2829</v>
      </c>
      <c r="K281" s="66" t="s">
        <v>3960</v>
      </c>
      <c r="L281" s="64" t="s">
        <v>4083</v>
      </c>
      <c r="M281" s="64" t="s">
        <v>6137</v>
      </c>
      <c r="N281" s="65" t="str">
        <f t="shared" si="30"/>
        <v>[mecks100 (2018, Feb 7). &lt;i&gt;Species accumulation and rarefaction curves&lt;/i&gt; [Video]. YouTube. &lt;a target="_blank" href="https://www.youtube.com/watch?v=4gcmAUpo9TU"&gt;{https://www.youtube.com/watch?v=4gcmAUpo9TU}]{#mecks100_2018}&lt;br&gt;&lt;br&gt;</v>
      </c>
      <c r="O281" s="64" t="s">
        <v>2828</v>
      </c>
      <c r="P281" s="64" t="s">
        <v>984</v>
      </c>
      <c r="Q281" s="64" t="str">
        <f t="shared" si="26"/>
        <v>{{ rtxt_mecks100_2018 }}</v>
      </c>
      <c r="R281" s="64" t="str">
        <f t="shared" si="27"/>
        <v>{{ rbib_mecks100_2018 }}</v>
      </c>
      <c r="S281" s="63" t="str">
        <f t="shared" si="31"/>
        <v>mecks100 (2018, Feb 7). &lt;i&gt;Species accumulation and rarefaction curves&lt;/i&gt; [Video]. YouTube. &lt;a href="https://www.youtube.com/watch?v=4gcmAUpo9TU" target="_blank"&gt;https://www.youtube.com/watch?v=4gcmAUpo9TU&lt;/a&gt;&lt;span style="color:white"&gt;[.]{#mecks100_2018}&lt;/span&gt;&lt;br&gt;&lt;br&gt;</v>
      </c>
      <c r="T281" s="64" t="str">
        <f t="shared" si="29"/>
        <v xml:space="preserve">    rtxt_mecks100_2018: "&lt;a href=\"/08_references.html#mecks100_2018\" target=\"_blank\"&gt;mecks100, 2018&lt;/a&gt;"</v>
      </c>
      <c r="U281" s="64" t="str">
        <f t="shared" si="28"/>
        <v xml:space="preserve">    rbib_mecks100_2018: "mecks100 (2018, Feb 7). *Species accumulation and rarefaction curves* [Video]. YouTube. &lt;https://www.youtube.com/watch?v=4gcmAUpo9TU&gt;"</v>
      </c>
      <c r="V281" s="64"/>
    </row>
    <row r="282" spans="1:22" ht="15.75">
      <c r="A282" s="64"/>
      <c r="B282" s="77" t="b">
        <v>1</v>
      </c>
      <c r="C282" s="77" t="b">
        <v>0</v>
      </c>
      <c r="D282" s="77" t="b">
        <v>0</v>
      </c>
      <c r="E282" s="64" t="s">
        <v>1904</v>
      </c>
      <c r="F282" s="64" t="s">
        <v>2819</v>
      </c>
      <c r="G282" s="64" t="s">
        <v>2818</v>
      </c>
      <c r="H282" s="64" t="s">
        <v>2817</v>
      </c>
      <c r="I282" s="64" t="b">
        <v>1</v>
      </c>
      <c r="J282" s="66" t="s">
        <v>2816</v>
      </c>
      <c r="K282" s="66" t="s">
        <v>3960</v>
      </c>
      <c r="L282" s="64" t="s">
        <v>4084</v>
      </c>
      <c r="M282" s="64" t="s">
        <v>5763</v>
      </c>
      <c r="N282" s="65" t="str">
        <f t="shared" si="30"/>
        <v>[Meek, P. D., Ballard, G. A., &amp; Falzon, G. (2016). The Higher You Go the Less You Will Know: Placing Camera Traps High to Avoid Theft Will Affect Detection. &lt;i&gt;Remote Sensing in Ecology and Conservation, 2&lt;/i&gt;(4), 204-211. &lt;a target="_blank" href="https://doi.org/10.1002/rse2.28"&gt;{https://doi.org/10.1002/rse2.28}]{#meek_et_al_2016}&lt;br&gt;&lt;br&gt;</v>
      </c>
      <c r="O282" s="64" t="s">
        <v>2815</v>
      </c>
      <c r="P282" s="64" t="s">
        <v>984</v>
      </c>
      <c r="Q282" s="64" t="str">
        <f t="shared" si="26"/>
        <v>{{ rtxt_meek_et_al_2016 }}</v>
      </c>
      <c r="R282" s="64" t="str">
        <f t="shared" si="27"/>
        <v>{{ rbib_meek_et_al_2016 }}</v>
      </c>
      <c r="S282" s="63" t="str">
        <f t="shared" si="31"/>
        <v>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target="_blank"&gt;https://doi.org/10.1002/rse2.28&lt;/a&gt;&lt;span style="color:white"&gt;[.]{#meek_et_al_2016}&lt;/span&gt;&lt;br&gt;&lt;br&gt;</v>
      </c>
      <c r="T282" s="64" t="str">
        <f t="shared" si="29"/>
        <v xml:space="preserve">    rtxt_meek_et_al_2016: "&lt;a href=\"/08_references.html#meek_et_al_2016\" target=\"_blank\"&gt;Meek et al., 2016&lt;/a&gt;"</v>
      </c>
      <c r="U282" s="64" t="str">
        <f t="shared" si="28"/>
        <v xml:space="preserve">    rbib_meek_et_al_2016: "Meek, P. D., Ballard, G. A., &amp; Falzon, G. (2016). The Higher You Go the Less You Will Know: Placing Camera Traps High to Avoid Theft Will Affect Detection. *Remote Sensing in Ecology and Conservation, 2*(4), 204-211. &lt;https://doi.org/10.1002/rse2.28&gt;"</v>
      </c>
      <c r="V282" s="64"/>
    </row>
    <row r="283" spans="1:22" ht="15.75">
      <c r="A283" s="64"/>
      <c r="B283" s="77" t="b">
        <v>1</v>
      </c>
      <c r="C283" s="77" t="b">
        <v>0</v>
      </c>
      <c r="D283" s="77" t="b">
        <v>1</v>
      </c>
      <c r="E283" s="64" t="s">
        <v>1904</v>
      </c>
      <c r="F283" s="64" t="s">
        <v>2823</v>
      </c>
      <c r="G283" s="64" t="s">
        <v>2822</v>
      </c>
      <c r="H283" s="64" t="s">
        <v>2822</v>
      </c>
      <c r="I283" s="64" t="b">
        <v>1</v>
      </c>
      <c r="J283" s="66" t="s">
        <v>2821</v>
      </c>
      <c r="K283" s="66" t="s">
        <v>3960</v>
      </c>
      <c r="L283" s="64" t="s">
        <v>4085</v>
      </c>
      <c r="M283" s="64" t="s">
        <v>5965</v>
      </c>
      <c r="N283" s="65" t="str">
        <f t="shared" si="30"/>
        <v>[Meek, P. D., Ballard, G. A., Fleming, P. J. S., Schaefer, M., Williams, W., &amp; Falzon, G. (2014a). Camera Traps Can Be Heard and Seen by Animals. &lt;i&gt;PLoS One&lt;i&gt;, &lt;i&gt;9&lt;/i&gt;(10), e110832. &lt;a target="_blank" href="https://doi.org/10.1371/journal.pone.0110832"&gt;{https://doi.org/10.1371/journal.pone.0110832}]{#meek_et_al_2014b}&lt;br&gt;&lt;br&gt;</v>
      </c>
      <c r="O283" s="64" t="s">
        <v>2820</v>
      </c>
      <c r="P283" s="64" t="s">
        <v>984</v>
      </c>
      <c r="Q283" s="64" t="str">
        <f t="shared" si="26"/>
        <v>{{ rtxt_meek_et_al_2014b }}</v>
      </c>
      <c r="R283" s="64" t="str">
        <f t="shared" si="27"/>
        <v>{{ rbib_meek_et_al_2014b }}</v>
      </c>
      <c r="S283" s="63" t="str">
        <f t="shared" si="31"/>
        <v>Meek, P. D., Ballard, G. A., Fleming, P. J. S., Schaefer, M., Williams, W., &amp; Falzon, G. (2014a). Camera Traps Can Be Heard and Seen by Animals. &lt;i&gt;PLoS One&lt;i&gt;, &lt;i&gt;9&lt;/i&gt;(10), e110832. &lt;a href="https://doi.org/10.1371/journal.pone.0110832" target="_blank"&gt;https://doi.org/10.1371/journal.pone.0110832&lt;/a&gt;&lt;span style="color:white"&gt;[.]{#meek_et_al_2014b}&lt;/span&gt;&lt;br&gt;&lt;br&gt;</v>
      </c>
      <c r="T283" s="64" t="str">
        <f t="shared" si="29"/>
        <v xml:space="preserve">    rtxt_meek_et_al_2014b: "&lt;a href=\"/08_references.html#meek_et_al_2014b\" target=\"_blank\"&gt;Meek et al., 2014b&lt;/a&gt;"</v>
      </c>
      <c r="U283" s="64" t="str">
        <f t="shared" si="28"/>
        <v xml:space="preserve">    rbib_meek_et_al_2014b: "Meek, P. D., Ballard, G. A., Fleming, P. J. S., Schaefer, M., Williams, W., &amp; Falzon, G. (2014a). Camera Traps Can Be Heard and Seen by Animals. *PLoS One, 9*(10), e110832. &lt;https://doi.org/10.1371/journal.pone.0110832&gt;"</v>
      </c>
      <c r="V283" s="64"/>
    </row>
    <row r="284" spans="1:22" ht="15.75">
      <c r="A284" s="64"/>
      <c r="B284" s="77" t="b">
        <v>1</v>
      </c>
      <c r="C284" s="77" t="b">
        <v>1</v>
      </c>
      <c r="D284" s="77" t="b">
        <v>0</v>
      </c>
      <c r="E284" s="64" t="s">
        <v>1904</v>
      </c>
      <c r="F284" s="64" t="s">
        <v>2827</v>
      </c>
      <c r="G284" s="64" t="s">
        <v>2826</v>
      </c>
      <c r="H284" s="64" t="s">
        <v>2826</v>
      </c>
      <c r="I284" s="64" t="b">
        <v>1</v>
      </c>
      <c r="J284" s="66" t="s">
        <v>2825</v>
      </c>
      <c r="K284" s="66" t="s">
        <v>3960</v>
      </c>
      <c r="L284" s="64" t="s">
        <v>4086</v>
      </c>
      <c r="M284" s="64" t="s">
        <v>5799</v>
      </c>
      <c r="N284" s="65" t="str">
        <f t="shared" si="30"/>
        <v>[Meek,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href="https://doi.org/10.1007/s10531-014-0712-8"&gt;{https://doi.org/10.1007/s10531-014-0712-8}]{#meek_et_al_2014a}&lt;br&gt;&lt;br&gt;</v>
      </c>
      <c r="O284" s="64" t="s">
        <v>2824</v>
      </c>
      <c r="P284" s="64" t="s">
        <v>984</v>
      </c>
      <c r="Q284" s="64" t="str">
        <f t="shared" si="26"/>
        <v>{{ rtxt_meek_et_al_2014a }}</v>
      </c>
      <c r="R284" s="64" t="str">
        <f t="shared" si="27"/>
        <v>{{ rbib_meek_et_al_2014a }}</v>
      </c>
      <c r="S284" s="63" t="str">
        <f t="shared" si="31"/>
        <v>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target="_blank"&gt;https://doi.org/10.1007/s10531-014-0712-8&lt;/a&gt;&lt;span style="color:white"&gt;[.]{#meek_et_al_2014a}&lt;/span&gt;&lt;br&gt;&lt;br&gt;</v>
      </c>
      <c r="T284" s="64" t="str">
        <f t="shared" si="29"/>
        <v xml:space="preserve">    rtxt_meek_et_al_2014a: "&lt;a href=\"/08_references.html#meek_et_al_2014a\" target=\"_blank\"&gt;Meek et al., 2014a&lt;/a&gt;"</v>
      </c>
      <c r="U284" s="64" t="str">
        <f t="shared" si="28"/>
        <v xml:space="preserve">    rbib_meek_et_al_2014a: "Meek, P. D., Ballard, G., Claridge, A., Kays, R., Moseby, K., O'Brien, T., O'Connell, A., Sanderson, J., Swann, D. E., Tobler, M., &amp; Townsend, S. (2014a). Recommended Guiding Principles for Reporting on Camera trap Trapping Research. *Biodiversity and Conservation, 23*(9), 2321-2343. &lt;https://doi.org/10.1007/s10531-014-0712-8&gt;"</v>
      </c>
      <c r="V284" s="64"/>
    </row>
    <row r="285" spans="1:22" ht="15.75">
      <c r="A285" s="64"/>
      <c r="B285" s="77" t="b">
        <v>0</v>
      </c>
      <c r="C285" s="77" t="b">
        <v>0</v>
      </c>
      <c r="D285" s="77"/>
      <c r="E285" s="64" t="s">
        <v>2138</v>
      </c>
      <c r="F285" s="65" t="s">
        <v>2814</v>
      </c>
      <c r="G285" s="64" t="s">
        <v>2813</v>
      </c>
      <c r="H285" s="64" t="s">
        <v>2813</v>
      </c>
      <c r="I285" s="64" t="b">
        <v>1</v>
      </c>
      <c r="J285" s="66" t="s">
        <v>2812</v>
      </c>
      <c r="K285" s="66" t="s">
        <v>3960</v>
      </c>
      <c r="L285" s="64" t="s">
        <v>4087</v>
      </c>
      <c r="M285" s="64" t="s">
        <v>5715</v>
      </c>
      <c r="N285" s="65" t="str">
        <f t="shared" si="30"/>
        <v>[Mikkelä, A. (2024). &lt;i&gt;Probabilistic detection calculator (online application).&lt;i&gt; R shiny version v2. &lt;a target="_blank" href="https://detcal-shiny.2.rahtiapp.fi/"&gt;{https://detcal-shiny.2.rahtiapp.fi/}]{#mikkela_2024}&lt;br&gt;&lt;br&gt;</v>
      </c>
      <c r="O285" s="64" t="s">
        <v>2810</v>
      </c>
      <c r="P285" s="64" t="s">
        <v>2811</v>
      </c>
      <c r="Q285" s="64" t="str">
        <f t="shared" si="26"/>
        <v>{{ rtxt_mikkela_2024 }}</v>
      </c>
      <c r="R285" s="64" t="str">
        <f t="shared" si="27"/>
        <v>{{ rbib_mikkela_2024 }}</v>
      </c>
      <c r="S285" s="63" t="str">
        <f t="shared" si="31"/>
        <v>Mikkelä, A. (2024). &lt;i&gt;Probabilistic detection calculator (online application).&lt;i&gt; R shiny version v2. &lt;a href="https://detcal-shiny.2.rahtiapp.fi/" target="_blank"&gt;https://detcal-shiny.2.rahtiapp.fi/&lt;/a&gt;&lt;span style="color:white"&gt;[.]{#mikkela_2024}&lt;/span&gt;&lt;br&gt;&lt;br&gt;</v>
      </c>
      <c r="T285" s="64" t="str">
        <f t="shared" si="29"/>
        <v xml:space="preserve">    rtxt_mikkela_2024: "&lt;a href=\"/08_references.html#mikkela_2024\" target=\"_blank\"&gt;Mikkelä, 2024&lt;/a&gt;"</v>
      </c>
      <c r="U285" s="64" t="str">
        <f t="shared" si="28"/>
        <v xml:space="preserve">    rbib_mikkela_2024: "Mikkelä, A. (2024). *Probabilistic detection calculator (online application).* R shiny version v2. &lt;https://detcal-shiny.2.rahtiapp.fi/&gt;"</v>
      </c>
      <c r="V285" s="64"/>
    </row>
    <row r="286" spans="1:22" ht="15.75">
      <c r="A286" s="64"/>
      <c r="B286" s="77" t="b">
        <v>1</v>
      </c>
      <c r="C286" s="77" t="b">
        <v>1</v>
      </c>
      <c r="D286" s="77" t="b">
        <v>0</v>
      </c>
      <c r="E286" s="64" t="s">
        <v>1904</v>
      </c>
      <c r="F286" s="64" t="s">
        <v>2809</v>
      </c>
      <c r="G286" s="64" t="s">
        <v>2808</v>
      </c>
      <c r="H286" s="64" t="s">
        <v>2807</v>
      </c>
      <c r="I286" s="64" t="b">
        <v>1</v>
      </c>
      <c r="J286" s="66" t="s">
        <v>2806</v>
      </c>
      <c r="K286" s="66" t="s">
        <v>3960</v>
      </c>
      <c r="L286" s="64" t="s">
        <v>4088</v>
      </c>
      <c r="M286" s="64" t="s">
        <v>5969</v>
      </c>
      <c r="N286" s="65" t="str">
        <f t="shared" si="30"/>
        <v>[Mills,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href="https://doi.org/10.1371/journal.pone.0146142"&gt;{https://doi.org/10.1371/journal.pone.0146142}]{#mills_et_al_2016}&lt;br&gt;&lt;br&gt;</v>
      </c>
      <c r="O286" s="64" t="s">
        <v>2805</v>
      </c>
      <c r="P286" s="64" t="s">
        <v>984</v>
      </c>
      <c r="Q286" s="64" t="str">
        <f t="shared" si="26"/>
        <v>{{ rtxt_mills_et_al_2016 }}</v>
      </c>
      <c r="R286" s="64" t="str">
        <f t="shared" si="27"/>
        <v>{{ rbib_mills_et_al_2016 }}</v>
      </c>
      <c r="S286" s="63" t="str">
        <f t="shared" si="31"/>
        <v>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target="_blank"&gt;https://doi.org/10.1371/journal.pone.0146142&lt;/a&gt;&lt;span style="color:white"&gt;[.]{#mills_et_al_2016}&lt;/span&gt;&lt;br&gt;&lt;br&gt;</v>
      </c>
      <c r="T286" s="64" t="str">
        <f t="shared" si="29"/>
        <v xml:space="preserve">    rtxt_mills_et_al_2016: "&lt;a href=\"/08_references.html#mills_et_al_2016\" target=\"_blank\"&gt;Mills et al., 2016&lt;/a&gt;"</v>
      </c>
      <c r="U286" s="64" t="str">
        <f t="shared" si="28"/>
        <v xml:space="preserve">    rbib_mills_et_al_2016: "Mills, C. A., Godley, B. J., &amp; Hodgson, D. J. (2016). Take Only Photographs, Leave Only Footprints: Novel Applications of Non-Invasive Survey Methods for Rapid Detection of Small, Arboreal Animals. *PloS One, 11*(1), e0146142. &lt;https://doi.org/10.1371/journal.pone.0146142&gt;"</v>
      </c>
      <c r="V286" s="64"/>
    </row>
    <row r="287" spans="1:22" ht="15.75">
      <c r="A287" s="64"/>
      <c r="B287" s="77" t="b">
        <v>1</v>
      </c>
      <c r="C287" s="77" t="b">
        <v>0</v>
      </c>
      <c r="D287" s="77" t="b">
        <v>0</v>
      </c>
      <c r="E287" s="64" t="s">
        <v>1904</v>
      </c>
      <c r="F287" s="64" t="s">
        <v>2804</v>
      </c>
      <c r="G287" s="64" t="s">
        <v>2803</v>
      </c>
      <c r="H287" s="64" t="s">
        <v>2803</v>
      </c>
      <c r="I287" s="64" t="b">
        <v>1</v>
      </c>
      <c r="J287" s="66" t="s">
        <v>2802</v>
      </c>
      <c r="K287" s="66" t="s">
        <v>3960</v>
      </c>
      <c r="L287" s="64" t="s">
        <v>4089</v>
      </c>
      <c r="M287" s="64" t="s">
        <v>5975</v>
      </c>
      <c r="N287" s="65" t="str">
        <f t="shared" si="30"/>
        <v>[Mills,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href="https://doi.org/10.1371/journal.pone.0216447"&gt;{https://doi.org/10.1371/journal.pone.0216447}]{#mills_et_al_2019}&lt;br&gt;&lt;br&gt;</v>
      </c>
      <c r="O287" s="64" t="s">
        <v>2801</v>
      </c>
      <c r="P287" s="64" t="s">
        <v>984</v>
      </c>
      <c r="Q287" s="64" t="str">
        <f t="shared" si="26"/>
        <v>{{ rtxt_mills_et_al_2019 }}</v>
      </c>
      <c r="R287" s="64" t="str">
        <f t="shared" si="27"/>
        <v>{{ rbib_mills_et_al_2019 }}</v>
      </c>
      <c r="S287" s="63" t="str">
        <f t="shared" si="31"/>
        <v>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target="_blank"&gt;https://doi.org/10.1371/journal.pone.0216447&lt;/a&gt;&lt;span style="color:white"&gt;[.]{#mills_et_al_2019}&lt;/span&gt;&lt;br&gt;&lt;br&gt;</v>
      </c>
      <c r="T287" s="64" t="str">
        <f t="shared" si="29"/>
        <v xml:space="preserve">    rtxt_mills_et_al_2019: "&lt;a href=\"/08_references.html#mills_et_al_2019\" target=\"_blank\"&gt;Mills et al., 2019&lt;/a&gt;"</v>
      </c>
      <c r="U287" s="64" t="str">
        <f t="shared" si="28"/>
        <v xml:space="preserve">    rbib_mills_et_al_2019: "Mills, D., Fattebert, J., Hunter, L., &amp; Slotow, R. (2019). Maximising camera trap data: Using attractants to improve detection of elusive species in multi-species Surveys. *PLoS ONE, 14(5)*, e0216447. &lt;https://doi.org/10.1371/journal.pone.0216447&gt;"</v>
      </c>
      <c r="V287" s="64"/>
    </row>
    <row r="288" spans="1:22" ht="15.75">
      <c r="A288" s="64"/>
      <c r="B288" s="77" t="b">
        <v>1</v>
      </c>
      <c r="C288" s="77" t="b">
        <v>1</v>
      </c>
      <c r="D288" s="77" t="b">
        <v>0</v>
      </c>
      <c r="E288" s="64" t="s">
        <v>1904</v>
      </c>
      <c r="F288" s="64" t="s">
        <v>2800</v>
      </c>
      <c r="G288" s="64" t="s">
        <v>2799</v>
      </c>
      <c r="H288" s="64" t="s">
        <v>2798</v>
      </c>
      <c r="I288" s="64" t="b">
        <v>1</v>
      </c>
      <c r="J288" s="66" t="s">
        <v>2797</v>
      </c>
      <c r="K288" s="66" t="s">
        <v>3960</v>
      </c>
      <c r="L288" s="64" t="s">
        <v>4090</v>
      </c>
      <c r="M288" s="64" t="s">
        <v>5738</v>
      </c>
      <c r="N288" s="65" t="str">
        <f t="shared" si="30"/>
        <v>[Moeller, A. K., Lukacs, P. M., &amp; Horne, J. S. (2018). Three Novel Methods to Estimate Abundance of Unmarked Animals using Remote Cameras. &lt;i&gt;Ecosphere, 9&lt;/i&gt;(8), Article e02331. &lt;a target="_blank" href="https://doi.org/10.1002/ecs2.2331"&gt;{https://doi.org/10.1002/ecs2.2331}]{#moeller_et_al_2018}&lt;br&gt;&lt;br&gt;</v>
      </c>
      <c r="O288" s="64" t="s">
        <v>2796</v>
      </c>
      <c r="P288" s="64" t="s">
        <v>984</v>
      </c>
      <c r="Q288" s="64" t="str">
        <f t="shared" si="26"/>
        <v>{{ rtxt_moeller_et_al_2018 }}</v>
      </c>
      <c r="R288" s="64" t="str">
        <f t="shared" si="27"/>
        <v>{{ rbib_moeller_et_al_2018 }}</v>
      </c>
      <c r="S288" s="63" t="str">
        <f t="shared" si="31"/>
        <v>Moeller, A. K., Lukacs, P. M., &amp; Horne, J. S. (2018). Three Novel Methods to Estimate Abundance of Unmarked Animals using Remote Cameras. &lt;i&gt;Ecosphere, 9&lt;/i&gt;(8), Article e02331. &lt;a href="https://doi.org/10.1002/ecs2.2331" target="_blank"&gt;https://doi.org/10.1002/ecs2.2331&lt;/a&gt;&lt;span style="color:white"&gt;[.]{#moeller_et_al_2018}&lt;/span&gt;&lt;br&gt;&lt;br&gt;</v>
      </c>
      <c r="T288" s="64" t="str">
        <f t="shared" si="29"/>
        <v xml:space="preserve">    rtxt_moeller_et_al_2018: "&lt;a href=\"/08_references.html#moeller_et_al_2018\" target=\"_blank\"&gt;Moeller et al., 2018&lt;/a&gt;"</v>
      </c>
      <c r="U288" s="64" t="str">
        <f t="shared" si="28"/>
        <v xml:space="preserve">    rbib_moeller_et_al_2018: "Moeller, A. K., Lukacs, P. M., &amp; Horne, J. S. (2018). Three Novel Methods to Estimate Abundance of Unmarked Animals using Remote Cameras. *Ecosphere, 9*(8), Article e02331. &lt;https://doi.org/10.1002/ecs2.2331&gt;"</v>
      </c>
      <c r="V288" s="64"/>
    </row>
    <row r="289" spans="1:22" ht="15.75">
      <c r="A289" s="64"/>
      <c r="B289" s="77" t="b">
        <v>1</v>
      </c>
      <c r="C289" s="77" t="b">
        <v>0</v>
      </c>
      <c r="D289" s="77" t="b">
        <v>0</v>
      </c>
      <c r="E289" s="64" t="s">
        <v>1904</v>
      </c>
      <c r="F289" s="64" t="s">
        <v>2795</v>
      </c>
      <c r="G289" s="64" t="s">
        <v>2794</v>
      </c>
      <c r="H289" s="64" t="s">
        <v>2794</v>
      </c>
      <c r="I289" s="64" t="b">
        <v>1</v>
      </c>
      <c r="J289" s="66" t="s">
        <v>2793</v>
      </c>
      <c r="K289" s="66" t="s">
        <v>3960</v>
      </c>
      <c r="L289" s="64" t="s">
        <v>4091</v>
      </c>
      <c r="M289" s="64" t="s">
        <v>5764</v>
      </c>
      <c r="N289" s="65" t="str">
        <f t="shared" si="30"/>
        <v>[Moeller,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href="https://doi.org/10.1002/rse2.300"&gt;{https://doi.org/10.1002/rse2.300}]{#moeller_et_al_2023}&lt;br&gt;&lt;br&gt;</v>
      </c>
      <c r="O289" s="64" t="s">
        <v>2792</v>
      </c>
      <c r="P289" s="64" t="s">
        <v>984</v>
      </c>
      <c r="Q289" s="64" t="str">
        <f t="shared" si="26"/>
        <v>{{ rtxt_moeller_et_al_2023 }}</v>
      </c>
      <c r="R289" s="64" t="str">
        <f t="shared" si="27"/>
        <v>{{ rbib_moeller_et_al_2023 }}</v>
      </c>
      <c r="S289" s="63" t="str">
        <f t="shared" si="31"/>
        <v>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target="_blank"&gt;https://doi.org/10.1002/rse2.300&lt;/a&gt;&lt;span style="color:white"&gt;[.]{#moeller_et_al_2023}&lt;/span&gt;&lt;br&gt;&lt;br&gt;</v>
      </c>
      <c r="T289" s="64" t="str">
        <f t="shared" si="29"/>
        <v xml:space="preserve">    rtxt_moeller_et_al_2023: "&lt;a href=\"/08_references.html#moeller_et_al_2023\" target=\"_blank\"&gt;Moeller et al., 2023&lt;/a&gt;"</v>
      </c>
      <c r="U289" s="64" t="str">
        <f t="shared" si="28"/>
        <v xml:space="preserve">    rbib_moeller_et_al_2023: "Moeller, A. K., Waller, S. J., DeCesare, N. J., Chitwood, M. C., &amp; Lukacs, P. M. (2023). Best practices to account for capture probability and viewable area in camera‐based abundance estimation. *Remote Sensing in Ecology and Conservation.* &lt;https://doi.org/10.1002/rse2.300&gt;"</v>
      </c>
      <c r="V289" s="64"/>
    </row>
    <row r="290" spans="1:22" ht="15.75">
      <c r="A290" s="64"/>
      <c r="B290" s="77" t="b">
        <v>0</v>
      </c>
      <c r="C290" s="77" t="b">
        <v>0</v>
      </c>
      <c r="D290" s="77"/>
      <c r="E290" s="64" t="s">
        <v>1904</v>
      </c>
      <c r="F290" s="64" t="s">
        <v>1896</v>
      </c>
      <c r="G290" s="64" t="s">
        <v>2791</v>
      </c>
      <c r="H290" s="64" t="s">
        <v>2791</v>
      </c>
      <c r="I290" s="64" t="b">
        <v>1</v>
      </c>
      <c r="J290" s="66" t="s">
        <v>3968</v>
      </c>
      <c r="K290" s="66" t="s">
        <v>3960</v>
      </c>
      <c r="L290" s="64" t="s">
        <v>4092</v>
      </c>
      <c r="M290" s="64" t="s">
        <v>5807</v>
      </c>
      <c r="N290" s="65" t="str">
        <f t="shared" si="30"/>
        <v>[Moeller, A. K.,&amp; Lukacs, P. M. (2021) spaceNtime: an R package for estimating abundance of unmarked animals using camera-trap photographs. &lt;i&gt;Mammalian Biology, 102&lt;/i&gt;, 581-590. &lt;a target="_blank" href="https://doi.org/10.1007/s42991-021-00181-8"&gt;{https://doi.org/10.1007/s42991-021-00181-8}]{#moeller_lukacs_2021}&lt;br&gt;&lt;br&gt;</v>
      </c>
      <c r="O290" s="64" t="s">
        <v>2790</v>
      </c>
      <c r="P290" s="64" t="s">
        <v>984</v>
      </c>
      <c r="Q290" s="64" t="str">
        <f t="shared" si="26"/>
        <v>{{ rtxt_moeller_lukacs_2021 }}</v>
      </c>
      <c r="R290" s="64" t="str">
        <f t="shared" si="27"/>
        <v>{{ rbib_moeller_lukacs_2021 }}</v>
      </c>
      <c r="S290" s="63" t="str">
        <f t="shared" si="31"/>
        <v>Moeller, A. K.,&amp; Lukacs, P. M. (2021) spaceNtime: an R package for estimating abundance of unmarked animals using camera-trap photographs. &lt;i&gt;Mammalian Biology, 102&lt;/i&gt;, 581-590. &lt;a href="https://doi.org/10.1007/s42991-021-00181-8" target="_blank"&gt;https://doi.org/10.1007/s42991-021-00181-8&lt;/a&gt;&lt;span style="color:white"&gt;[.]{#moeller_lukacs_2021}&lt;/span&gt;&lt;br&gt;&lt;br&gt;</v>
      </c>
      <c r="T290" s="64" t="str">
        <f t="shared" si="29"/>
        <v xml:space="preserve">    rtxt_moeller_lukacs_2021: "&lt;a href=\"/08_references.html#moeller_lukacs_2021\" target=\"_blank\"&gt;Moeller &amp; Lukacs, 2021&lt;/a&gt;"</v>
      </c>
      <c r="U290" s="64" t="str">
        <f t="shared" si="28"/>
        <v xml:space="preserve">    rbib_moeller_lukacs_2021: "Moeller, A. K.,&amp; Lukacs, P. M. (2021) spaceNtime: an R package for estimating abundance of unmarked animals using camera-trap photographs. *Mammalian Biology, 102*, 581-590. &lt;https://doi.org/10.1007/s42991-021-00181-8&gt;"</v>
      </c>
      <c r="V290" s="64"/>
    </row>
    <row r="291" spans="1:22" ht="15.75">
      <c r="A291" s="64"/>
      <c r="B291" s="77" t="b">
        <v>1</v>
      </c>
      <c r="C291" s="77" t="b">
        <v>0</v>
      </c>
      <c r="D291" s="77" t="b">
        <v>0</v>
      </c>
      <c r="E291" s="64" t="s">
        <v>1904</v>
      </c>
      <c r="F291" s="64" t="s">
        <v>2789</v>
      </c>
      <c r="G291" s="64" t="s">
        <v>2788</v>
      </c>
      <c r="H291" s="64" t="s">
        <v>2788</v>
      </c>
      <c r="I291" s="64" t="b">
        <v>1</v>
      </c>
      <c r="J291" s="66" t="s">
        <v>2787</v>
      </c>
      <c r="K291" s="66" t="s">
        <v>3960</v>
      </c>
      <c r="L291" s="64" t="s">
        <v>4093</v>
      </c>
      <c r="M291" s="64" t="s">
        <v>5854</v>
      </c>
      <c r="N291" s="65" t="str">
        <f t="shared" si="30"/>
        <v>[Moll,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href="https://doi.org/10.1071/wr19004"&gt;{https://doi.org/10.1071/wr19004}]{#moll_et_al_2020}&lt;br&gt;&lt;br&gt;</v>
      </c>
      <c r="O291" s="64" t="s">
        <v>2786</v>
      </c>
      <c r="P291" s="64" t="s">
        <v>984</v>
      </c>
      <c r="Q291" s="64" t="str">
        <f t="shared" si="26"/>
        <v>{{ rtxt_moll_et_al_2020 }}</v>
      </c>
      <c r="R291" s="64" t="str">
        <f t="shared" si="27"/>
        <v>{{ rbib_moll_et_al_2020 }}</v>
      </c>
      <c r="S291" s="63" t="str">
        <f t="shared" si="31"/>
        <v>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target="_blank"&gt;https://doi.org/10.1071/wr19004&lt;/a&gt;&lt;span style="color:white"&gt;[.]{#moll_et_al_2020}&lt;/span&gt;&lt;br&gt;&lt;br&gt;</v>
      </c>
      <c r="T291" s="64" t="str">
        <f t="shared" si="29"/>
        <v xml:space="preserve">    rtxt_moll_et_al_2020: "&lt;a href=\"/08_references.html#moll_et_al_2020\" target=\"_blank\"&gt;Moll et al., 2020&lt;/a&gt;"</v>
      </c>
      <c r="U291" s="64" t="str">
        <f t="shared" si="28"/>
        <v xml:space="preserve">    rbib_moll_et_al_2020: "Moll, R. J., Ortiz-Calo, W., Cepek, J. D., Lorch, P. D., Dennis, P. M., Robison, T., &amp; Montgomery, R. A. (2020). The effect of camera-trap viewshed obstruction on wildlife detection: implications for inference. *Wildlife Research, 47*(2). &lt;https://doi.org/10.1071/wr19004&gt;"</v>
      </c>
      <c r="V291" s="64"/>
    </row>
    <row r="292" spans="1:22" ht="15.75">
      <c r="A292" s="64"/>
      <c r="B292" s="77" t="b">
        <v>0</v>
      </c>
      <c r="C292" s="77" t="b">
        <v>0</v>
      </c>
      <c r="D292" s="77" t="s">
        <v>1993</v>
      </c>
      <c r="E292" s="64" t="s">
        <v>1904</v>
      </c>
      <c r="F292" s="64" t="s">
        <v>2785</v>
      </c>
      <c r="G292" s="64" t="s">
        <v>2784</v>
      </c>
      <c r="H292" s="64" t="s">
        <v>2784</v>
      </c>
      <c r="I292" s="64" t="b">
        <v>1</v>
      </c>
      <c r="J292" s="66" t="s">
        <v>2783</v>
      </c>
      <c r="K292" s="66" t="s">
        <v>3960</v>
      </c>
      <c r="L292" s="64" t="s">
        <v>4094</v>
      </c>
      <c r="M292" s="64" t="s">
        <v>5959</v>
      </c>
      <c r="N292" s="65" t="str">
        <f t="shared" si="30"/>
        <v>[Molloy, S. W. (2018). &lt;i&gt;A Practical Guide to Using Camera Traps for Wildlife Monitoring in Natural Resource Management Projects&lt;/i&gt;. &lt;a target="_blank" href="https://doi.org/10.13140/RG.2.2.28025.57449"&gt;{https://doi.org/10.13140/RG.2.2.28025.57449}]{#molloy_2018}&lt;br&gt;&lt;br&gt;</v>
      </c>
      <c r="O292" s="64" t="s">
        <v>2782</v>
      </c>
      <c r="P292" s="64" t="s">
        <v>984</v>
      </c>
      <c r="Q292" s="64" t="str">
        <f t="shared" si="26"/>
        <v>{{ rtxt_molloy_2018 }}</v>
      </c>
      <c r="R292" s="64" t="str">
        <f t="shared" si="27"/>
        <v>{{ rbib_molloy_2018 }}</v>
      </c>
      <c r="S292" s="63" t="str">
        <f t="shared" si="31"/>
        <v>Molloy, S. W. (2018). &lt;i&gt;A Practical Guide to Using Camera Traps for Wildlife Monitoring in Natural Resource Management Projects&lt;/i&gt;. &lt;a href="https://doi.org/10.13140/RG.2.2.28025.57449" target="_blank"&gt;https://doi.org/10.13140/RG.2.2.28025.57449&lt;/a&gt;&lt;span style="color:white"&gt;[.]{#molloy_2018}&lt;/span&gt;&lt;br&gt;&lt;br&gt;</v>
      </c>
      <c r="T292" s="64" t="str">
        <f t="shared" si="29"/>
        <v xml:space="preserve">    rtxt_molloy_2018: "&lt;a href=\"/08_references.html#molloy_2018\" target=\"_blank\"&gt;Molloy, 2018&lt;/a&gt;"</v>
      </c>
      <c r="U292" s="64" t="str">
        <f t="shared" si="28"/>
        <v xml:space="preserve">    rbib_molloy_2018: "Molloy, S. W. (2018). *A Practical Guide to Using Camera Traps for Wildlife Monitoring in Natural Resource Management Projects*. &lt;https://doi.org/10.13140/RG.2.2.28025.57449&gt;"</v>
      </c>
      <c r="V292" s="64"/>
    </row>
    <row r="293" spans="1:22" ht="15.75">
      <c r="A293" s="64"/>
      <c r="B293" s="77" t="b">
        <v>1</v>
      </c>
      <c r="C293" s="77" t="b">
        <v>0</v>
      </c>
      <c r="D293" s="77" t="b">
        <v>0</v>
      </c>
      <c r="E293" s="64" t="s">
        <v>1904</v>
      </c>
      <c r="F293" s="64" t="s">
        <v>2781</v>
      </c>
      <c r="G293" s="64" t="s">
        <v>2780</v>
      </c>
      <c r="H293" s="64" t="s">
        <v>2780</v>
      </c>
      <c r="I293" s="64" t="b">
        <v>1</v>
      </c>
      <c r="J293" s="66" t="s">
        <v>2779</v>
      </c>
      <c r="K293" s="66" t="s">
        <v>3960</v>
      </c>
      <c r="L293" s="64" t="s">
        <v>4095</v>
      </c>
      <c r="M293" s="64" t="s">
        <v>5802</v>
      </c>
      <c r="N293" s="65" t="str">
        <f t="shared" si="30"/>
        <v>[Moqanaki,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href="https://doi.org/10.1007/s10980-021-01283-x"&gt;{https://doi.org/10.1007/s10980-021-01283-x}]{#moqanaki_et_al_2021}&lt;br&gt;&lt;br&gt;</v>
      </c>
      <c r="O293" s="64" t="s">
        <v>2778</v>
      </c>
      <c r="P293" s="64" t="s">
        <v>984</v>
      </c>
      <c r="Q293" s="64" t="str">
        <f t="shared" si="26"/>
        <v>{{ rtxt_moqanaki_et_al_2021 }}</v>
      </c>
      <c r="R293" s="64" t="str">
        <f t="shared" si="27"/>
        <v>{{ rbib_moqanaki_et_al_2021 }}</v>
      </c>
      <c r="S293" s="63" t="str">
        <f t="shared" si="31"/>
        <v>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target="_blank"&gt;https://doi.org/10.1007/s10980-021-01283-x&lt;/a&gt;&lt;span style="color:white"&gt;[.]{#moqanaki_et_al_2021}&lt;/span&gt;&lt;br&gt;&lt;br&gt;</v>
      </c>
      <c r="T293" s="64" t="str">
        <f t="shared" si="29"/>
        <v xml:space="preserve">    rtxt_moqanaki_et_al_2021: "&lt;a href=\"/08_references.html#moqanaki_et_al_2021\" target=\"_blank\"&gt;Moqanaki et al., 2021&lt;/a&gt;"</v>
      </c>
      <c r="U293" s="64" t="str">
        <f t="shared" si="28"/>
        <v xml:space="preserve">    rbib_moqanaki_et_al_2021: "Moqanaki, E. S., Milleret, C., Tourani, M., Dupont, P., &amp; Bischof, R. (2021). Consequences of ignoring variable and spatially autocorrelated detection probability in spatial capture- recapture. *Landscape Ecology, 36, 2879-2895*. &lt;https://doi.org/10.1007/s10980-021-01283-x&gt;"</v>
      </c>
      <c r="V293" s="64"/>
    </row>
    <row r="294" spans="1:22" ht="15.75">
      <c r="A294" s="64"/>
      <c r="B294" s="77" t="b">
        <v>1</v>
      </c>
      <c r="C294" s="77" t="b">
        <v>0</v>
      </c>
      <c r="D294" s="77" t="b">
        <v>0</v>
      </c>
      <c r="E294" s="64" t="s">
        <v>1904</v>
      </c>
      <c r="F294" s="64" t="s">
        <v>2777</v>
      </c>
      <c r="G294" s="64" t="s">
        <v>2776</v>
      </c>
      <c r="H294" s="64" t="s">
        <v>2776</v>
      </c>
      <c r="I294" s="64" t="b">
        <v>1</v>
      </c>
      <c r="J294" s="66" t="s">
        <v>2775</v>
      </c>
      <c r="K294" s="66" t="s">
        <v>3960</v>
      </c>
      <c r="L294" s="64" t="s">
        <v>4096</v>
      </c>
      <c r="M294" s="64" t="s">
        <v>5831</v>
      </c>
      <c r="N294" s="65" t="str">
        <f t="shared" si="30"/>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href="https://doi.org/10.1016/j.gecco.2022.e02058"&gt;{https://doi.org/10.1016/j.gecco.2022.e02058}]{#morin_et_al_2022}&lt;br&gt;&lt;br&gt;</v>
      </c>
      <c r="O294" s="64" t="s">
        <v>2774</v>
      </c>
      <c r="P294" s="64" t="s">
        <v>984</v>
      </c>
      <c r="Q294" s="64" t="str">
        <f t="shared" si="26"/>
        <v>{{ rtxt_morin_et_al_2022 }}</v>
      </c>
      <c r="R294" s="64" t="str">
        <f t="shared" si="27"/>
        <v>{{ rbib_morin_et_al_2022 }}</v>
      </c>
      <c r="S294" s="63" t="str">
        <f t="shared" si="31"/>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target="_blank"&gt;https://doi.org/10.1016/j.gecco.2022.e02058&lt;/a&gt;&lt;span style="color:white"&gt;[.]{#morin_et_al_2022}&lt;/span&gt;&lt;br&gt;&lt;br&gt;</v>
      </c>
      <c r="T294" s="64" t="str">
        <f t="shared" si="29"/>
        <v xml:space="preserve">    rtxt_morin_et_al_2022: "&lt;a href=\"/08_references.html#morin_et_al_2022\" target=\"_blank\"&gt;Morin et al., 2022&lt;/a&gt;"</v>
      </c>
      <c r="U294" s="64" t="str">
        <f t="shared" si="28"/>
        <v xml:space="preserve">    rbib_morin_et_al_2022: "Morin,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v>
      </c>
      <c r="V294" s="64"/>
    </row>
    <row r="295" spans="1:22" ht="15.75">
      <c r="A295" s="64"/>
      <c r="B295" s="77" t="b">
        <v>1</v>
      </c>
      <c r="C295" s="77" t="b">
        <v>0</v>
      </c>
      <c r="D295" s="77" t="b">
        <v>0</v>
      </c>
      <c r="E295" s="64" t="s">
        <v>1950</v>
      </c>
      <c r="F295" s="64" t="s">
        <v>2773</v>
      </c>
      <c r="G295" s="64" t="s">
        <v>2772</v>
      </c>
      <c r="H295" s="64" t="s">
        <v>2772</v>
      </c>
      <c r="I295" s="64" t="b">
        <v>1</v>
      </c>
      <c r="J295" s="66" t="s">
        <v>2771</v>
      </c>
      <c r="K295" s="66" t="s">
        <v>3960</v>
      </c>
      <c r="L295" s="64" t="s">
        <v>4097</v>
      </c>
      <c r="M295" s="64" t="s">
        <v>5693</v>
      </c>
      <c r="N295" s="65" t="str">
        <f t="shared" si="30"/>
        <v>[Morris, D. (2022). &lt;i&gt;Everything I know about machine learning and camera traps.&lt;/i&gt; &lt;a target="_blank" href="https://agentmorris.github.io/camera-trap-ml-Survey/"&gt;{https://agentmorris.github.io/camera-trap-ml-Survey/}]{#morris_2022}&lt;br&gt;&lt;br&gt;</v>
      </c>
      <c r="O295" s="64" t="s">
        <v>2770</v>
      </c>
      <c r="P295" s="64" t="s">
        <v>984</v>
      </c>
      <c r="Q295" s="64" t="str">
        <f t="shared" si="26"/>
        <v>{{ rtxt_morris_2022 }}</v>
      </c>
      <c r="R295" s="64" t="str">
        <f t="shared" si="27"/>
        <v>{{ rbib_morris_2022 }}</v>
      </c>
      <c r="S295" s="63" t="str">
        <f t="shared" si="31"/>
        <v>Morris, D. (2022). &lt;i&gt;Everything I know about machine learning and camera traps.&lt;/i&gt; &lt;a href="https://agentmorris.github.io/camera-trap-ml-Survey/" target="_blank"&gt;https://agentmorris.github.io/camera-trap-ml-Survey/&lt;/a&gt;&lt;span style="color:white"&gt;[.]{#morris_2022}&lt;/span&gt;&lt;br&gt;&lt;br&gt;</v>
      </c>
      <c r="T295" s="64" t="str">
        <f t="shared" si="29"/>
        <v xml:space="preserve">    rtxt_morris_2022: "&lt;a href=\"/08_references.html#morris_2022\" target=\"_blank\"&gt;Morris, 2022&lt;/a&gt;"</v>
      </c>
      <c r="U295" s="64" t="str">
        <f t="shared" si="28"/>
        <v xml:space="preserve">    rbib_morris_2022: "Morris, D. (2022). *Everything I know about machine learning and camera traps.* &lt;https://agentmorris.github.io/camera-trap-ml-Survey/&gt;"</v>
      </c>
      <c r="V295" s="64"/>
    </row>
    <row r="296" spans="1:22" ht="15.75">
      <c r="A296" s="64"/>
      <c r="B296" s="77" t="b">
        <v>0</v>
      </c>
      <c r="C296" s="77" t="b">
        <v>0</v>
      </c>
      <c r="D296" s="77" t="s">
        <v>1993</v>
      </c>
      <c r="E296" s="64" t="s">
        <v>1904</v>
      </c>
      <c r="F296" s="64" t="s">
        <v>2769</v>
      </c>
      <c r="G296" s="64" t="s">
        <v>2768</v>
      </c>
      <c r="H296" s="64" t="s">
        <v>2768</v>
      </c>
      <c r="I296" s="64" t="b">
        <v>1</v>
      </c>
      <c r="J296" s="66" t="s">
        <v>2767</v>
      </c>
      <c r="K296" s="66" t="s">
        <v>3960</v>
      </c>
      <c r="L296" s="64" t="s">
        <v>4098</v>
      </c>
      <c r="M296" s="64" t="s">
        <v>5777</v>
      </c>
      <c r="N296" s="65" t="str">
        <f t="shared" si="30"/>
        <v>[Morrison, M. L., Block, W. M., Strickland, M. D., Collier, B. A. &amp; Peterson, M. J. (2008). &lt;i&gt;Wildlife Study Design&lt;/i&gt;. Springer, New York. &lt;a target="_blank" href="https://doi.org/10.1007/978-0-387-75528-1"&gt;{https://doi.org/10.1007/978-0-387-75528-1}]{#morrison_et_al_2018}&lt;br&gt;&lt;br&gt;</v>
      </c>
      <c r="O296" s="64" t="s">
        <v>2766</v>
      </c>
      <c r="P296" s="64" t="s">
        <v>984</v>
      </c>
      <c r="Q296" s="64" t="str">
        <f t="shared" si="26"/>
        <v>{{ rtxt_morrison_et_al_2018 }}</v>
      </c>
      <c r="R296" s="64" t="str">
        <f t="shared" si="27"/>
        <v>{{ rbib_morrison_et_al_2018 }}</v>
      </c>
      <c r="S296" s="63" t="str">
        <f t="shared" si="31"/>
        <v>Morrison, M. L., Block, W. M., Strickland, M. D., Collier, B. A. &amp; Peterson, M. J. (2008). &lt;i&gt;Wildlife Study Design&lt;/i&gt;. Springer, New York. &lt;a href="https://doi.org/10.1007/978-0-387-75528-1" target="_blank"&gt;https://doi.org/10.1007/978-0-387-75528-1&lt;/a&gt;&lt;span style="color:white"&gt;[.]{#morrison_et_al_2018}&lt;/span&gt;&lt;br&gt;&lt;br&gt;</v>
      </c>
      <c r="T296" s="64" t="str">
        <f t="shared" si="29"/>
        <v xml:space="preserve">    rtxt_morrison_et_al_2018: "&lt;a href=\"/08_references.html#morrison_et_al_2018\" target=\"_blank\"&gt;Morrison et al., 2018&lt;/a&gt;"</v>
      </c>
      <c r="U296" s="64" t="str">
        <f t="shared" si="28"/>
        <v xml:space="preserve">    rbib_morrison_et_al_2018: "Morrison, M. L., Block, W. M., Strickland, M. D., Collier, B. A. &amp; Peterson, M. J. (2008). *Wildlife Study Design*. Springer, New York. &lt;https://doi.org/10.1007/978-0-387-75528-1&gt;"</v>
      </c>
      <c r="V296" s="64"/>
    </row>
    <row r="297" spans="1:22" ht="15.75">
      <c r="A297" s="64"/>
      <c r="B297" s="77" t="b">
        <v>0</v>
      </c>
      <c r="C297" s="77" t="b">
        <v>1</v>
      </c>
      <c r="D297" s="77" t="b">
        <v>0</v>
      </c>
      <c r="E297" s="64" t="s">
        <v>1904</v>
      </c>
      <c r="F297" s="64" t="s">
        <v>2765</v>
      </c>
      <c r="G297" s="64" t="s">
        <v>2764</v>
      </c>
      <c r="H297" s="64" t="s">
        <v>2764</v>
      </c>
      <c r="I297" s="64" t="b">
        <v>1</v>
      </c>
      <c r="J297" s="66" t="s">
        <v>2763</v>
      </c>
      <c r="K297" s="66" t="s">
        <v>3960</v>
      </c>
      <c r="L297" s="64" t="s">
        <v>4099</v>
      </c>
      <c r="M297" s="64" t="s">
        <v>5960</v>
      </c>
      <c r="N297" s="65" t="str">
        <f t="shared" si="30"/>
        <v>[Muhly, T. B., Semeniuk, C., Massolo, A., Hickman, L., &amp; Musiani, M. (2011). Human activity helps prey win the predator-prey space race. &lt;i&gt;PloS One, 6&lt;/i&gt;(3), e17050. &lt;a target="_blank" href="https://doi.org/10.1371/journal.pone.0017050"&gt;{https://doi.org/10.1371/journal.pone.0017050}]{#muhly_et_al_2011}&lt;br&gt;&lt;br&gt;</v>
      </c>
      <c r="O297" s="64" t="s">
        <v>2762</v>
      </c>
      <c r="P297" s="64" t="s">
        <v>984</v>
      </c>
      <c r="Q297" s="64" t="str">
        <f t="shared" si="26"/>
        <v>{{ rtxt_muhly_et_al_2011 }}</v>
      </c>
      <c r="R297" s="64" t="str">
        <f t="shared" si="27"/>
        <v>{{ rbib_muhly_et_al_2011 }}</v>
      </c>
      <c r="S297" s="63" t="str">
        <f t="shared" si="31"/>
        <v>Muhly, T. B., Semeniuk, C., Massolo, A., Hickman, L., &amp; Musiani, M. (2011). Human activity helps prey win the predator-prey space race. &lt;i&gt;PloS One, 6&lt;/i&gt;(3), e17050. &lt;a href="https://doi.org/10.1371/journal.pone.0017050" target="_blank"&gt;https://doi.org/10.1371/journal.pone.0017050&lt;/a&gt;&lt;span style="color:white"&gt;[.]{#muhly_et_al_2011}&lt;/span&gt;&lt;br&gt;&lt;br&gt;</v>
      </c>
      <c r="T297" s="64" t="str">
        <f t="shared" si="29"/>
        <v xml:space="preserve">    rtxt_muhly_et_al_2011: "&lt;a href=\"/08_references.html#muhly_et_al_2011\" target=\"_blank\"&gt;Muhly et al., 2011&lt;/a&gt;"</v>
      </c>
      <c r="U297" s="64" t="str">
        <f t="shared" si="28"/>
        <v xml:space="preserve">    rbib_muhly_et_al_2011: "Muhly, T. B., Semeniuk, C., Massolo, A., Hickman, L., &amp; Musiani, M. (2011). Human activity helps prey win the predator-prey space race. *PloS One, 6*(3), e17050. &lt;https://doi.org/10.1371/journal.pone.0017050&gt;"</v>
      </c>
      <c r="V297" s="64"/>
    </row>
    <row r="298" spans="1:22" ht="15.75">
      <c r="A298" s="64"/>
      <c r="B298" s="77" t="b">
        <v>0</v>
      </c>
      <c r="C298" s="77" t="b">
        <v>1</v>
      </c>
      <c r="D298" s="77" t="b">
        <v>0</v>
      </c>
      <c r="E298" s="64" t="s">
        <v>1904</v>
      </c>
      <c r="F298" s="64" t="s">
        <v>2761</v>
      </c>
      <c r="G298" s="64" t="s">
        <v>2760</v>
      </c>
      <c r="H298" s="64" t="s">
        <v>2760</v>
      </c>
      <c r="I298" s="64" t="b">
        <v>1</v>
      </c>
      <c r="J298" s="66" t="s">
        <v>2759</v>
      </c>
      <c r="K298" s="66" t="s">
        <v>3960</v>
      </c>
      <c r="L298" s="64" t="s">
        <v>4100</v>
      </c>
      <c r="M298" s="64" t="s">
        <v>5968</v>
      </c>
      <c r="N298" s="65" t="str">
        <f t="shared" si="30"/>
        <v>[Muhly, T., Serrouya, R., Neilson, E., Li, H., &amp; Boutin, S. (2015). Influence of In-Situ Oil Sands Development on Caribou (Rangifer tarandus) Movement. &lt;i&gt;PloS One, 10&lt;/i&gt;(9), e0136933. &lt;a target="_blank" href="https://doi.org/10.1371/journal.pone.0136933"&gt;{https://doi.org/10.1371/journal.pone.0136933}]{#muhly_et_al_2015}&lt;br&gt;&lt;br&gt;</v>
      </c>
      <c r="O298" s="64" t="s">
        <v>2758</v>
      </c>
      <c r="P298" s="64" t="s">
        <v>984</v>
      </c>
      <c r="Q298" s="64" t="str">
        <f t="shared" si="26"/>
        <v>{{ rtxt_muhly_et_al_2015 }}</v>
      </c>
      <c r="R298" s="64" t="str">
        <f t="shared" si="27"/>
        <v>{{ rbib_muhly_et_al_2015 }}</v>
      </c>
      <c r="S298" s="63" t="str">
        <f t="shared" si="31"/>
        <v>Muhly, T., Serrouya, R., Neilson, E., Li, H., &amp; Boutin, S. (2015). Influence of In-Situ Oil Sands Development on Caribou (Rangifer tarandus) Movement. &lt;i&gt;PloS One, 10&lt;/i&gt;(9), e0136933. &lt;a href="https://doi.org/10.1371/journal.pone.0136933" target="_blank"&gt;https://doi.org/10.1371/journal.pone.0136933&lt;/a&gt;&lt;span style="color:white"&gt;[.]{#muhly_et_al_2015}&lt;/span&gt;&lt;br&gt;&lt;br&gt;</v>
      </c>
      <c r="T298" s="64" t="str">
        <f t="shared" si="29"/>
        <v xml:space="preserve">    rtxt_muhly_et_al_2015: "&lt;a href=\"/08_references.html#muhly_et_al_2015\" target=\"_blank\"&gt;Muhly et al., 2015&lt;/a&gt;"</v>
      </c>
      <c r="U298" s="64" t="str">
        <f t="shared" si="28"/>
        <v xml:space="preserve">    rbib_muhly_et_al_2015: "Muhly, T., Serrouya, R., Neilson, E., Li, H., &amp; Boutin, S. (2015). Influence of In-Situ Oil Sands Development on Caribou (*Rangifer tarandus*) Movement. *PloS One, 10*(9), e0136933. &lt;https://doi.org/10.1371/journal.pone.0136933&gt;"</v>
      </c>
      <c r="V298" s="64"/>
    </row>
    <row r="299" spans="1:22" ht="15.75">
      <c r="A299" s="64"/>
      <c r="B299" s="77" t="b">
        <v>1</v>
      </c>
      <c r="C299" s="77" t="b">
        <v>0</v>
      </c>
      <c r="D299" s="77" t="b">
        <v>1</v>
      </c>
      <c r="E299" s="64" t="s">
        <v>1904</v>
      </c>
      <c r="F299" s="64" t="s">
        <v>2757</v>
      </c>
      <c r="G299" s="64" t="s">
        <v>2756</v>
      </c>
      <c r="H299" s="64" t="s">
        <v>2756</v>
      </c>
      <c r="I299" s="64" t="b">
        <v>1</v>
      </c>
      <c r="J299" s="66" t="s">
        <v>2755</v>
      </c>
      <c r="K299" s="66" t="s">
        <v>3960</v>
      </c>
      <c r="L299" s="64" t="s">
        <v>4101</v>
      </c>
      <c r="M299" s="64" t="s">
        <v>5809</v>
      </c>
      <c r="N299" s="65" t="str">
        <f t="shared" si="30"/>
        <v>[Mullahy, J. (1986). Specification and Testing of Some Modified Count Data Models. &lt;i&gt;Journal of Econometrics, 33&lt;/i&gt;(3), 341-365. &lt;a target="_blank" href="https://doi.org/10.1016/0304-4076(86)90002-3"&gt;{https://doi.org/10.1016/0304-4076(86)90002-3}]{#mullahy_1986}&lt;br&gt;&lt;br&gt;</v>
      </c>
      <c r="O299" s="64" t="s">
        <v>2754</v>
      </c>
      <c r="P299" s="64" t="s">
        <v>984</v>
      </c>
      <c r="Q299" s="64" t="str">
        <f t="shared" si="26"/>
        <v>{{ rtxt_mullahy_1986 }}</v>
      </c>
      <c r="R299" s="64" t="str">
        <f t="shared" si="27"/>
        <v>{{ rbib_mullahy_1986 }}</v>
      </c>
      <c r="S299" s="63" t="str">
        <f t="shared" si="31"/>
        <v>Mullahy, J. (1986). Specification and Testing of Some Modified Count Data Models. &lt;i&gt;Journal of Econometrics, 33&lt;/i&gt;(3), 341-365. &lt;a href="https://doi.org/10.1016/0304-4076(86)90002-3" target="_blank"&gt;https://doi.org/10.1016/0304-4076(86)90002-3&lt;/a&gt;&lt;span style="color:white"&gt;[.]{#mullahy_1986}&lt;/span&gt;&lt;br&gt;&lt;br&gt;</v>
      </c>
      <c r="T299" s="64" t="str">
        <f t="shared" si="29"/>
        <v xml:space="preserve">    rtxt_mullahy_1986: "&lt;a href=\"/08_references.html#mullahy_1986\" target=\"_blank\"&gt;Mullahy, 1986&lt;/a&gt;"</v>
      </c>
      <c r="U299" s="64" t="str">
        <f t="shared" si="28"/>
        <v xml:space="preserve">    rbib_mullahy_1986: "Mullahy, J. (1986). Specification and Testing of Some Modified Count Data Models. *Journal of Econometrics, 3*3(3), 341-365. &lt;https://doi.org/10.1016/0304-4076(86)90002-3&gt;"</v>
      </c>
      <c r="V299" s="64"/>
    </row>
    <row r="300" spans="1:22" ht="15.75">
      <c r="A300" s="64"/>
      <c r="B300" s="77" t="b">
        <v>0</v>
      </c>
      <c r="C300" s="77" t="b">
        <v>0</v>
      </c>
      <c r="D300" s="77" t="s">
        <v>1993</v>
      </c>
      <c r="E300" s="64" t="s">
        <v>1904</v>
      </c>
      <c r="F300" s="64" t="s">
        <v>2749</v>
      </c>
      <c r="G300" s="64" t="s">
        <v>2748</v>
      </c>
      <c r="H300" s="64" t="s">
        <v>2748</v>
      </c>
      <c r="I300" s="64" t="b">
        <v>1</v>
      </c>
      <c r="J300" s="66" t="s">
        <v>2747</v>
      </c>
      <c r="K300" s="66" t="s">
        <v>3960</v>
      </c>
      <c r="L300" s="64" t="s">
        <v>4102</v>
      </c>
      <c r="M300" s="64" t="s">
        <v>5877</v>
      </c>
      <c r="N300" s="65" t="str">
        <f t="shared" si="30"/>
        <v>[Murray,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href="https://doi.org/10.1111/1365-2656.13515"&gt;{https://doi.org/10.1111/1365-2656.13515}]{#murray_et_al_2021}&lt;br&gt;&lt;br&gt;</v>
      </c>
      <c r="O300" s="64" t="s">
        <v>2746</v>
      </c>
      <c r="P300" s="64" t="s">
        <v>984</v>
      </c>
      <c r="Q300" s="64" t="str">
        <f t="shared" si="26"/>
        <v>{{ rtxt_murray_et_al_2021 }}</v>
      </c>
      <c r="R300" s="64" t="str">
        <f t="shared" si="27"/>
        <v>{{ rbib_murray_et_al_2021 }}</v>
      </c>
      <c r="S300" s="63" t="str">
        <f t="shared" si="31"/>
        <v>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target="_blank"&gt;https://doi.org/10.1111/1365-2656.13515&lt;/a&gt;&lt;span style="color:white"&gt;[.]{#murray_et_al_2021}&lt;/span&gt;&lt;br&gt;&lt;br&gt;</v>
      </c>
      <c r="T300" s="64" t="str">
        <f t="shared" si="29"/>
        <v xml:space="preserve">    rtxt_murray_et_al_2021: "&lt;a href=\"/08_references.html#murray_et_al_2021\" target=\"_blank\"&gt;Murray et al., 2021&lt;/a&gt;"</v>
      </c>
      <c r="U300" s="64" t="str">
        <f t="shared" si="28"/>
        <v xml:space="preserve">    rbib_murray_et_al_2021: "Murray, M. H., Fidino, M., Lehrer, E. W., Simonis, J. L., &amp; Magle, S. B. (2021). A multi-state occupancy model to non-invasively monitor visible signs of wildlife health with camera traps that accounts for image quality. *Journal of Animal Ecology, 90*(8), 1973-1984. &lt;https://doi.org/10.1111/1365-2656.13515&gt;"</v>
      </c>
      <c r="V300" s="64"/>
    </row>
    <row r="301" spans="1:22" ht="15.75">
      <c r="A301" s="64"/>
      <c r="B301" s="77" t="b">
        <v>1</v>
      </c>
      <c r="C301" s="77" t="b">
        <v>1</v>
      </c>
      <c r="D301" s="77" t="b">
        <v>0</v>
      </c>
      <c r="E301" s="64" t="s">
        <v>1904</v>
      </c>
      <c r="F301" s="64" t="s">
        <v>2753</v>
      </c>
      <c r="G301" s="64" t="s">
        <v>2752</v>
      </c>
      <c r="H301" s="64" t="s">
        <v>2752</v>
      </c>
      <c r="I301" s="64" t="b">
        <v>1</v>
      </c>
      <c r="J301" s="66" t="s">
        <v>2751</v>
      </c>
      <c r="K301" s="66" t="s">
        <v>3960</v>
      </c>
      <c r="L301" s="64" t="s">
        <v>4103</v>
      </c>
      <c r="M301" s="64" t="s">
        <v>6113</v>
      </c>
      <c r="N301" s="65" t="str">
        <f t="shared" si="30"/>
        <v>[Murray, M. H., Hill, J., Whyte, P., &amp; St Clair, C. C. (2016) Urban Compost Attracts Coyotes, Contains Toxins, and may Promote Disease in Urban-Adapted Wildlife. &lt;i&gt;EcoHealth, 13&lt;/i&gt;(2):285-92. &lt;a target="_blank" href="https://www.ncbi.nlm.nih.gov/pubmed/27106524"&gt;{https://www.ncbi.nlm.nih.gov/pubmed/27106524}]{#murray_et_al_2016}&lt;br&gt;&lt;br&gt;</v>
      </c>
      <c r="O301" s="64" t="s">
        <v>2750</v>
      </c>
      <c r="P301" s="64" t="s">
        <v>984</v>
      </c>
      <c r="Q301" s="64" t="str">
        <f t="shared" si="26"/>
        <v>{{ rtxt_murray_et_al_2016 }}</v>
      </c>
      <c r="R301" s="64" t="str">
        <f t="shared" si="27"/>
        <v>{{ rbib_murray_et_al_2016 }}</v>
      </c>
      <c r="S301" s="63" t="str">
        <f t="shared" si="31"/>
        <v>Murray, M. H., Hill, J., Whyte, P., &amp; St Clair, C. C. (2016) Urban Compost Attracts Coyotes, Contains Toxins, and may Promote Disease in Urban-Adapted Wildlife. &lt;i&gt;EcoHealth, 13&lt;/i&gt;(2):285-92. &lt;a href="https://www.ncbi.nlm.nih.gov/pubmed/27106524" target="_blank"&gt;https://www.ncbi.nlm.nih.gov/pubmed/27106524&lt;/a&gt;&lt;span style="color:white"&gt;[.]{#murray_et_al_2016}&lt;/span&gt;&lt;br&gt;&lt;br&gt;</v>
      </c>
      <c r="T301" s="64" t="str">
        <f t="shared" si="29"/>
        <v xml:space="preserve">    rtxt_murray_et_al_2016: "&lt;a href=\"/08_references.html#murray_et_al_2016\" target=\"_blank\"&gt;Murray et al., 2016&lt;/a&gt;"</v>
      </c>
      <c r="U301" s="64" t="str">
        <f t="shared" si="28"/>
        <v xml:space="preserve">    rbib_murray_et_al_2016: "Murray, M. H., Hill, J., Whyte, P., &amp; St Clair, C. C. (2016) Urban Compost Attracts Coyotes, Contains Toxins, and may Promote Disease in Urban-Adapted Wildlife. *EcoHealth, 13*(2):285-92. &lt;https://www.ncbi.nlm.nih.gov/pubmed/27106524&gt;"</v>
      </c>
      <c r="V301" s="64"/>
    </row>
    <row r="302" spans="1:22" ht="15.75">
      <c r="A302" s="64"/>
      <c r="B302" s="77"/>
      <c r="C302" s="77"/>
      <c r="D302" s="77"/>
      <c r="E302" s="64" t="s">
        <v>1945</v>
      </c>
      <c r="F302" s="65" t="s">
        <v>2745</v>
      </c>
      <c r="G302" s="64" t="s">
        <v>2744</v>
      </c>
      <c r="H302" s="64" t="s">
        <v>2743</v>
      </c>
      <c r="I302" s="64" t="b">
        <v>1</v>
      </c>
      <c r="J302" s="66" t="s">
        <v>2742</v>
      </c>
      <c r="K302" s="66" t="s">
        <v>3960</v>
      </c>
      <c r="L302" s="64" t="s">
        <v>4104</v>
      </c>
      <c r="M302" s="64" t="s">
        <v>6134</v>
      </c>
      <c r="N302" s="65" t="str">
        <f t="shared" si="30"/>
        <v>[Nakajima. (2021a, Jul 1). &lt;i&gt;Density Estimation with the REST Model.&lt;/i&gt; [Playlist]. YouTube. &lt;a target="_blank" href="https://www.youtube.com/playlist?list=PLNlLe3RjftYun9Xh2pJOAuisHaTVyEwAB"&gt;{https://www.youtube.com/playlist?list=PLNlLe3RjftYun9Xh2pJOAuisHaTVyEwAB}]{#nakajima_2021a}&lt;br&gt;&lt;br&gt;</v>
      </c>
      <c r="O302" s="64" t="s">
        <v>2741</v>
      </c>
      <c r="P302" s="64" t="s">
        <v>984</v>
      </c>
      <c r="Q302" s="64" t="str">
        <f t="shared" si="26"/>
        <v>{{ rtxt_nakajima_2021a }}</v>
      </c>
      <c r="R302" s="64" t="str">
        <f t="shared" si="27"/>
        <v>{{ rbib_nakajima_2021a }}</v>
      </c>
      <c r="S302" s="63" t="str">
        <f t="shared" si="31"/>
        <v>Nakajima. (2021a, Jul 1). &lt;i&gt;Density Estimation with the REST Model.&lt;/i&gt; [Playlist]. YouTube. &lt;a href="https://www.youtube.com/playlist?list=PLNlLe3RjftYun9Xh2pJOAuisHaTVyEwAB" target="_blank"&gt;https://www.youtube.com/playlist?list=PLNlLe3RjftYun9Xh2pJOAuisHaTVyEwAB&lt;/a&gt;&lt;span style="color:white"&gt;[.]{#nakajima_2021a}&lt;/span&gt;&lt;br&gt;&lt;br&gt;</v>
      </c>
      <c r="T302" s="64" t="str">
        <f t="shared" si="29"/>
        <v xml:space="preserve">    rtxt_nakajima_2021a: "&lt;a href=\"/08_references.html#nakajima_2021a\" target=\"_blank\"&gt;Nakajima, 2021a&lt;/a&gt;"</v>
      </c>
      <c r="U302" s="64" t="str">
        <f t="shared" si="28"/>
        <v xml:space="preserve">    rbib_nakajima_2021a: "Nakajima. (2021a, Jul 1). *Density Estimation with the REST Model.* [Playlist]. YouTube. &lt;https://www.youtube.com/playlist?list=PLNlLe3RjftYun9Xh2pJOAuisHaTVyEwAB&gt;"</v>
      </c>
      <c r="V302" s="64"/>
    </row>
    <row r="303" spans="1:22" ht="15.75">
      <c r="A303" s="64"/>
      <c r="B303" s="77"/>
      <c r="C303" s="77"/>
      <c r="D303" s="77"/>
      <c r="E303" s="64" t="s">
        <v>1945</v>
      </c>
      <c r="F303" s="65" t="s">
        <v>2740</v>
      </c>
      <c r="G303" s="64" t="s">
        <v>2739</v>
      </c>
      <c r="H303" s="64" t="s">
        <v>2738</v>
      </c>
      <c r="I303" s="64" t="b">
        <v>1</v>
      </c>
      <c r="J303" s="66" t="s">
        <v>2737</v>
      </c>
      <c r="K303" s="66" t="s">
        <v>3960</v>
      </c>
      <c r="L303" s="64" t="s">
        <v>4105</v>
      </c>
      <c r="M303" s="64" t="s">
        <v>6154</v>
      </c>
      <c r="N303" s="65" t="str">
        <f t="shared" si="30"/>
        <v>[Nakajima.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href="https://www.youtube.com/watch?v=pUa9rgxSGVA&amp;list=PLNlLe3RjftYun9Xh2pJOAuisHaTVyEwAB&amp;index=1"&gt;{https://www.youtube.com/watch?v=pUa9rgxSGVA&amp;list=PLNlLe3RjftYun9Xh2pJOAuisHaTVyEwAB&amp;index=1}]{#nakajima_2021b}&lt;br&gt;&lt;br&gt;</v>
      </c>
      <c r="O303" s="64" t="s">
        <v>2735</v>
      </c>
      <c r="P303" s="64" t="s">
        <v>2736</v>
      </c>
      <c r="Q303" s="64" t="str">
        <f t="shared" si="26"/>
        <v>{{ rtxt_nakajima_2021b }}</v>
      </c>
      <c r="R303" s="64" t="str">
        <f t="shared" si="27"/>
        <v>{{ rbib_nakajima_2021b }}</v>
      </c>
      <c r="S303" s="63" t="str">
        <f t="shared" si="31"/>
        <v>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target="_blank"&gt;https://www.youtube.com/watch?v=pUa9rgxSGVA&amp;list=PLNlLe3RjftYun9Xh2pJOAuisHaTVyEwAB&amp;index=1&lt;/a&gt;&lt;span style="color:white"&gt;[.]{#nakajima_2021b}&lt;/span&gt;&lt;br&gt;&lt;br&gt;</v>
      </c>
      <c r="T303" s="64" t="str">
        <f t="shared" si="29"/>
        <v xml:space="preserve">    rtxt_nakajima_2021b: "&lt;a href=\"/08_references.html#nakajima_2021b\" target=\"_blank\"&gt;Nakajima, 2021b&lt;/a&gt;"</v>
      </c>
      <c r="U303" s="64" t="str">
        <f t="shared" si="28"/>
        <v xml:space="preserve">    rbib_nakajima_2021b: "Nakajima. (2021b, Jul 1). *Density Estimation with the REST Model &gt; REST_01_Set_Focal_Area* [Video]. YouTube. &lt;https://www.youtube.com/watch?v=pUa9rgxSGVA&amp;list=PLNlLe3RjftYun9Xh2pJOAuisHaTVyEwAB&amp;index=1&gt;"</v>
      </c>
      <c r="V303" s="64"/>
    </row>
    <row r="304" spans="1:22" ht="15.75">
      <c r="A304" s="64"/>
      <c r="B304" s="77"/>
      <c r="C304" s="77"/>
      <c r="D304" s="77"/>
      <c r="E304" s="64" t="s">
        <v>1945</v>
      </c>
      <c r="F304" s="65" t="s">
        <v>2734</v>
      </c>
      <c r="G304" s="64" t="s">
        <v>2733</v>
      </c>
      <c r="H304" s="64" t="s">
        <v>2732</v>
      </c>
      <c r="I304" s="64" t="b">
        <v>1</v>
      </c>
      <c r="J304" s="66" t="s">
        <v>2731</v>
      </c>
      <c r="K304" s="66" t="s">
        <v>3960</v>
      </c>
      <c r="L304" s="64" t="s">
        <v>4106</v>
      </c>
      <c r="M304" s="64" t="s">
        <v>6167</v>
      </c>
      <c r="N304" s="65" t="str">
        <f t="shared" si="30"/>
        <v>[Nakajima.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href="https://www.youtube.com/watch?v=wqEF_up7EGs&amp;list=PLNlLe3RjftYun9Xh2pJOAuisHaTVyEwAB&amp;index=2"&gt;{https://www.youtube.com/watch?v=wqEF_up7EGs&amp;list=PLNlLe3RjftYun9Xh2pJOAuisHaTVyEwAB&amp;index=2}]{#nakajima_2021c}&lt;br&gt;&lt;br&gt;</v>
      </c>
      <c r="O304" s="64" t="s">
        <v>2729</v>
      </c>
      <c r="P304" s="64" t="s">
        <v>2730</v>
      </c>
      <c r="Q304" s="64" t="str">
        <f t="shared" si="26"/>
        <v>{{ rtxt_nakajima_2021c }}</v>
      </c>
      <c r="R304" s="64" t="str">
        <f t="shared" si="27"/>
        <v>{{ rbib_nakajima_2021c }}</v>
      </c>
      <c r="S304" s="63" t="str">
        <f t="shared" si="31"/>
        <v>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target="_blank"&gt;https://www.youtube.com/watch?v=wqEF_up7EGs&amp;list=PLNlLe3RjftYun9Xh2pJOAuisHaTVyEwAB&amp;index=2&lt;/a&gt;&lt;span style="color:white"&gt;[.]{#nakajima_2021c}&lt;/span&gt;&lt;br&gt;&lt;br&gt;</v>
      </c>
      <c r="T304" s="64" t="str">
        <f t="shared" si="29"/>
        <v xml:space="preserve">    rtxt_nakajima_2021c: "&lt;a href=\"/08_references.html#nakajima_2021c\" target=\"_blank\"&gt;Nakajima, 2021c&lt;/a&gt;"</v>
      </c>
      <c r="U304" s="64" t="str">
        <f t="shared" si="28"/>
        <v xml:space="preserve">    rbib_nakajima_2021c: "Nakajima. (2021c, Jul 1). *Density Estimation with the REST Model &gt; REST_02_Set_Up_Emv.* [Video]. YouTube. &lt;https://www.youtube.com/watch?v=wqEF_up7EGs&amp;list=PLNlLe3RjftYun9Xh2pJOAuisHaTVyEwAB&amp;index=2&gt;"</v>
      </c>
      <c r="V304" s="64"/>
    </row>
    <row r="305" spans="1:22" ht="15.75">
      <c r="A305" s="64"/>
      <c r="B305" s="77"/>
      <c r="C305" s="77"/>
      <c r="D305" s="77"/>
      <c r="E305" s="64" t="s">
        <v>1945</v>
      </c>
      <c r="F305" s="65" t="s">
        <v>2728</v>
      </c>
      <c r="G305" s="64" t="s">
        <v>2727</v>
      </c>
      <c r="H305" s="64" t="s">
        <v>2726</v>
      </c>
      <c r="I305" s="64" t="b">
        <v>1</v>
      </c>
      <c r="J305" s="66" t="s">
        <v>2725</v>
      </c>
      <c r="K305" s="66" t="s">
        <v>3960</v>
      </c>
      <c r="L305" s="64" t="s">
        <v>4107</v>
      </c>
      <c r="M305" s="64" t="s">
        <v>6157</v>
      </c>
      <c r="N305" s="65" t="str">
        <f t="shared" si="30"/>
        <v>[Nakajima.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href="https://www.youtube.com/watch?v=s-d81K72yWs&amp;list=PLNlLe3RjftYun9Xh2pJOAuisHaTVyEwAB&amp;index=3"&gt;{https://www.youtube.com/watch?v=s-d81K72yWs&amp;list=PLNlLe3RjftYun9Xh2pJOAuisHaTVyEwAB&amp;index=3}]{#nakajima_2021d}&lt;br&gt;&lt;br&gt;</v>
      </c>
      <c r="O305" s="64" t="s">
        <v>2723</v>
      </c>
      <c r="P305" s="65" t="s">
        <v>2724</v>
      </c>
      <c r="Q305" s="64" t="str">
        <f t="shared" si="26"/>
        <v>{{ rtxt_nakajima_2021d }}</v>
      </c>
      <c r="R305" s="64" t="str">
        <f t="shared" si="27"/>
        <v>{{ rbib_nakajima_2021d }}</v>
      </c>
      <c r="S305" s="63" t="str">
        <f t="shared" si="31"/>
        <v>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target="_blank"&gt;https://www.youtube.com/watch?v=s-d81K72yWs&amp;list=PLNlLe3RjftYun9Xh2pJOAuisHaTVyEwAB&amp;index=3&lt;/a&gt;&lt;span style="color:white"&gt;[.]{#nakajima_2021d}&lt;/span&gt;&lt;br&gt;&lt;br&gt;</v>
      </c>
      <c r="T305" s="64" t="str">
        <f t="shared" si="29"/>
        <v xml:space="preserve">    rtxt_nakajima_2021d: "&lt;a href=\"/08_references.html#nakajima_2021d\" target=\"_blank\"&gt;Nakajima, 2021d&lt;/a&gt;"</v>
      </c>
      <c r="U305" s="64" t="str">
        <f t="shared" si="28"/>
        <v xml:space="preserve">    rbib_nakajima_2021d: "Nakajima. (2021d, Jul 1). *Density Estimation with the REST Model &gt; REST_03_MeasureStayingTime.* [Video]. YouTube. &lt;https://www.youtube.com/watch?v=s-d81K72yWs&amp;list=PLNlLe3RjftYun9Xh2pJOAuisHaTVyEwAB&amp;index=3&gt;"</v>
      </c>
      <c r="V305" s="64"/>
    </row>
    <row r="306" spans="1:22" ht="15.75">
      <c r="A306" s="64"/>
      <c r="B306" s="77" t="b">
        <v>1</v>
      </c>
      <c r="C306" s="77" t="b">
        <v>0</v>
      </c>
      <c r="D306" s="77" t="b">
        <v>1</v>
      </c>
      <c r="E306" s="64" t="s">
        <v>1904</v>
      </c>
      <c r="F306" s="64" t="s">
        <v>2722</v>
      </c>
      <c r="G306" s="64" t="s">
        <v>2721</v>
      </c>
      <c r="H306" s="64" t="s">
        <v>2721</v>
      </c>
      <c r="I306" s="64" t="b">
        <v>1</v>
      </c>
      <c r="J306" s="66" t="s">
        <v>2720</v>
      </c>
      <c r="K306" s="66" t="s">
        <v>3960</v>
      </c>
      <c r="L306" s="64" t="s">
        <v>4108</v>
      </c>
      <c r="M306" s="64" t="s">
        <v>5884</v>
      </c>
      <c r="N306" s="65" t="str">
        <f t="shared" si="30"/>
        <v>[Nakashima,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href="https://doi.org/10.1111/1365-2664.13059"&gt;{https://doi.org/10.1111/1365-2664.13059}]{#nakashima_et_al_2017}&lt;br&gt;&lt;br&gt;</v>
      </c>
      <c r="O306" s="64" t="s">
        <v>2719</v>
      </c>
      <c r="P306" s="64" t="s">
        <v>984</v>
      </c>
      <c r="Q306" s="64" t="str">
        <f t="shared" si="26"/>
        <v>{{ rtxt_nakashima_et_al_2017 }}</v>
      </c>
      <c r="R306" s="64" t="str">
        <f t="shared" si="27"/>
        <v>{{ rbib_nakashima_et_al_2017 }}</v>
      </c>
      <c r="S306" s="63" t="str">
        <f t="shared" si="31"/>
        <v>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target="_blank"&gt;https://doi.org/10.1111/1365-2664.13059&lt;/a&gt;&lt;span style="color:white"&gt;[.]{#nakashima_et_al_2017}&lt;/span&gt;&lt;br&gt;&lt;br&gt;</v>
      </c>
      <c r="T306" s="64" t="str">
        <f t="shared" si="29"/>
        <v xml:space="preserve">    rtxt_nakashima_et_al_2017: "&lt;a href=\"/08_references.html#nakashima_et_al_2017\" target=\"_blank\"&gt;Nakashima et al., 2017&lt;/a&gt;"</v>
      </c>
      <c r="U306" s="64" t="str">
        <f t="shared" si="28"/>
        <v xml:space="preserve">    rbib_nakashima_et_al_2017: "Nakashima, Y., Fukasawa, &amp; K., Samejima, H. (2017). Estimating Animal Density Without Individual Recognition Using Information Derivable Exclusively from Camera Traps. *Journal of Applied Ecology, 55*(2), 735-744. &lt;https://doi.org/10.1111/1365-2664.13059&gt;"</v>
      </c>
      <c r="V306" s="64"/>
    </row>
    <row r="307" spans="1:22" ht="15.75">
      <c r="A307" s="64"/>
      <c r="B307" s="77"/>
      <c r="C307" s="77"/>
      <c r="D307" s="77"/>
      <c r="E307" s="64" t="s">
        <v>1904</v>
      </c>
      <c r="F307" s="64" t="s">
        <v>2718</v>
      </c>
      <c r="G307" s="65" t="s">
        <v>2717</v>
      </c>
      <c r="H307" s="65" t="s">
        <v>2716</v>
      </c>
      <c r="I307" s="64" t="b">
        <v>1</v>
      </c>
      <c r="J307" s="66" t="s">
        <v>2715</v>
      </c>
      <c r="K307" s="66" t="s">
        <v>3960</v>
      </c>
      <c r="L307" s="64" t="s">
        <v>4109</v>
      </c>
      <c r="M307" s="64" t="s">
        <v>5824</v>
      </c>
      <c r="N307" s="65" t="str">
        <f t="shared" si="30"/>
        <v>[Nakashima,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href="https://doi.org/10.1016/j.biocon.2019.108381"&gt;{https://doi.org/10.1016/j.biocon.2019.108381}]{#nakashima_et_al_2020}&lt;br&gt;&lt;br&gt;</v>
      </c>
      <c r="O307" s="64" t="s">
        <v>2714</v>
      </c>
      <c r="P307" s="64" t="s">
        <v>984</v>
      </c>
      <c r="Q307" s="64" t="str">
        <f t="shared" si="26"/>
        <v>{{ rtxt_nakashima_et_al_2020 }}</v>
      </c>
      <c r="R307" s="64" t="str">
        <f t="shared" si="27"/>
        <v>{{ rbib_nakashima_et_al_2020 }}</v>
      </c>
      <c r="S307" s="63" t="str">
        <f t="shared" si="31"/>
        <v>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target="_blank"&gt;https://doi.org/10.1016/j.biocon.2019.108381&lt;/a&gt;&lt;span style="color:white"&gt;[.]{#nakashima_et_al_2020}&lt;/span&gt;&lt;br&gt;&lt;br&gt;</v>
      </c>
      <c r="T307" s="64" t="str">
        <f t="shared" si="29"/>
        <v xml:space="preserve">    rtxt_nakashima_et_al_2020: "&lt;a href=\"/08_references.html#nakashima_et_al_2020\" target=\"_blank\"&gt;Nakashima et al., 2020&lt;/a&gt;"</v>
      </c>
      <c r="U307" s="64" t="str">
        <f t="shared" si="28"/>
        <v xml:space="preserve">    rbib_nakashima_et_al_2020: "Nakashima, Y., Hongo, S., &amp; Akomo-Okoue, E. F. (2020). Landscape-scale estimation of forest ungulate density and biomass using camera traps: Applying the REST model. *Biological Conservation, 241*, 108381. &lt;https://doi.org/10.1016/j.biocon.2019.108381&gt;"</v>
      </c>
      <c r="V307" s="64"/>
    </row>
    <row r="308" spans="1:22" ht="15.75">
      <c r="A308" s="64"/>
      <c r="B308" s="77"/>
      <c r="C308" s="77"/>
      <c r="D308" s="77"/>
      <c r="E308" s="64"/>
      <c r="F308" s="64" t="s">
        <v>2511</v>
      </c>
      <c r="G308" s="64" t="s">
        <v>2510</v>
      </c>
      <c r="H308" s="64" t="s">
        <v>2510</v>
      </c>
      <c r="I308" s="64" t="b">
        <v>0</v>
      </c>
      <c r="J308" s="66" t="s">
        <v>6180</v>
      </c>
      <c r="K308" s="66" t="s">
        <v>3960</v>
      </c>
      <c r="L308" s="65" t="s">
        <v>4307</v>
      </c>
      <c r="M308" s="65" t="s">
        <v>6176</v>
      </c>
      <c r="N308" s="65" t="str">
        <f t="shared" si="30"/>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rcsc_2024b}&lt;br&gt;&lt;br&gt;</v>
      </c>
      <c r="O308" s="64" t="s">
        <v>5679</v>
      </c>
      <c r="P308" s="64" t="s">
        <v>984</v>
      </c>
      <c r="Q308" s="64" t="str">
        <f t="shared" si="26"/>
        <v>{{ rtxt_rcsc_2024b }}</v>
      </c>
      <c r="R308" s="64" t="str">
        <f t="shared" si="27"/>
        <v>{{ rbib_rcsc_2024b }}</v>
      </c>
      <c r="S308" s="63" t="str">
        <f t="shared" si="31"/>
        <v>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style="color:white"&gt;[.]{#rcsc_2024b}&lt;/span&gt;&lt;br&gt;&lt;br&gt;</v>
      </c>
      <c r="T308" s="64" t="str">
        <f t="shared" si="29"/>
        <v xml:space="preserve">    rtxt_rcsc_2024b: "&lt;a href=\"/08_references.html#rcsc_2024b\" target=\"_blank\"&gt;RCSC, 2024, personal communications&lt;/a&gt;"</v>
      </c>
      <c r="U308" s="64" t="str">
        <f t="shared" si="28"/>
        <v xml:space="preserve">    rbib_rcsc_2024b: "National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v>
      </c>
      <c r="V308" s="64"/>
    </row>
    <row r="309" spans="1:22" ht="15.75">
      <c r="A309" s="64"/>
      <c r="B309" s="77"/>
      <c r="C309" s="77"/>
      <c r="D309" s="77"/>
      <c r="E309" s="64"/>
      <c r="F309" s="64" t="s">
        <v>813</v>
      </c>
      <c r="G309" s="64" t="s">
        <v>2705</v>
      </c>
      <c r="H309" s="64"/>
      <c r="I309" s="64" t="b">
        <v>1</v>
      </c>
      <c r="J309" s="65" t="s">
        <v>2704</v>
      </c>
      <c r="K309" s="66" t="s">
        <v>3960</v>
      </c>
      <c r="L309" s="64" t="s">
        <v>4303</v>
      </c>
      <c r="M309" s="64" t="s">
        <v>6175</v>
      </c>
      <c r="N309" s="65" t="str">
        <f t="shared" si="30"/>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nbckc_2024a}&lt;br&gt;&lt;br&gt;</v>
      </c>
      <c r="O309" s="64" t="s">
        <v>5679</v>
      </c>
      <c r="P309" s="64" t="s">
        <v>984</v>
      </c>
      <c r="Q309" s="64" t="str">
        <f t="shared" si="26"/>
        <v>{{ rtxt_nbckc_2024a }}</v>
      </c>
      <c r="R309" s="64" t="str">
        <f t="shared" si="27"/>
        <v>{{ rbib_nbckc_2024a }}</v>
      </c>
      <c r="S309" s="63" t="str">
        <f t="shared" si="31"/>
        <v>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style="color:white"&gt;[.]{#nbckc_2024a}&lt;/span&gt;&lt;br&gt;&lt;br&gt;</v>
      </c>
      <c r="T309" s="64" t="str">
        <f t="shared" si="29"/>
        <v xml:space="preserve">    rtxt_nbckc_2024a: "&lt;a href=\"/08_references.html#nbckc_2024a\" target=\"_blank\"&gt;NBCKC / CNSCB, 2024&lt;/a&gt;"</v>
      </c>
      <c r="U309" s="64" t="str">
        <f t="shared" si="28"/>
        <v xml:space="preserve">    rbib_nbckc_2024a: "National Boreal Caribou Knowledge Consortium [NBCKC / CNSCB]. (2024). *National Boreal Caribou Knowledge Consortium Glossary: Creating a common language.* National Boreal Caribou Knowledge Consortium (NBCKC / CNSCB). &lt;https://www.cclmportal.ca/resource/creating-common-language-glossary#:~:text=The%20goal%20of%20the%20National,A%20Toolkit%20for%20Respectful%20Collaboration&gt;"</v>
      </c>
      <c r="V309" s="64"/>
    </row>
    <row r="310" spans="1:22" ht="15.75">
      <c r="A310" s="64"/>
      <c r="B310" s="77" t="b">
        <v>0</v>
      </c>
      <c r="C310" s="77" t="b">
        <v>1</v>
      </c>
      <c r="D310" s="77" t="b">
        <v>0</v>
      </c>
      <c r="E310" s="64" t="s">
        <v>984</v>
      </c>
      <c r="F310" s="64" t="s">
        <v>2713</v>
      </c>
      <c r="G310" s="64" t="s">
        <v>2712</v>
      </c>
      <c r="H310" s="64" t="s">
        <v>2712</v>
      </c>
      <c r="I310" s="64" t="b">
        <v>1</v>
      </c>
      <c r="J310" s="66" t="s">
        <v>2711</v>
      </c>
      <c r="K310" s="66" t="s">
        <v>3960</v>
      </c>
      <c r="L310" s="64" t="s">
        <v>4110</v>
      </c>
      <c r="M310" s="64" t="s">
        <v>6070</v>
      </c>
      <c r="N310" s="65" t="str">
        <f t="shared" si="30"/>
        <v>[Natural Regions Committee. (2006). &lt;i&gt;Natural regions and subregions of Alberta&lt;/i&gt; (T/852; p. 264). Government of Alberta. &lt;a target="_blank" href="https://open.alberta.ca/publications/0778545725"&gt;{https://open.alberta.ca/publications/0778545725}]{#natural_regions_committee._2006}&lt;br&gt;&lt;br&gt;</v>
      </c>
      <c r="O310" s="64" t="s">
        <v>2710</v>
      </c>
      <c r="P310" s="64" t="s">
        <v>984</v>
      </c>
      <c r="Q310" s="64" t="str">
        <f t="shared" si="26"/>
        <v>{{ rtxt_natural_regions_committee._2006 }}</v>
      </c>
      <c r="R310" s="64" t="str">
        <f t="shared" si="27"/>
        <v>{{ rbib_natural_regions_committee._2006 }}</v>
      </c>
      <c r="S310" s="63" t="str">
        <f t="shared" si="31"/>
        <v>Natural Regions Committee. (2006). &lt;i&gt;Natural regions and subregions of Alberta&lt;/i&gt; (T/852; p. 264). Government of Alberta. &lt;a href="https://open.alberta.ca/publications/0778545725" target="_blank"&gt;https://open.alberta.ca/publications/0778545725&lt;/a&gt;&lt;span style="color:white"&gt;[.]{#natural_regions_committee._2006}&lt;/span&gt;&lt;br&gt;&lt;br&gt;</v>
      </c>
      <c r="T310" s="64" t="str">
        <f t="shared" si="29"/>
        <v xml:space="preserve">    rtxt_natural_regions_committee._2006: "&lt;a href=\"/08_references.html#natural_regions_committee._2006\" target=\"_blank\"&gt;Natural Regions Committee., 2006&lt;/a&gt;"</v>
      </c>
      <c r="U310" s="64" t="str">
        <f t="shared" si="28"/>
        <v xml:space="preserve">    rbib_natural_regions_committee._2006: "Natural Regions Committee. (2006). *Natural regions and subregions of Alberta* (T/852; p. 264). Government of Alberta. &lt;https://open.alberta.ca/publications/0778545725&gt;"</v>
      </c>
      <c r="V310" s="64"/>
    </row>
    <row r="311" spans="1:22" ht="15.75">
      <c r="A311" s="64"/>
      <c r="B311" s="77"/>
      <c r="C311" s="77"/>
      <c r="D311" s="77"/>
      <c r="E311" s="64" t="s">
        <v>1904</v>
      </c>
      <c r="F311" s="64" t="s">
        <v>2709</v>
      </c>
      <c r="G311" s="65" t="s">
        <v>2708</v>
      </c>
      <c r="H311" s="65" t="s">
        <v>2708</v>
      </c>
      <c r="I311" s="64" t="b">
        <v>1</v>
      </c>
      <c r="J311" s="66" t="s">
        <v>2707</v>
      </c>
      <c r="K311" s="66" t="s">
        <v>3960</v>
      </c>
      <c r="L311" s="64" t="s">
        <v>4111</v>
      </c>
      <c r="M311" s="64" t="s">
        <v>5847</v>
      </c>
      <c r="N311" s="65" t="str">
        <f t="shared" si="30"/>
        <v>[Nawaz,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href="https://doi.org/10.1038/s41598-021-92361-2"&gt;{https://doi.org/10.1038/s41598-021-92361-2}]{#nawaz_et_al_2021}&lt;br&gt;&lt;br&gt;</v>
      </c>
      <c r="O311" s="64" t="s">
        <v>2706</v>
      </c>
      <c r="P311" s="64" t="s">
        <v>984</v>
      </c>
      <c r="Q311" s="64" t="str">
        <f t="shared" si="26"/>
        <v>{{ rtxt_nawaz_et_al_2021 }}</v>
      </c>
      <c r="R311" s="64" t="str">
        <f t="shared" si="27"/>
        <v>{{ rbib_nawaz_et_al_2021 }}</v>
      </c>
      <c r="S311" s="63" t="str">
        <f t="shared" si="31"/>
        <v>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target="_blank"&gt;https://doi.org/10.1038/s41598-021-92361-2&lt;/a&gt;&lt;span style="color:white"&gt;[.]{#nawaz_et_al_2021}&lt;/span&gt;&lt;br&gt;&lt;br&gt;</v>
      </c>
      <c r="T311" s="64" t="str">
        <f t="shared" si="29"/>
        <v xml:space="preserve">    rtxt_nawaz_et_al_2021: "&lt;a href=\"/08_references.html#nawaz_et_al_2021\" target=\"_blank\"&gt;Nawaz et al., 2021&lt;/a&gt;"</v>
      </c>
      <c r="U311" s="64" t="str">
        <f t="shared" si="28"/>
        <v xml:space="preserve">    rbib_nawaz_et_al_2021: "Nawaz, M. A., Khan, B. U., Mahmood, A., Younas, M., Din, J. U., &amp; Sutherland, C. (2021). An empirical demonstration of the effect of study design on density estimations. *Scientific Reports, 11*(1), 13104. PubMed-not-MEDLINE. &lt;https://doi.org/10.1038/s41598-021-92361-2&gt;"</v>
      </c>
      <c r="V311" s="64"/>
    </row>
    <row r="312" spans="1:22" ht="15.75">
      <c r="A312" s="64"/>
      <c r="B312" s="77" t="b">
        <v>1</v>
      </c>
      <c r="C312" s="77" t="b">
        <v>0</v>
      </c>
      <c r="D312" s="77" t="b">
        <v>0</v>
      </c>
      <c r="E312" s="64" t="s">
        <v>1904</v>
      </c>
      <c r="F312" s="64" t="s">
        <v>2703</v>
      </c>
      <c r="G312" s="64" t="s">
        <v>2702</v>
      </c>
      <c r="H312" s="64" t="s">
        <v>2702</v>
      </c>
      <c r="I312" s="64" t="b">
        <v>1</v>
      </c>
      <c r="J312" s="66" t="s">
        <v>2701</v>
      </c>
      <c r="K312" s="66" t="s">
        <v>3960</v>
      </c>
      <c r="L312" s="64" t="s">
        <v>4112</v>
      </c>
      <c r="M312" s="64" t="s">
        <v>5736</v>
      </c>
      <c r="N312" s="65" t="str">
        <f t="shared" si="30"/>
        <v>[Neilson, E. W., Avgar, T., Burton, A. C., Broadley, K., &amp; Boutin, S. (2018). Animal movement affects interpretation of occupancy models from camera‐trap Surveys of unmarked animals. &lt;i&gt;Ecosphere, 9&lt;/i&gt;(1). &lt;a target="_blank" href="https://doi.org/10.1002/ecs2.2092"&gt;{https://doi.org/10.1002/ecs2.2092}]{#neilson_et_al_2018}&lt;br&gt;&lt;br&gt;</v>
      </c>
      <c r="O312" s="64" t="s">
        <v>2700</v>
      </c>
      <c r="P312" s="64" t="s">
        <v>984</v>
      </c>
      <c r="Q312" s="64" t="str">
        <f t="shared" si="26"/>
        <v>{{ rtxt_neilson_et_al_2018 }}</v>
      </c>
      <c r="R312" s="64" t="str">
        <f t="shared" si="27"/>
        <v>{{ rbib_neilson_et_al_2018 }}</v>
      </c>
      <c r="S312" s="63" t="str">
        <f t="shared" si="31"/>
        <v>Neilson, E. W., Avgar, T., Burton, A. C., Broadley, K., &amp; Boutin, S. (2018). Animal movement affects interpretation of occupancy models from camera‐trap Surveys of unmarked animals. &lt;i&gt;Ecosphere, 9&lt;/i&gt;(1). &lt;a href="https://doi.org/10.1002/ecs2.2092" target="_blank"&gt;https://doi.org/10.1002/ecs2.2092&lt;/a&gt;&lt;span style="color:white"&gt;[.]{#neilson_et_al_2018}&lt;/span&gt;&lt;br&gt;&lt;br&gt;</v>
      </c>
      <c r="T312" s="64" t="str">
        <f t="shared" si="29"/>
        <v xml:space="preserve">    rtxt_neilson_et_al_2018: "&lt;a href=\"/08_references.html#neilson_et_al_2018\" target=\"_blank\"&gt;Neilson et al., 2018&lt;/a&gt;"</v>
      </c>
      <c r="U312" s="64" t="str">
        <f t="shared" si="28"/>
        <v xml:space="preserve">    rbib_neilson_et_al_2018: "Neilson, E. W., Avgar, T., Burton, A. C., Broadley, K., &amp; Boutin, S. (2018). Animal movement affects interpretation of occupancy models from camera‐trap Surveys of unmarked animals. *Ecosphere, 9*(1). &lt;https://doi.org/10.1002/ecs2.2092&gt;"</v>
      </c>
      <c r="V312" s="64"/>
    </row>
    <row r="313" spans="1:22" ht="15.75">
      <c r="A313" s="64"/>
      <c r="B313" s="77" t="b">
        <v>1</v>
      </c>
      <c r="C313" s="77" t="b">
        <v>0</v>
      </c>
      <c r="D313" s="77" t="b">
        <v>0</v>
      </c>
      <c r="E313" s="64" t="s">
        <v>1904</v>
      </c>
      <c r="F313" s="64" t="s">
        <v>2699</v>
      </c>
      <c r="G313" s="64" t="s">
        <v>2698</v>
      </c>
      <c r="H313" s="64" t="s">
        <v>2698</v>
      </c>
      <c r="I313" s="64" t="b">
        <v>1</v>
      </c>
      <c r="J313" s="66" t="s">
        <v>2697</v>
      </c>
      <c r="K313" s="66" t="s">
        <v>3960</v>
      </c>
      <c r="L313" s="64" t="s">
        <v>4113</v>
      </c>
      <c r="M313" s="64" t="s">
        <v>5852</v>
      </c>
      <c r="N313" s="65" t="str">
        <f t="shared" si="30"/>
        <v>[Newbold, H. G., &amp; King, C. M. (2009). Can a predator see invisible light? Infrared vision in ferrets (&lt;i&gt;Mustelo furo&lt;i&gt;). &lt;i&gt;Wildlife Research, 36&lt;/i&gt;(4), 309-318. &lt;a target="_blank" href="https://doi.org/10.1071/WR08083"&gt;{https://doi.org/10.1071/WR08083}]{#newbold_king_2009}&lt;br&gt;&lt;br&gt;</v>
      </c>
      <c r="O313" s="64" t="s">
        <v>2696</v>
      </c>
      <c r="P313" s="64" t="s">
        <v>984</v>
      </c>
      <c r="Q313" s="64" t="str">
        <f t="shared" si="26"/>
        <v>{{ rtxt_newbold_king_2009 }}</v>
      </c>
      <c r="R313" s="64" t="str">
        <f t="shared" si="27"/>
        <v>{{ rbib_newbold_king_2009 }}</v>
      </c>
      <c r="S313" s="63" t="str">
        <f t="shared" si="31"/>
        <v>Newbold, H. G., &amp; King, C. M. (2009). Can a predator see invisible light? Infrared vision in ferrets (&lt;i&gt;Mustelo furo&lt;i&gt;). &lt;i&gt;Wildlife Research, 36&lt;/i&gt;(4), 309-318. &lt;a href="https://doi.org/10.1071/WR08083" target="_blank"&gt;https://doi.org/10.1071/WR08083&lt;/a&gt;&lt;span style="color:white"&gt;[.]{#newbold_king_2009}&lt;/span&gt;&lt;br&gt;&lt;br&gt;</v>
      </c>
      <c r="T313" s="64" t="str">
        <f t="shared" si="29"/>
        <v xml:space="preserve">    rtxt_newbold_king_2009: "&lt;a href=\"/08_references.html#newbold_king_2009\" target=\"_blank\"&gt;Newbold &amp; King, 2009&lt;/a&gt;"</v>
      </c>
      <c r="U313" s="64" t="str">
        <f t="shared" si="28"/>
        <v xml:space="preserve">    rbib_newbold_king_2009: "Newbold, H. G., &amp; King, C. M. (2009). Can a predator see invisible light? Infrared vision in ferrets (*Mustelo furo*). *Wildlife Research, 36*(4), 309-318. &lt;https://doi.org/10.1071/WR08083&gt;"</v>
      </c>
      <c r="V313" s="64"/>
    </row>
    <row r="314" spans="1:22" ht="15.75">
      <c r="A314" s="64"/>
      <c r="B314" s="77"/>
      <c r="C314" s="77"/>
      <c r="D314" s="77"/>
      <c r="E314" s="64" t="s">
        <v>1904</v>
      </c>
      <c r="F314" s="64" t="s">
        <v>2695</v>
      </c>
      <c r="G314" s="65" t="s">
        <v>2694</v>
      </c>
      <c r="H314" s="65" t="s">
        <v>2694</v>
      </c>
      <c r="I314" s="64" t="b">
        <v>1</v>
      </c>
      <c r="J314" s="66" t="s">
        <v>2693</v>
      </c>
      <c r="K314" s="66" t="s">
        <v>3960</v>
      </c>
      <c r="L314" s="64" t="s">
        <v>4114</v>
      </c>
      <c r="M314" s="64" t="s">
        <v>5935</v>
      </c>
      <c r="N314" s="65" t="str">
        <f t="shared" si="30"/>
        <v>[Noon, B. R., Bailey, L. L., Sisk, T. D., &amp; McKelvey, K. S. (2012). Efficient Species-Level Monitoring at the Landscape Scale. &lt;i&gt;Conservation Biology, 26&lt;/i&gt;(3), 432-41. &lt;a target="_blank" href="https://doi.org/10.1111/j.1523-1739.2012.01855.x."&gt;{https://doi.org/10.1111/j.1523-1739.2012.01855.x.}]{#noon_et_al_2012}&lt;br&gt;&lt;br&gt;</v>
      </c>
      <c r="O314" s="64" t="s">
        <v>2692</v>
      </c>
      <c r="P314" s="64" t="s">
        <v>984</v>
      </c>
      <c r="Q314" s="64" t="str">
        <f t="shared" si="26"/>
        <v>{{ rtxt_noon_et_al_2012 }}</v>
      </c>
      <c r="R314" s="64" t="str">
        <f t="shared" si="27"/>
        <v>{{ rbib_noon_et_al_2012 }}</v>
      </c>
      <c r="S314" s="63" t="str">
        <f t="shared" si="31"/>
        <v>Noon, B. R., Bailey, L. L., Sisk, T. D., &amp; McKelvey, K. S. (2012). Efficient Species-Level Monitoring at the Landscape Scale. &lt;i&gt;Conservation Biology, 26&lt;/i&gt;(3), 432-41. &lt;a href="https://doi.org/10.1111/j.1523-1739.2012.01855.x." target="_blank"&gt;https://doi.org/10.1111/j.1523-1739.2012.01855.x.&lt;/a&gt;&lt;span style="color:white"&gt;[.]{#noon_et_al_2012}&lt;/span&gt;&lt;br&gt;&lt;br&gt;</v>
      </c>
      <c r="T314" s="64" t="str">
        <f t="shared" si="29"/>
        <v xml:space="preserve">    rtxt_noon_et_al_2012: "&lt;a href=\"/08_references.html#noon_et_al_2012\" target=\"_blank\"&gt;Noon et al., 2012&lt;/a&gt;"</v>
      </c>
      <c r="U314" s="64" t="str">
        <f t="shared" si="28"/>
        <v xml:space="preserve">    rbib_noon_et_al_2012: "Noon, B. R., Bailey, L. L., Sisk, T. D., &amp; McKelvey, K. S. (2012). Efficient Species-Level Monitoring at the Landscape Scale. *Conservation Biology, 26*(3), 432-41. &lt;https://doi.org/10.1111/j.1523-1739.2012.01855.x.&gt;"</v>
      </c>
      <c r="V314" s="64"/>
    </row>
    <row r="315" spans="1:22" ht="15.75">
      <c r="A315" s="64"/>
      <c r="B315" s="77" t="b">
        <v>1</v>
      </c>
      <c r="C315" s="77" t="b">
        <v>0</v>
      </c>
      <c r="D315" s="77" t="b">
        <v>0</v>
      </c>
      <c r="E315" s="64" t="s">
        <v>1904</v>
      </c>
      <c r="F315" s="64" t="s">
        <v>2691</v>
      </c>
      <c r="G315" s="64" t="s">
        <v>2690</v>
      </c>
      <c r="H315" s="64" t="s">
        <v>2690</v>
      </c>
      <c r="I315" s="64" t="b">
        <v>1</v>
      </c>
      <c r="J315" s="66" t="s">
        <v>2689</v>
      </c>
      <c r="K315" s="66" t="s">
        <v>3960</v>
      </c>
      <c r="L315" s="64" t="s">
        <v>4115</v>
      </c>
      <c r="M315" s="64" t="s">
        <v>5897</v>
      </c>
      <c r="N315" s="65" t="str">
        <f t="shared" si="30"/>
        <v>[Norouzzadeh,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href="https://doi.org/10.1111/2041-210x.1350"&gt;{https://doi.org/10.1111/2041-210x.1350}]{#norouzzadeh_et_al_2020}&lt;br&gt;&lt;br&gt;</v>
      </c>
      <c r="O315" s="64" t="s">
        <v>2688</v>
      </c>
      <c r="P315" s="64" t="s">
        <v>984</v>
      </c>
      <c r="Q315" s="64" t="str">
        <f t="shared" si="26"/>
        <v>{{ rtxt_norouzzadeh_et_al_2020 }}</v>
      </c>
      <c r="R315" s="64" t="str">
        <f t="shared" si="27"/>
        <v>{{ rbib_norouzzadeh_et_al_2020 }}</v>
      </c>
      <c r="S315" s="63" t="str">
        <f t="shared" si="31"/>
        <v>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target="_blank"&gt;https://doi.org/10.1111/2041-210x.1350&lt;/a&gt;&lt;span style="color:white"&gt;[.]{#norouzzadeh_et_al_2020}&lt;/span&gt;&lt;br&gt;&lt;br&gt;</v>
      </c>
      <c r="T315" s="64" t="str">
        <f t="shared" si="29"/>
        <v xml:space="preserve">    rtxt_norouzzadeh_et_al_2020: "&lt;a href=\"/08_references.html#norouzzadeh_et_al_2020\" target=\"_blank\"&gt;Norouzzadeh et al., 2020&lt;/a&gt;"</v>
      </c>
      <c r="U315" s="64" t="str">
        <f t="shared" si="28"/>
        <v xml:space="preserve">    rbib_norouzzadeh_et_al_2020: "Norouzzadeh, M. S., Morris, D., Beery, S., Joshi, N., Jojic, N., Clune, J., &amp; Schofield, M. (2020). A deep active learning system for species identification and counting in camera trap images. *Methods in Ecology and Evolution, 12*(1), 150-161. &lt;https://doi.org/10.1111/2041-210x.1350&gt;"</v>
      </c>
      <c r="V315" s="64"/>
    </row>
    <row r="316" spans="1:22" ht="15.75">
      <c r="A316" s="64"/>
      <c r="B316" s="77" t="b">
        <v>1</v>
      </c>
      <c r="C316" s="77" t="b">
        <v>0</v>
      </c>
      <c r="D316" s="77" t="b">
        <v>0</v>
      </c>
      <c r="E316" s="64" t="s">
        <v>1904</v>
      </c>
      <c r="F316" s="64" t="s">
        <v>2683</v>
      </c>
      <c r="G316" s="64" t="s">
        <v>2682</v>
      </c>
      <c r="H316" s="64" t="s">
        <v>2682</v>
      </c>
      <c r="I316" s="64" t="b">
        <v>1</v>
      </c>
      <c r="J316" s="66" t="s">
        <v>2681</v>
      </c>
      <c r="K316" s="66" t="s">
        <v>3960</v>
      </c>
      <c r="L316" s="64" t="s">
        <v>4116</v>
      </c>
      <c r="M316" s="64" t="s">
        <v>5931</v>
      </c>
      <c r="N316" s="65" t="str">
        <f t="shared" si="30"/>
        <v>[Noss,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href="https://doi.org/10.1111/j.1469-1795.2012.00545.x"&gt;{https://doi.org/10.1111/j.1469-1795.2012.00545.x}]{#noss_et_al_2012}&lt;br&gt;&lt;br&gt;</v>
      </c>
      <c r="O316" s="64" t="s">
        <v>2680</v>
      </c>
      <c r="P316" s="64" t="s">
        <v>984</v>
      </c>
      <c r="Q316" s="64" t="str">
        <f t="shared" si="26"/>
        <v>{{ rtxt_noss_et_al_2012 }}</v>
      </c>
      <c r="R316" s="64" t="str">
        <f t="shared" si="27"/>
        <v>{{ rbib_noss_et_al_2012 }}</v>
      </c>
      <c r="S316" s="63" t="str">
        <f t="shared" si="31"/>
        <v>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target="_blank"&gt;https://doi.org/10.1111/j.1469-1795.2012.00545.x&lt;/a&gt;&lt;span style="color:white"&gt;[.]{#noss_et_al_2012}&lt;/span&gt;&lt;br&gt;&lt;br&gt;</v>
      </c>
      <c r="T316" s="64" t="str">
        <f t="shared" si="29"/>
        <v xml:space="preserve">    rtxt_noss_et_al_2012: "&lt;a href=\"/08_references.html#noss_et_al_2012\" target=\"_blank\"&gt;Noss et al., 2012&lt;/a&gt;"</v>
      </c>
      <c r="U316" s="64" t="str">
        <f t="shared" si="28"/>
        <v xml:space="preserve">    rbib_noss_et_al_2012: "Noss,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v>
      </c>
      <c r="V316" s="64"/>
    </row>
    <row r="317" spans="1:22" ht="15.75">
      <c r="A317" s="64"/>
      <c r="B317" s="77" t="b">
        <v>1</v>
      </c>
      <c r="C317" s="77" t="b">
        <v>0</v>
      </c>
      <c r="D317" s="77" t="b">
        <v>0</v>
      </c>
      <c r="E317" s="64" t="s">
        <v>1904</v>
      </c>
      <c r="F317" s="64" t="s">
        <v>2687</v>
      </c>
      <c r="G317" s="64" t="s">
        <v>2686</v>
      </c>
      <c r="H317" s="64" t="s">
        <v>2686</v>
      </c>
      <c r="I317" s="64" t="b">
        <v>1</v>
      </c>
      <c r="J317" s="66" t="s">
        <v>2685</v>
      </c>
      <c r="K317" s="66" t="s">
        <v>3960</v>
      </c>
      <c r="L317" s="64" t="s">
        <v>4117</v>
      </c>
      <c r="M317" s="64" t="s">
        <v>6120</v>
      </c>
      <c r="N317" s="65" t="str">
        <f t="shared" si="30"/>
        <v>[Noss,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noss_et_al_2003}&lt;br&gt;&lt;br&gt;</v>
      </c>
      <c r="O317" s="64" t="s">
        <v>2684</v>
      </c>
      <c r="P317" s="64" t="s">
        <v>984</v>
      </c>
      <c r="Q317" s="64" t="str">
        <f t="shared" si="26"/>
        <v>{{ rtxt_noss_et_al_2003 }}</v>
      </c>
      <c r="R317" s="64" t="str">
        <f t="shared" si="27"/>
        <v>{{ rbib_noss_et_al_2003 }}</v>
      </c>
      <c r="S317" s="63" t="str">
        <f t="shared" si="31"/>
        <v>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style="color:white"&gt;[.]{#noss_et_al_2003}&lt;/span&gt;&lt;br&gt;&lt;br&gt;</v>
      </c>
      <c r="T317" s="64" t="str">
        <f t="shared" si="29"/>
        <v xml:space="preserve">    rtxt_noss_et_al_2003: "&lt;a href=\"/08_references.html#noss_et_al_2003\" target=\"_blank\"&gt;Noss et al., 2003&lt;/a&gt;"</v>
      </c>
      <c r="U317" s="64" t="str">
        <f t="shared" si="28"/>
        <v xml:space="preserve">    rbib_noss_et_al_2003: "Noss,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v>
      </c>
      <c r="V317" s="64"/>
    </row>
    <row r="318" spans="1:22" ht="15.75">
      <c r="A318" s="64"/>
      <c r="B318" s="77" t="b">
        <v>1</v>
      </c>
      <c r="C318" s="77" t="b">
        <v>0</v>
      </c>
      <c r="D318" s="77" t="b">
        <v>0</v>
      </c>
      <c r="E318" s="64" t="s">
        <v>1904</v>
      </c>
      <c r="F318" s="64" t="s">
        <v>2679</v>
      </c>
      <c r="G318" s="64" t="s">
        <v>2678</v>
      </c>
      <c r="H318" s="64" t="s">
        <v>2658</v>
      </c>
      <c r="I318" s="64" t="b">
        <v>1</v>
      </c>
      <c r="J318" s="66" t="s">
        <v>2677</v>
      </c>
      <c r="K318" s="66" t="s">
        <v>3960</v>
      </c>
      <c r="L318" s="64" t="s">
        <v>4118</v>
      </c>
      <c r="M318" s="64" t="s">
        <v>5925</v>
      </c>
      <c r="N318" s="65" t="str">
        <f t="shared" si="30"/>
        <v>[Obbard, M. E., Howe, E. J., &amp; Kyle, C. J. (2010). Empirical Comparison of Density Estimators for Large Carnivores. &lt;i&gt;Journal of Applied Ecology, 47&lt;/i&gt;(1), 76-84. &lt;a target="_blank" href="https://doi.org/10.1111/j.1365-2664.2009.01758.x"&gt;{https://doi.org/10.1111/j.1365-2664.2009.01758.x}]{#obbard_et_al_2010}&lt;br&gt;&lt;br&gt;</v>
      </c>
      <c r="O318" s="64" t="s">
        <v>2676</v>
      </c>
      <c r="P318" s="64" t="s">
        <v>984</v>
      </c>
      <c r="Q318" s="64" t="str">
        <f t="shared" si="26"/>
        <v>{{ rtxt_obbard_et_al_2010 }}</v>
      </c>
      <c r="R318" s="64" t="str">
        <f t="shared" si="27"/>
        <v>{{ rbib_obbard_et_al_2010 }}</v>
      </c>
      <c r="S318" s="63" t="str">
        <f t="shared" si="31"/>
        <v>Obbard, M. E., Howe, E. J., &amp; Kyle, C. J. (2010). Empirical Comparison of Density Estimators for Large Carnivores. &lt;i&gt;Journal of Applied Ecology, 47&lt;/i&gt;(1), 76-84. &lt;a href="https://doi.org/10.1111/j.1365-2664.2009.01758.x" target="_blank"&gt;https://doi.org/10.1111/j.1365-2664.2009.01758.x&lt;/a&gt;&lt;span style="color:white"&gt;[.]{#obbard_et_al_2010}&lt;/span&gt;&lt;br&gt;&lt;br&gt;</v>
      </c>
      <c r="T318" s="64" t="str">
        <f t="shared" si="29"/>
        <v xml:space="preserve">    rtxt_obbard_et_al_2010: "&lt;a href=\"/08_references.html#obbard_et_al_2010\" target=\"_blank\"&gt;Obbard et al., 2010&lt;/a&gt;"</v>
      </c>
      <c r="U318" s="64" t="str">
        <f t="shared" si="28"/>
        <v xml:space="preserve">    rbib_obbard_et_al_2010: "Obbard, M. E., Howe, E. J., &amp; Kyle, C. J. (2010). Empirical Comparison of Density Estimators for Large Carnivores. *Journal of Applied Ecology*, 47(1), 76-84. &lt;https://doi.org/10.1111/j.1365-2664.2009.01758.x&gt;"</v>
      </c>
      <c r="V318" s="64"/>
    </row>
    <row r="319" spans="1:22" ht="15.75">
      <c r="A319" s="64"/>
      <c r="B319" s="77" t="b">
        <v>1</v>
      </c>
      <c r="C319" s="77" t="b">
        <v>0</v>
      </c>
      <c r="D319" s="77" t="b">
        <v>0</v>
      </c>
      <c r="E319" s="64" t="s">
        <v>1904</v>
      </c>
      <c r="F319" s="64" t="s">
        <v>2675</v>
      </c>
      <c r="G319" s="64" t="s">
        <v>2657</v>
      </c>
      <c r="H319" s="64" t="s">
        <v>2671</v>
      </c>
      <c r="I319" s="64" t="b">
        <v>1</v>
      </c>
      <c r="J319" s="66" t="s">
        <v>2674</v>
      </c>
      <c r="K319" s="66" t="s">
        <v>3960</v>
      </c>
      <c r="L319" s="64" t="s">
        <v>4119</v>
      </c>
      <c r="M319" s="64" t="s">
        <v>6058</v>
      </c>
      <c r="N319" s="65" t="str">
        <f t="shared" si="30"/>
        <v>[O'Brien, K. M. (2010). &lt;i&gt;Wildlife Picture Index: Implementation Manual Version 1. 0.&lt;/i&gt; WCS Working Paper No. 39. &lt;a target="_blank" href="https://library.wcs.org/doi/ctl/view/mid/33065/pubid/DMX534800000.aspx"&gt;{https://library.wcs.org/doi/ctl/view/mid/33065/pubid/DMX534800000.aspx}]{#obrien_2010}&lt;br&gt;&lt;br&gt;</v>
      </c>
      <c r="O319" s="64" t="s">
        <v>2673</v>
      </c>
      <c r="P319" s="64" t="s">
        <v>984</v>
      </c>
      <c r="Q319" s="64" t="str">
        <f t="shared" si="26"/>
        <v>{{ rtxt_obrien_2010 }}</v>
      </c>
      <c r="R319" s="64" t="str">
        <f t="shared" si="27"/>
        <v>{{ rbib_obrien_2010 }}</v>
      </c>
      <c r="S319" s="63" t="str">
        <f t="shared" si="31"/>
        <v>O'Brien, K. M. (2010). &lt;i&gt;Wildlife Picture Index: Implementation Manual Version 1. 0.&lt;/i&gt; WCS Working Paper No. 39. &lt;a href="https://library.wcs.org/doi/ctl/view/mid/33065/pubid/DMX534800000.aspx" target="_blank"&gt;https://library.wcs.org/doi/ctl/view/mid/33065/pubid/DMX534800000.aspx&lt;/a&gt;&lt;span style="color:white"&gt;[.]{#obrien_2010}&lt;/span&gt;&lt;br&gt;&lt;br&gt;</v>
      </c>
      <c r="T319" s="64" t="str">
        <f t="shared" si="29"/>
        <v xml:space="preserve">    rtxt_obrien_2010: "&lt;a href=\"/08_references.html#obrien_2010\" target=\"_blank\"&gt;O'Brien, 2010&lt;/a&gt;"</v>
      </c>
      <c r="U319" s="64" t="str">
        <f t="shared" si="28"/>
        <v xml:space="preserve">    rbib_obrien_2010: "O'Brien, K. M. (2010). *Wildlife Picture Index: Implementation Manual Version 1. 0.* WCS Working Paper No. 39. &lt;https://library.wcs.org/doi/ctl/view/mid/33065/pubid/DMX534800000.aspx&gt;"</v>
      </c>
      <c r="V319" s="64"/>
    </row>
    <row r="320" spans="1:22" ht="15.75">
      <c r="A320" s="64"/>
      <c r="B320" s="77" t="b">
        <v>1</v>
      </c>
      <c r="C320" s="77" t="b">
        <v>0</v>
      </c>
      <c r="D320" s="77" t="b">
        <v>1</v>
      </c>
      <c r="E320" s="64" t="s">
        <v>1904</v>
      </c>
      <c r="F320" s="64" t="s">
        <v>2659</v>
      </c>
      <c r="G320" s="64" t="s">
        <v>2658</v>
      </c>
      <c r="H320" s="64" t="s">
        <v>2657</v>
      </c>
      <c r="I320" s="64" t="b">
        <v>1</v>
      </c>
      <c r="J320" s="66" t="s">
        <v>2656</v>
      </c>
      <c r="K320" s="66" t="s">
        <v>3960</v>
      </c>
      <c r="L320" s="64" t="s">
        <v>4120</v>
      </c>
      <c r="M320" s="64" t="s">
        <v>5785</v>
      </c>
      <c r="N320" s="65" t="str">
        <f t="shared" si="30"/>
        <v>[O'Brien,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href="https://doi.org/10.1007/978-4-431-99495-4_6"&gt;{https://doi.org/10.1007/978-4-431-99495-4_6}]{#obrien_kinnaird_2011}&lt;br&gt;&lt;br&gt;</v>
      </c>
      <c r="O320" s="64" t="s">
        <v>2648</v>
      </c>
      <c r="P320" s="64" t="s">
        <v>984</v>
      </c>
      <c r="Q320" s="64" t="str">
        <f t="shared" si="26"/>
        <v>{{ rtxt_obrien_kinnaird_2011 }}</v>
      </c>
      <c r="R320" s="64" t="str">
        <f t="shared" si="27"/>
        <v>{{ rbib_obrien_kinnaird_2011 }}</v>
      </c>
      <c r="S320" s="63" t="str">
        <f t="shared" si="31"/>
        <v>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target="_blank"&gt;https://doi.org/10.1007/978-4-431-99495-4_6&lt;/a&gt;&lt;span style="color:white"&gt;[.]{#obrien_kinnaird_2011}&lt;/span&gt;&lt;br&gt;&lt;br&gt;</v>
      </c>
      <c r="T320" s="64" t="str">
        <f t="shared" si="29"/>
        <v xml:space="preserve">    rtxt_obrien_kinnaird_2011: "&lt;a href=\"/08_references.html#obrien_kinnaird_2011\" target=\"_blank\"&gt;O'Brien &amp; Kinnaird, 2011&lt;/a&gt;"</v>
      </c>
      <c r="U320" s="64" t="str">
        <f t="shared" si="28"/>
        <v xml:space="preserve">    rbib_obrien_kinnaird_2011: "O'Brien, T. G. (2011). Abundance, Density and Relative Abundance: A Conceptual Framework. In A. F. O'Connell, J. D. Nichols, &amp; K. U. Karanth (Eds.), *Camera Traps In Animal Ecology: Methods and Analyses* (pp. 71-96). Springer. &lt;https://doi.org/10.1007/978-4-431-99495-4_6&gt;"</v>
      </c>
      <c r="V320" s="64"/>
    </row>
    <row r="321" spans="1:22" ht="15.75">
      <c r="A321" s="64"/>
      <c r="B321" s="77" t="b">
        <v>1</v>
      </c>
      <c r="C321" s="77" t="b">
        <v>1</v>
      </c>
      <c r="D321" s="77" t="b">
        <v>0</v>
      </c>
      <c r="E321" s="64" t="s">
        <v>1904</v>
      </c>
      <c r="F321" s="64" t="s">
        <v>2667</v>
      </c>
      <c r="G321" s="64" t="s">
        <v>2666</v>
      </c>
      <c r="H321" s="64" t="s">
        <v>2665</v>
      </c>
      <c r="I321" s="64" t="b">
        <v>1</v>
      </c>
      <c r="J321" s="66" t="s">
        <v>2664</v>
      </c>
      <c r="K321" s="66" t="s">
        <v>3960</v>
      </c>
      <c r="L321" s="64" t="s">
        <v>4121</v>
      </c>
      <c r="M321" s="64" t="s">
        <v>6108</v>
      </c>
      <c r="N321" s="65" t="str">
        <f t="shared" si="30"/>
        <v>[O'Brien,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href="https://www.jstor.org/stable/41417102"&gt;{https://www.jstor.org/stable/41417102}]{#obrien_et_al_2011}&lt;br&gt;&lt;br&gt;</v>
      </c>
      <c r="O321" s="64" t="s">
        <v>2663</v>
      </c>
      <c r="P321" s="64" t="s">
        <v>984</v>
      </c>
      <c r="Q321" s="64" t="str">
        <f t="shared" si="26"/>
        <v>{{ rtxt_obrien_et_al_2011 }}</v>
      </c>
      <c r="R321" s="64" t="str">
        <f t="shared" si="27"/>
        <v>{{ rbib_obrien_et_al_2011 }}</v>
      </c>
      <c r="S321" s="63" t="str">
        <f t="shared" si="31"/>
        <v>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style="color:white"&gt;[.]{#obrien_et_al_2011}&lt;/span&gt;&lt;br&gt;&lt;br&gt;</v>
      </c>
      <c r="T321" s="64" t="str">
        <f t="shared" si="29"/>
        <v xml:space="preserve">    rtxt_obrien_et_al_2011: "&lt;a href=\"/08_references.html#obrien_et_al_2011\" target=\"_blank\"&gt;O'Brien et al., 2011&lt;/a&gt;"</v>
      </c>
      <c r="U321" s="64" t="str">
        <f t="shared" si="28"/>
        <v xml:space="preserve">    rbib_obrien_et_al_2011: "O'Brien, T. G., &amp; Kinnaird, M. F. (2011). Density estimation of sympatric carnivores using spatially explicit capture-recapture methods and standard trapping grid. *Ecological Applications, 21*(8), 2908-2916. &lt;https://www.jstor.org/stable/41417102&gt;"</v>
      </c>
      <c r="V321" s="64"/>
    </row>
    <row r="322" spans="1:22" ht="15.75">
      <c r="A322" s="64"/>
      <c r="B322" s="77" t="b">
        <v>1</v>
      </c>
      <c r="C322" s="77" t="b">
        <v>0</v>
      </c>
      <c r="D322" s="77" t="b">
        <v>0</v>
      </c>
      <c r="E322" s="64" t="s">
        <v>1904</v>
      </c>
      <c r="F322" s="64" t="s">
        <v>2672</v>
      </c>
      <c r="G322" s="64" t="s">
        <v>2671</v>
      </c>
      <c r="H322" s="64" t="s">
        <v>2670</v>
      </c>
      <c r="I322" s="64" t="b">
        <v>1</v>
      </c>
      <c r="J322" s="66" t="s">
        <v>2669</v>
      </c>
      <c r="K322" s="66" t="s">
        <v>3960</v>
      </c>
      <c r="L322" s="64" t="s">
        <v>4122</v>
      </c>
      <c r="M322" s="64" t="s">
        <v>5843</v>
      </c>
      <c r="N322" s="65" t="str">
        <f t="shared" si="30"/>
        <v>[O'Brien, T. G., Kinnaird, M. F., &amp; Wibisono, H. T. (2003). Crouching tigers, hidden prey: Sumatran tiger and prey populations in a tropical forest landscape. &lt;i&gt;Animal Conservation, 6&lt;/i&gt;(2), 131-139. &lt;a target="_blank" href="https://doi.org/10.1017/s1367943003003172"&gt;{https://doi.org/10.1017/s1367943003003172}]{#obrien_2011}&lt;br&gt;&lt;br&gt;</v>
      </c>
      <c r="O322" s="64" t="s">
        <v>2668</v>
      </c>
      <c r="P322" s="64" t="s">
        <v>984</v>
      </c>
      <c r="Q322" s="64" t="str">
        <f t="shared" ref="Q322:Q385" si="32">"{{ rtxt_"&amp;F322&amp;" }}"</f>
        <v>{{ rtxt_obrien_2011 }}</v>
      </c>
      <c r="R322" s="64" t="str">
        <f t="shared" ref="R322:R385" si="33">"{{ rbib_"&amp;F322&amp;" }}"</f>
        <v>{{ rbib_obrien_2011 }}</v>
      </c>
      <c r="S322" s="63" t="str">
        <f t="shared" si="31"/>
        <v>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target="_blank"&gt;https://doi.org/10.1017/s1367943003003172&lt;/a&gt;&lt;span style="color:white"&gt;[.]{#obrien_2011}&lt;/span&gt;&lt;br&gt;&lt;br&gt;</v>
      </c>
      <c r="T322" s="64" t="str">
        <f t="shared" si="29"/>
        <v xml:space="preserve">    rtxt_obrien_2011: "&lt;a href=\"/08_references.html#obrien_2011\" target=\"_blank\"&gt;O'Brien, 2011&lt;/a&gt;"</v>
      </c>
      <c r="U322" s="64" t="str">
        <f t="shared" ref="U322:U385" si="34">"    rbib_"&amp;F322&amp;": "&amp;""""&amp;J322&amp;""""</f>
        <v xml:space="preserve">    rbib_obrien_2011: "O'Brien, T. G., Kinnaird, M. F., &amp; Wibisono, H. T. (2003). Crouching tigers, hidden prey: Sumatran tiger and prey populations in a tropical forest landscape. *Animal Conservation, 6*(2), 131-139. &lt;https://doi.org/10.1017/s1367943003003172&gt;"</v>
      </c>
      <c r="V322" s="64"/>
    </row>
    <row r="323" spans="1:22" ht="15.75">
      <c r="A323" s="64"/>
      <c r="B323" s="77" t="b">
        <v>1</v>
      </c>
      <c r="C323" s="77" t="b">
        <v>0</v>
      </c>
      <c r="D323" s="77" t="b">
        <v>0</v>
      </c>
      <c r="E323" s="64" t="s">
        <v>1904</v>
      </c>
      <c r="F323" s="64" t="s">
        <v>2662</v>
      </c>
      <c r="G323" s="64" t="s">
        <v>2661</v>
      </c>
      <c r="H323" s="64" t="s">
        <v>2654</v>
      </c>
      <c r="I323" s="64" t="b">
        <v>1</v>
      </c>
      <c r="J323" s="66" t="s">
        <v>2660</v>
      </c>
      <c r="K323" s="66" t="s">
        <v>3960</v>
      </c>
      <c r="L323" s="64" t="s">
        <v>4123</v>
      </c>
      <c r="M323" s="64" t="s">
        <v>5786</v>
      </c>
      <c r="N323" s="65" t="str">
        <f t="shared" si="30"/>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href="https://doi.org/10.1007/978-4-431-99495-4_6"&gt;{https://doi.org/10.1007/978-4-431-99495-4_6}]{#obrien_et_al_2013}&lt;br&gt;&lt;br&gt;</v>
      </c>
      <c r="O323" s="64" t="s">
        <v>2648</v>
      </c>
      <c r="P323" s="64" t="s">
        <v>984</v>
      </c>
      <c r="Q323" s="64" t="str">
        <f t="shared" si="32"/>
        <v>{{ rtxt_obrien_et_al_2013 }}</v>
      </c>
      <c r="R323" s="64" t="str">
        <f t="shared" si="33"/>
        <v>{{ rbib_obrien_et_al_2013 }}</v>
      </c>
      <c r="S323" s="63" t="str">
        <f t="shared" si="31"/>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target="_blank"&gt;https://doi.org/10.1007/978-4-431-99495-4_6&lt;/a&gt;&lt;span style="color:white"&gt;[.]{#obrien_et_al_2013}&lt;/span&gt;&lt;br&gt;&lt;br&gt;</v>
      </c>
      <c r="T323" s="64" t="str">
        <f t="shared" ref="T323:T386" si="35">"    rtxt_"&amp;F323&amp;": "&amp;""""&amp;"&lt;a href=\"&amp;""""&amp;"/08_references.html#"&amp;F323&amp;"\"&amp;""""&amp;" target=\"&amp;""""&amp;"_blank\"&amp;""""&amp;"&gt;"&amp;G323&amp;"&lt;/a&gt;"&amp;""""</f>
        <v xml:space="preserve">    rtxt_obrien_et_al_2013: "&lt;a href=\"/08_references.html#obrien_et_al_2013\" target=\"_blank\"&gt;O'Brien et al., 2013&lt;/a&gt;"</v>
      </c>
      <c r="U323" s="64" t="str">
        <f t="shared" si="34"/>
        <v xml:space="preserve">    rbib_obrien_et_al_2013: "O'Brien,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v>
      </c>
      <c r="V323" s="64"/>
    </row>
    <row r="324" spans="1:22" ht="15.75">
      <c r="A324" s="64"/>
      <c r="B324" s="77" t="b">
        <v>0</v>
      </c>
      <c r="C324" s="77" t="b">
        <v>1</v>
      </c>
      <c r="D324" s="77" t="b">
        <v>1</v>
      </c>
      <c r="E324" s="64" t="s">
        <v>1904</v>
      </c>
      <c r="F324" s="64" t="s">
        <v>2651</v>
      </c>
      <c r="G324" s="64" t="s">
        <v>2650</v>
      </c>
      <c r="H324" s="64" t="s">
        <v>2646</v>
      </c>
      <c r="I324" s="64" t="b">
        <v>1</v>
      </c>
      <c r="J324" s="66" t="s">
        <v>2649</v>
      </c>
      <c r="K324" s="66" t="s">
        <v>3960</v>
      </c>
      <c r="L324" s="64" t="s">
        <v>4124</v>
      </c>
      <c r="M324" s="64" t="s">
        <v>5787</v>
      </c>
      <c r="N324" s="65" t="str">
        <f t="shared" si="30"/>
        <v>[O'Connell,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href="https://doi.org/10.1007/978-4-431-99495-4_6"&gt;{https://doi.org/10.1007/978-4-431-99495-4_6}]{#oconnell_et_al_2006}&lt;br&gt;&lt;br&gt;</v>
      </c>
      <c r="O324" s="64" t="s">
        <v>2648</v>
      </c>
      <c r="P324" s="64" t="s">
        <v>984</v>
      </c>
      <c r="Q324" s="64" t="str">
        <f t="shared" si="32"/>
        <v>{{ rtxt_oconnell_et_al_2006 }}</v>
      </c>
      <c r="R324" s="64" t="str">
        <f t="shared" si="33"/>
        <v>{{ rbib_oconnell_et_al_2006 }}</v>
      </c>
      <c r="S324" s="63" t="str">
        <f t="shared" si="31"/>
        <v>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target="_blank"&gt;https://doi.org/10.1007/978-4-431-99495-4_6&lt;/a&gt;&lt;span style="color:white"&gt;[.]{#oconnell_et_al_2006}&lt;/span&gt;&lt;br&gt;&lt;br&gt;</v>
      </c>
      <c r="T324" s="64" t="str">
        <f t="shared" si="35"/>
        <v xml:space="preserve">    rtxt_oconnell_et_al_2006: "&lt;a href=\"/08_references.html#oconnell_et_al_2006\" target=\"_blank\"&gt;O'Connell et al., 2006&lt;/a&gt;"</v>
      </c>
      <c r="U324" s="64" t="str">
        <f t="shared" si="34"/>
        <v xml:space="preserve">    rbib_oconnell_et_al_2006: "O'Connell, A. F., &amp; Bailey, L. L. (2011a). Inference for Occupancy and Occupancy Dynamics. In O'Connell, A. F. Nichols, J. D. &amp; Karanth, K. U. (Eds.), *Camera Traps In Animal Ecology: Methods and Analyses* (pp. 191-206). Springer. &lt;https://doi.org/10.1007/978-4-431-99495-4_6&gt;"</v>
      </c>
      <c r="V324" s="64"/>
    </row>
    <row r="325" spans="1:22" ht="15.75">
      <c r="A325" s="64"/>
      <c r="B325" s="77" t="b">
        <v>0</v>
      </c>
      <c r="C325" s="77" t="b">
        <v>1</v>
      </c>
      <c r="D325" s="77" t="b">
        <v>0</v>
      </c>
      <c r="E325" s="64" t="s">
        <v>1939</v>
      </c>
      <c r="F325" s="64" t="s">
        <v>2655</v>
      </c>
      <c r="G325" s="64" t="s">
        <v>2654</v>
      </c>
      <c r="H325" s="64" t="s">
        <v>2650</v>
      </c>
      <c r="I325" s="64" t="b">
        <v>1</v>
      </c>
      <c r="J325" s="66" t="s">
        <v>2653</v>
      </c>
      <c r="K325" s="66" t="s">
        <v>3960</v>
      </c>
      <c r="L325" s="64" t="s">
        <v>4125</v>
      </c>
      <c r="M325" s="64" t="s">
        <v>5783</v>
      </c>
      <c r="N325" s="65" t="str">
        <f t="shared" ref="N325:N388" si="36">"["&amp;L325&amp;"]{#"&amp;F325&amp;"}&lt;br&gt;&lt;br&gt;"</f>
        <v>[O'Connell, A. F., Nichols, J. D., &amp; Karanth, K. U. (Eds. ). (2010). &lt;i&gt;Camera traps in Animal Ecology: Methods and Analyses&lt;/i&gt;. Springer. &lt;a target="_blank" href="https://doi.org/10.1007/978-4-431-99495-4"&gt;{https://doi.org/10.1007/978-4-431-99495-4}]{#oconnell_bailey_2011a}&lt;br&gt;&lt;br&gt;</v>
      </c>
      <c r="O325" s="64" t="s">
        <v>2652</v>
      </c>
      <c r="P325" s="64" t="s">
        <v>984</v>
      </c>
      <c r="Q325" s="64" t="str">
        <f t="shared" si="32"/>
        <v>{{ rtxt_oconnell_bailey_2011a }}</v>
      </c>
      <c r="R325" s="64" t="str">
        <f t="shared" si="33"/>
        <v>{{ rbib_oconnell_bailey_2011a }}</v>
      </c>
      <c r="S325" s="63" t="str">
        <f t="shared" si="31"/>
        <v>O'Connell, A. F., Nichols, J. D., &amp; Karanth, K. U. (Eds. ). (2010). &lt;i&gt;Camera traps in Animal Ecology: Methods and Analyses&lt;/i&gt;. Springer. &lt;a href="https://doi.org/10.1007/978-4-431-99495-4" target="_blank"&gt;https://doi.org/10.1007/978-4-431-99495-4&lt;/a&gt;&lt;span style="color:white"&gt;[.]{#oconnell_bailey_2011a}&lt;/span&gt;&lt;br&gt;&lt;br&gt;</v>
      </c>
      <c r="T325" s="64" t="str">
        <f t="shared" si="35"/>
        <v xml:space="preserve">    rtxt_oconnell_bailey_2011a: "&lt;a href=\"/08_references.html#oconnell_bailey_2011a\" target=\"_blank\"&gt;O'Connell &amp; Bailey, 2011a&lt;/a&gt;"</v>
      </c>
      <c r="U325" s="64" t="str">
        <f t="shared" si="34"/>
        <v xml:space="preserve">    rbib_oconnell_bailey_2011a: "O'Connell, A. F., Nichols, J. D., &amp; Karanth, K. U. (Eds. ). (2010). *Camera traps in Animal Ecology: Methods and Analyses*. Springer. &lt;https://doi.org/10.1007/978-4-431-99495-4&gt;"</v>
      </c>
      <c r="V325" s="64"/>
    </row>
    <row r="326" spans="1:22" ht="15.75">
      <c r="A326" s="64"/>
      <c r="B326" s="77" t="b">
        <v>1</v>
      </c>
      <c r="C326" s="77" t="b">
        <v>0</v>
      </c>
      <c r="D326" s="77" t="b">
        <v>1</v>
      </c>
      <c r="E326" s="64" t="s">
        <v>1904</v>
      </c>
      <c r="F326" s="64" t="s">
        <v>2647</v>
      </c>
      <c r="G326" s="64" t="s">
        <v>2646</v>
      </c>
      <c r="H326" s="64" t="s">
        <v>2642</v>
      </c>
      <c r="I326" s="64" t="b">
        <v>1</v>
      </c>
      <c r="J326" s="66" t="s">
        <v>2645</v>
      </c>
      <c r="K326" s="66" t="s">
        <v>3960</v>
      </c>
      <c r="L326" s="64" t="s">
        <v>4126</v>
      </c>
      <c r="M326" s="64" t="s">
        <v>6003</v>
      </c>
      <c r="N326" s="65" t="str">
        <f t="shared" si="36"/>
        <v>[O'Connell,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href="https://doi.org/10.2193/0022-541X(2006)70[1625:ESOADP]2.0.CO;2"&gt;{https://doi.org/10.2193/0022-541X(2006)70[1625:ESOADP]2.0.CO;2}]{#oconnell_et_al_2011}&lt;br&gt;&lt;br&gt;</v>
      </c>
      <c r="O326" s="64" t="s">
        <v>2644</v>
      </c>
      <c r="P326" s="64" t="s">
        <v>984</v>
      </c>
      <c r="Q326" s="64" t="str">
        <f t="shared" si="32"/>
        <v>{{ rtxt_oconnell_et_al_2011 }}</v>
      </c>
      <c r="R326" s="64" t="str">
        <f t="shared" si="33"/>
        <v>{{ rbib_oconnell_et_al_2011 }}</v>
      </c>
      <c r="S326" s="63" t="str">
        <f t="shared" si="31"/>
        <v>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target="_blank"&gt;https://doi.org/10.2193/0022-541X(2006)70[1625:ESOADP]2.0.CO;2&lt;/a&gt;&lt;span style="color:white"&gt;[.]{#oconnell_et_al_2011}&lt;/span&gt;&lt;br&gt;&lt;br&gt;</v>
      </c>
      <c r="T326" s="64" t="str">
        <f t="shared" si="35"/>
        <v xml:space="preserve">    rtxt_oconnell_et_al_2011: "&lt;a href=\"/08_references.html#oconnell_et_al_2011\" target=\"_blank\"&gt;O'Connell et al., 2011&lt;/a&gt;"</v>
      </c>
      <c r="U326" s="64" t="str">
        <f t="shared" si="34"/>
        <v xml:space="preserve">    rbib_oconnell_et_al_2011: "O'Connell,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v>
      </c>
      <c r="V326" s="64"/>
    </row>
    <row r="327" spans="1:22" ht="15.75">
      <c r="A327" s="64"/>
      <c r="B327" s="77" t="b">
        <v>1</v>
      </c>
      <c r="C327" s="77" t="b">
        <v>0</v>
      </c>
      <c r="D327" s="77" t="b">
        <v>0</v>
      </c>
      <c r="E327" s="64" t="s">
        <v>1904</v>
      </c>
      <c r="F327" s="64" t="s">
        <v>2643</v>
      </c>
      <c r="G327" s="64" t="s">
        <v>2642</v>
      </c>
      <c r="H327" s="64" t="s">
        <v>2641</v>
      </c>
      <c r="I327" s="64" t="b">
        <v>1</v>
      </c>
      <c r="J327" s="66" t="s">
        <v>2640</v>
      </c>
      <c r="K327" s="66" t="s">
        <v>3960</v>
      </c>
      <c r="L327" s="64" t="s">
        <v>4127</v>
      </c>
      <c r="M327" s="64" t="s">
        <v>5971</v>
      </c>
      <c r="N327" s="65" t="str">
        <f t="shared" si="36"/>
        <v>[O'Connor,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href="https://doi.org/10.1371/journal.pone.0175684"&gt;{https://doi.org/10.1371/journal.pone.0175684}]{#oconnor_et_al_2017}&lt;br&gt;&lt;br&gt;</v>
      </c>
      <c r="O327" s="64" t="s">
        <v>2639</v>
      </c>
      <c r="P327" s="64" t="s">
        <v>984</v>
      </c>
      <c r="Q327" s="64" t="str">
        <f t="shared" si="32"/>
        <v>{{ rtxt_oconnor_et_al_2017 }}</v>
      </c>
      <c r="R327" s="64" t="str">
        <f t="shared" si="33"/>
        <v>{{ rbib_oconnor_et_al_2017 }}</v>
      </c>
      <c r="S327" s="63" t="str">
        <f t="shared" si="31"/>
        <v>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target="_blank"&gt;https://doi.org/10.1371/journal.pone.0175684&lt;/a&gt;&lt;span style="color:white"&gt;[.]{#oconnor_et_al_2017}&lt;/span&gt;&lt;br&gt;&lt;br&gt;</v>
      </c>
      <c r="T327" s="64" t="str">
        <f t="shared" si="35"/>
        <v xml:space="preserve">    rtxt_oconnor_et_al_2017: "&lt;a href=\"/08_references.html#oconnor_et_al_2017\" target=\"_blank\"&gt;O'Connor et al., 2017&lt;/a&gt;"</v>
      </c>
      <c r="U327" s="64" t="str">
        <f t="shared" si="34"/>
        <v xml:space="preserve">    rbib_oconnor_et_al_2017: "O'Connor, K. M., Nathan, L. R., Liberati, M. R., Tingley, M. W., Vokoun, J. C., &amp; Rittenhouse, T. A. G. (2017). Camera trap arrays improve detection probability of wildlife: Investigating study design considerations using an empirical dataset. *PloS One, 12*(4), e0175684. &lt;https://doi.org/10.1371/journal.pone.0175684&gt;"</v>
      </c>
      <c r="V327" s="64"/>
    </row>
    <row r="328" spans="1:22" ht="15.75">
      <c r="A328" s="64"/>
      <c r="B328" s="77"/>
      <c r="C328" s="77"/>
      <c r="D328" s="77"/>
      <c r="E328" s="64" t="s">
        <v>1904</v>
      </c>
      <c r="F328" s="64" t="s">
        <v>2638</v>
      </c>
      <c r="G328" s="64" t="s">
        <v>2637</v>
      </c>
      <c r="H328" s="64"/>
      <c r="I328" s="64" t="b">
        <v>1</v>
      </c>
      <c r="J328" s="66" t="s">
        <v>2636</v>
      </c>
      <c r="K328" s="66" t="s">
        <v>3960</v>
      </c>
      <c r="L328" s="64" t="s">
        <v>4128</v>
      </c>
      <c r="M328" s="64" t="s">
        <v>5867</v>
      </c>
      <c r="N328" s="65" t="str">
        <f t="shared" si="36"/>
        <v>[Ofstad,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href="https://doi.org/10.1098/rspb.2016.1234"&gt;{https://doi.org/10.1098/rspb.2016.1234}]{#ofstad_2016}&lt;br&gt;&lt;br&gt;</v>
      </c>
      <c r="O328" s="64" t="s">
        <v>2635</v>
      </c>
      <c r="P328" s="64" t="s">
        <v>984</v>
      </c>
      <c r="Q328" s="64" t="str">
        <f t="shared" si="32"/>
        <v>{{ rtxt_ofstad_2016 }}</v>
      </c>
      <c r="R328" s="64" t="str">
        <f t="shared" si="33"/>
        <v>{{ rbib_ofstad_2016 }}</v>
      </c>
      <c r="S328" s="63" t="str">
        <f t="shared" si="31"/>
        <v>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target="_blank"&gt;https://doi.org/10.1098/rspb.2016.1234&lt;/a&gt;&lt;span style="color:white"&gt;[.]{#ofstad_2016}&lt;/span&gt;&lt;br&gt;&lt;br&gt;</v>
      </c>
      <c r="T328" s="64" t="str">
        <f t="shared" si="35"/>
        <v xml:space="preserve">    rtxt_ofstad_2016: "&lt;a href=\"/08_references.html#ofstad_2016\" target=\"_blank\"&gt;Ofstad, 2016&lt;/a&gt;"</v>
      </c>
      <c r="U328" s="64" t="str">
        <f t="shared" si="34"/>
        <v xml:space="preserve">    rbib_ofstad_2016: "Ofstad, E. G., Herfindal, I., Solberg, E. J., &amp; Saether, B. E. (2016). Home ranges, habitat and body mass: Simple correlates of home range size in ungulates. *Proceedings of the Royal Society B: Biological Sciences, 283* (1845), 20161234. &lt;https://doi.org/10.1098/rspb.2016.1234&gt;"</v>
      </c>
      <c r="V328" s="64"/>
    </row>
    <row r="329" spans="1:22" ht="15.75">
      <c r="A329" s="64"/>
      <c r="B329" s="77" t="b">
        <v>0</v>
      </c>
      <c r="C329" s="77" t="b">
        <v>0</v>
      </c>
      <c r="D329" s="77"/>
      <c r="E329" s="64" t="s">
        <v>1904</v>
      </c>
      <c r="F329" s="64" t="s">
        <v>2634</v>
      </c>
      <c r="G329" s="64" t="s">
        <v>2633</v>
      </c>
      <c r="H329" s="64" t="s">
        <v>2633</v>
      </c>
      <c r="I329" s="64" t="b">
        <v>1</v>
      </c>
      <c r="J329" s="66" t="s">
        <v>2632</v>
      </c>
      <c r="K329" s="66" t="s">
        <v>3960</v>
      </c>
      <c r="L329" s="64" t="s">
        <v>4129</v>
      </c>
      <c r="M329" s="64" t="s">
        <v>6018</v>
      </c>
      <c r="N329" s="65" t="str">
        <f t="shared" si="36"/>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href="https://doi.org/10.32614/CRAN.package.vegan"&gt;{https://doi.org/10.32614/CRAN.package.vegan}]{#oksanen_et_al_2024}&lt;br&gt;&lt;br&gt;</v>
      </c>
      <c r="O329" s="64" t="s">
        <v>2631</v>
      </c>
      <c r="P329" s="64" t="s">
        <v>984</v>
      </c>
      <c r="Q329" s="64" t="str">
        <f t="shared" si="32"/>
        <v>{{ rtxt_oksanen_et_al_2024 }}</v>
      </c>
      <c r="R329" s="64" t="str">
        <f t="shared" si="33"/>
        <v>{{ rbib_oksanen_et_al_2024 }}</v>
      </c>
      <c r="S329" s="63" t="str">
        <f t="shared" si="31"/>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target="_blank"&gt;https://doi.org/10.32614/CRAN.package.vegan&lt;/a&gt;&lt;span style="color:white"&gt;[.]{#oksanen_et_al_2024}&lt;/span&gt;&lt;br&gt;&lt;br&gt;</v>
      </c>
      <c r="T329" s="64" t="str">
        <f t="shared" si="35"/>
        <v xml:space="preserve">    rtxt_oksanen_et_al_2024: "&lt;a href=\"/08_references.html#oksanen_et_al_2024\" target=\"_blank\"&gt;Oksanen et al., 2024&lt;/a&gt;"</v>
      </c>
      <c r="U329" s="64" t="str">
        <f t="shared" si="34"/>
        <v xml:space="preserve">    rbib_oksanen_et_al_2024: "Oksanen,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v>
      </c>
      <c r="V329" s="64"/>
    </row>
    <row r="330" spans="1:22" ht="15.75">
      <c r="A330" s="64"/>
      <c r="B330" s="77"/>
      <c r="C330" s="77"/>
      <c r="D330" s="77"/>
      <c r="E330" s="64" t="s">
        <v>1945</v>
      </c>
      <c r="F330" s="64" t="s">
        <v>2630</v>
      </c>
      <c r="G330" s="64" t="s">
        <v>2629</v>
      </c>
      <c r="H330" s="64" t="s">
        <v>2629</v>
      </c>
      <c r="I330" s="64" t="b">
        <v>1</v>
      </c>
      <c r="J330" s="66" t="s">
        <v>2628</v>
      </c>
      <c r="K330" s="66" t="s">
        <v>3960</v>
      </c>
      <c r="L330" s="64" t="s">
        <v>4130</v>
      </c>
      <c r="M330" s="64" t="s">
        <v>6133</v>
      </c>
      <c r="N330" s="65" t="str">
        <f t="shared" si="36"/>
        <v>[oscrpackage206 (2020) &lt;i&gt;oSCR Package.&lt;/i&gt; [Channel]. YouTube. &lt;a target="_blank" href="https://www.youtube.com/channel/UCc87aAzhX7EUOalyCohzqsQ"&gt;{https://www.youtube.com/channel/UCc87aAzhX7EUOalyCohzqsQ}]{#oscrpackage206}&lt;br&gt;&lt;br&gt;</v>
      </c>
      <c r="O330" s="64" t="s">
        <v>2627</v>
      </c>
      <c r="P330" s="64" t="s">
        <v>984</v>
      </c>
      <c r="Q330" s="64" t="str">
        <f t="shared" si="32"/>
        <v>{{ rtxt_oscrpackage206 }}</v>
      </c>
      <c r="R330" s="64" t="str">
        <f t="shared" si="33"/>
        <v>{{ rbib_oscrpackage206 }}</v>
      </c>
      <c r="S330" s="63" t="str">
        <f t="shared" si="31"/>
        <v>oscrpackage206 (2020) &lt;i&gt;oSCR Package.&lt;/i&gt; [Channel]. YouTube. &lt;a href="https://www.youtube.com/channel/UCc87aAzhX7EUOalyCohzqsQ" target="_blank"&gt;https://www.youtube.com/channel/UCc87aAzhX7EUOalyCohzqsQ&lt;/a&gt;&lt;span style="color:white"&gt;[.]{#oscrpackage206}&lt;/span&gt;&lt;br&gt;&lt;br&gt;</v>
      </c>
      <c r="T330" s="64" t="str">
        <f t="shared" si="35"/>
        <v xml:space="preserve">    rtxt_oscrpackage206: "&lt;a href=\"/08_references.html#oscrpackage206\" target=\"_blank\"&gt;oscrpackage206, 2020&lt;/a&gt;"</v>
      </c>
      <c r="U330" s="64" t="str">
        <f t="shared" si="34"/>
        <v xml:space="preserve">    rbib_oscrpackage206: "oscrpackage206 (2020) *oSCR Package.* [Channel]. YouTube. &lt;https://www.youtube.com/channel/UCc87aAzhX7EUOalyCohzqsQ&gt;"</v>
      </c>
      <c r="V330" s="64"/>
    </row>
    <row r="331" spans="1:22" ht="15.75">
      <c r="A331" s="64"/>
      <c r="B331" s="77"/>
      <c r="C331" s="77"/>
      <c r="D331" s="77"/>
      <c r="E331" s="64" t="s">
        <v>1904</v>
      </c>
      <c r="F331" s="64" t="s">
        <v>2626</v>
      </c>
      <c r="G331" s="64" t="s">
        <v>2625</v>
      </c>
      <c r="H331" s="64"/>
      <c r="I331" s="64" t="b">
        <v>1</v>
      </c>
      <c r="J331" s="66" t="s">
        <v>2624</v>
      </c>
      <c r="K331" s="66" t="s">
        <v>3960</v>
      </c>
      <c r="L331" s="64" t="s">
        <v>4131</v>
      </c>
      <c r="M331" s="64" t="s">
        <v>6077</v>
      </c>
      <c r="N331" s="65" t="str">
        <f t="shared" si="36"/>
        <v>[Otis, D. L., Burnham, K. P., White, G. C.. &amp; Anderson, D. R. (1978). Statistical Inference from Capture Data on Closed Animal Populations. &lt;i&gt;Wildlife Monographs, 62&lt;/i&gt;, 3-135. &lt;a target="_blank" href="https://pubs.usgs.gov/publication/70119899"&gt;{https://pubs.usgs.gov/publication/70119899}]{#otis_et_al_1978}&lt;br&gt;&lt;br&gt;</v>
      </c>
      <c r="O331" s="64" t="s">
        <v>2623</v>
      </c>
      <c r="P331" s="64" t="s">
        <v>984</v>
      </c>
      <c r="Q331" s="64" t="str">
        <f t="shared" si="32"/>
        <v>{{ rtxt_otis_et_al_1978 }}</v>
      </c>
      <c r="R331" s="64" t="str">
        <f t="shared" si="33"/>
        <v>{{ rbib_otis_et_al_1978 }}</v>
      </c>
      <c r="S331" s="63" t="str">
        <f t="shared" si="31"/>
        <v>Otis, D. L., Burnham, K. P., White, G. C.. &amp; Anderson, D. R. (1978). Statistical Inference from Capture Data on Closed Animal Populations. &lt;i&gt;Wildlife Monographs, 62&lt;/i&gt;, 3-135. &lt;a href="https://pubs.usgs.gov/publication/70119899" target="_blank"&gt;https://pubs.usgs.gov/publication/70119899&lt;/a&gt;&lt;span style="color:white"&gt;[.]{#otis_et_al_1978}&lt;/span&gt;&lt;br&gt;&lt;br&gt;</v>
      </c>
      <c r="T331" s="64" t="str">
        <f t="shared" si="35"/>
        <v xml:space="preserve">    rtxt_otis_et_al_1978: "&lt;a href=\"/08_references.html#otis_et_al_1978\" target=\"_blank\"&gt;Otis et al., 1978&lt;/a&gt;"</v>
      </c>
      <c r="U331" s="64" t="str">
        <f t="shared" si="34"/>
        <v xml:space="preserve">    rbib_otis_et_al_1978: "Otis, D. L., Burnham, K. P., White, G. C.. &amp; Anderson, D. R. (1978). Statistical Inference from Capture Data on Closed Animal Populations. *Wildlife Monographs, 62*, 3-135. &lt;https://pubs.usgs.gov/publication/70119899&gt;"</v>
      </c>
      <c r="V331" s="64"/>
    </row>
    <row r="332" spans="1:22" ht="15.75">
      <c r="A332" s="64"/>
      <c r="B332" s="77" t="b">
        <v>1</v>
      </c>
      <c r="C332" s="77" t="b">
        <v>0</v>
      </c>
      <c r="D332" s="77" t="b">
        <v>0</v>
      </c>
      <c r="E332" s="64" t="s">
        <v>1904</v>
      </c>
      <c r="F332" s="64" t="s">
        <v>2622</v>
      </c>
      <c r="G332" s="64" t="s">
        <v>2621</v>
      </c>
      <c r="H332" s="64" t="s">
        <v>2621</v>
      </c>
      <c r="I332" s="64" t="b">
        <v>1</v>
      </c>
      <c r="J332" s="66" t="s">
        <v>2620</v>
      </c>
      <c r="K332" s="66" t="s">
        <v>3960</v>
      </c>
      <c r="L332" s="64" t="s">
        <v>4132</v>
      </c>
      <c r="M332" s="64" t="s">
        <v>5892</v>
      </c>
      <c r="N332" s="65" t="str">
        <f t="shared" si="36"/>
        <v>[Pacifici,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href="https://doi.org/10.1111/2041-210x.12499"&gt;{https://doi.org/10.1111/2041-210x.12499}]{#pacifici_et_al_2016}&lt;br&gt;&lt;br&gt;</v>
      </c>
      <c r="O332" s="64" t="s">
        <v>2619</v>
      </c>
      <c r="P332" s="64" t="s">
        <v>984</v>
      </c>
      <c r="Q332" s="64" t="str">
        <f t="shared" si="32"/>
        <v>{{ rtxt_pacifici_et_al_2016 }}</v>
      </c>
      <c r="R332" s="64" t="str">
        <f t="shared" si="33"/>
        <v>{{ rbib_pacifici_et_al_2016 }}</v>
      </c>
      <c r="S332" s="63" t="str">
        <f t="shared" si="31"/>
        <v>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target="_blank"&gt;https://doi.org/10.1111/2041-210x.12499&lt;/a&gt;&lt;span style="color:white"&gt;[.]{#pacifici_et_al_2016}&lt;/span&gt;&lt;br&gt;&lt;br&gt;</v>
      </c>
      <c r="T332" s="64" t="str">
        <f t="shared" si="35"/>
        <v xml:space="preserve">    rtxt_pacifici_et_al_2016: "&lt;a href=\"/08_references.html#pacifici_et_al_2016\" target=\"_blank\"&gt;Pacifici et al., 2016&lt;/a&gt;"</v>
      </c>
      <c r="U332" s="64" t="str">
        <f t="shared" si="34"/>
        <v xml:space="preserve">    rbib_pacifici_et_al_2016: "Pacifici, K., Reich, B. J., Dorazio, R. M., Conroy, M. J., &amp; McPherson, J. (2016). Occupancy estimation for rare species using a spatially‐adaptive sampling design. *Methods in Ecology and Evolution, 7*(3), 285-293. &lt;https://doi.org/10.1111/2041-210x.12499&gt;"</v>
      </c>
      <c r="V332" s="64"/>
    </row>
    <row r="333" spans="1:22" ht="15.75">
      <c r="A333" s="64"/>
      <c r="B333" s="77"/>
      <c r="C333" s="77"/>
      <c r="D333" s="77"/>
      <c r="E333" s="64" t="s">
        <v>1945</v>
      </c>
      <c r="F333" s="64" t="s">
        <v>2618</v>
      </c>
      <c r="G333" s="64" t="s">
        <v>2617</v>
      </c>
      <c r="H333" s="64"/>
      <c r="I333" s="64" t="b">
        <v>1</v>
      </c>
      <c r="J333" s="66" t="s">
        <v>3969</v>
      </c>
      <c r="K333" s="66" t="s">
        <v>3960</v>
      </c>
      <c r="L333" s="64" t="s">
        <v>4133</v>
      </c>
      <c r="M333" s="64" t="s">
        <v>6153</v>
      </c>
      <c r="N333" s="65" t="str">
        <f t="shared" si="36"/>
        <v>[Palencia, P. &amp; Project ENETWILD (2022, May 19). &lt;i&gt;Camera Trap Methods for Density Estimation.&lt;/i&gt; [Video]. YouTube. &lt;a target="_blank" href="https://www.youtube.com/watch?v=NUW4oLGeQwk"&gt;{https://www.youtube.com/watch?v=NUW4oLGeQwk}]{#palencia_enetwild_2022}&lt;br&gt;&lt;br&gt;</v>
      </c>
      <c r="O333" s="64" t="s">
        <v>2615</v>
      </c>
      <c r="P333" s="64" t="s">
        <v>2616</v>
      </c>
      <c r="Q333" s="64" t="str">
        <f t="shared" si="32"/>
        <v>{{ rtxt_palencia_enetwild_2022 }}</v>
      </c>
      <c r="R333" s="64" t="str">
        <f t="shared" si="33"/>
        <v>{{ rbib_palencia_enetwild_2022 }}</v>
      </c>
      <c r="S333" s="63" t="str">
        <f t="shared" si="31"/>
        <v>Palencia, P. &amp; Project ENETWILD (2022, May 19). &lt;i&gt;Camera Trap Methods for Density Estimation.&lt;/i&gt; [Video]. YouTube. &lt;a href="https://www.youtube.com/watch?v=NUW4oLGeQwk" target="_blank"&gt;https://www.youtube.com/watch?v=NUW4oLGeQwk&lt;/a&gt;&lt;span style="color:white"&gt;[.]{#palencia_enetwild_2022}&lt;/span&gt;&lt;br&gt;&lt;br&gt;</v>
      </c>
      <c r="T333" s="64" t="str">
        <f t="shared" si="35"/>
        <v xml:space="preserve">    rtxt_palencia_enetwild_2022: "&lt;a href=\"/08_references.html#palencia_enetwild_2022\" target=\"_blank\"&gt;Palencia &amp; Project ENETWILD, 2022&lt;/a&gt;"</v>
      </c>
      <c r="U333" s="64" t="str">
        <f t="shared" si="34"/>
        <v xml:space="preserve">    rbib_palencia_enetwild_2022: "Palencia, P. &amp; Project ENETWILD (2022, May 19). *Camera Trap Methods for Density Estimation.* [Video]. YouTube. &lt;https://www.youtube.com/watch?v=NUW4oLGeQwk&gt;"</v>
      </c>
      <c r="V333" s="64"/>
    </row>
    <row r="334" spans="1:22" ht="15.75">
      <c r="A334" s="64"/>
      <c r="B334" s="77" t="b">
        <v>1</v>
      </c>
      <c r="C334" s="77" t="b">
        <v>0</v>
      </c>
      <c r="D334" s="77" t="b">
        <v>0</v>
      </c>
      <c r="E334" s="64" t="s">
        <v>1904</v>
      </c>
      <c r="F334" s="64" t="s">
        <v>2606</v>
      </c>
      <c r="G334" s="64" t="s">
        <v>2605</v>
      </c>
      <c r="H334" s="64"/>
      <c r="I334" s="64" t="b">
        <v>1</v>
      </c>
      <c r="J334" s="66" t="s">
        <v>2604</v>
      </c>
      <c r="K334" s="66" t="s">
        <v>3960</v>
      </c>
      <c r="L334" s="64" t="s">
        <v>4134</v>
      </c>
      <c r="M334" s="64" t="s">
        <v>5762</v>
      </c>
      <c r="N334" s="65" t="str">
        <f t="shared" si="36"/>
        <v>[Palencia,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href="https://doi.org/10.1002/rse2.269"&gt;{https://doi.org/10.1002/rse2.269}]{#palencia_et_al_2022b}&lt;br&gt;&lt;br&gt;</v>
      </c>
      <c r="O334" s="64" t="s">
        <v>2603</v>
      </c>
      <c r="P334" s="64" t="s">
        <v>984</v>
      </c>
      <c r="Q334" s="64" t="str">
        <f t="shared" si="32"/>
        <v>{{ rtxt_palencia_et_al_2022b }}</v>
      </c>
      <c r="R334" s="64" t="str">
        <f t="shared" si="33"/>
        <v>{{ rbib_palencia_et_al_2022b }}</v>
      </c>
      <c r="S334" s="63" t="str">
        <f t="shared" si="31"/>
        <v>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target="_blank"&gt;https://doi.org/10.1002/rse2.269&lt;/a&gt;&lt;span style="color:white"&gt;[.]{#palencia_et_al_2022b}&lt;/span&gt;&lt;br&gt;&lt;br&gt;</v>
      </c>
      <c r="T334" s="64" t="str">
        <f t="shared" si="35"/>
        <v xml:space="preserve">    rtxt_palencia_et_al_2022b: "&lt;a href=\"/08_references.html#palencia_et_al_2022b\" target=\"_blank\"&gt;Palencia et al., 2022b&lt;/a&gt;"</v>
      </c>
      <c r="U334" s="64" t="str">
        <f t="shared" si="34"/>
        <v xml:space="preserve">    rbib_palencia_et_al_2022b: "Palencia, P., Barroso, P., Vicente, J., Hofmeester, T. R., Ferreres, J., &amp; Acevedo, P. (2022b). Random encounter model is a reliable method for estimating population density of multiple species using camera traps. *Remote Sensing in Ecology and Conservation, 8*(5), 670-682. &lt;https://doi.org/10.1002/rse2.269&gt;"</v>
      </c>
      <c r="V334" s="64"/>
    </row>
    <row r="335" spans="1:22" ht="15.75">
      <c r="A335" s="64"/>
      <c r="B335" s="77" t="b">
        <v>1</v>
      </c>
      <c r="C335" s="77" t="b">
        <v>0</v>
      </c>
      <c r="D335" s="77" t="b">
        <v>1</v>
      </c>
      <c r="E335" s="64" t="s">
        <v>1904</v>
      </c>
      <c r="F335" s="64" t="s">
        <v>2614</v>
      </c>
      <c r="G335" s="64" t="s">
        <v>2613</v>
      </c>
      <c r="H335" s="64" t="s">
        <v>2613</v>
      </c>
      <c r="I335" s="64" t="b">
        <v>1</v>
      </c>
      <c r="J335" s="66" t="s">
        <v>2612</v>
      </c>
      <c r="K335" s="66" t="s">
        <v>3960</v>
      </c>
      <c r="L335" s="64" t="s">
        <v>4135</v>
      </c>
      <c r="M335" s="64" t="s">
        <v>5887</v>
      </c>
      <c r="N335" s="65" t="str">
        <f t="shared" si="36"/>
        <v>[Palencia, P., Rowcliffe, J. M., Vicente, J., &amp; Acevedo, P. (2021). Assessing the camera trap methodologies used to estimate Density of unmarked populations. &lt;i&gt;Journal of Applied Ecology, 58&lt;/i&gt;(8), 1583-1592. &lt;a target="_blank" href="https://doi.org/10.1111/1365-2664.13913"&gt;{https://doi.org/10.1111/1365-2664.13913}]{#palencia_et_al_2021}&lt;br&gt;&lt;br&gt;</v>
      </c>
      <c r="O335" s="64" t="s">
        <v>2611</v>
      </c>
      <c r="P335" s="64" t="s">
        <v>984</v>
      </c>
      <c r="Q335" s="64" t="str">
        <f t="shared" si="32"/>
        <v>{{ rtxt_palencia_et_al_2021 }}</v>
      </c>
      <c r="R335" s="64" t="str">
        <f t="shared" si="33"/>
        <v>{{ rbib_palencia_et_al_2021 }}</v>
      </c>
      <c r="S335" s="63" t="str">
        <f t="shared" si="31"/>
        <v>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target="_blank"&gt;https://doi.org/10.1111/1365-2664.13913&lt;/a&gt;&lt;span style="color:white"&gt;[.]{#palencia_et_al_2021}&lt;/span&gt;&lt;br&gt;&lt;br&gt;</v>
      </c>
      <c r="T335" s="64" t="str">
        <f t="shared" si="35"/>
        <v xml:space="preserve">    rtxt_palencia_et_al_2021: "&lt;a href=\"/08_references.html#palencia_et_al_2021\" target=\"_blank\"&gt;Palencia et al., 2021&lt;/a&gt;"</v>
      </c>
      <c r="U335" s="64" t="str">
        <f t="shared" si="34"/>
        <v xml:space="preserve">    rbib_palencia_et_al_2021: "Palencia, P., Rowcliffe, J. M., Vicente, J., &amp; Acevedo, P. (2021). Assessing the camera trap methodologies used to estimate Density of unmarked populations. *Journal of Applied Ecology, 58*(8), 1583-1592. &lt;https://doi.org/10.1111/1365-2664.13913&gt;"</v>
      </c>
      <c r="V335" s="64"/>
    </row>
    <row r="336" spans="1:22" ht="15.75">
      <c r="A336" s="64"/>
      <c r="B336" s="77" t="b">
        <v>1</v>
      </c>
      <c r="C336" s="77" t="b">
        <v>0</v>
      </c>
      <c r="D336" s="77" t="b">
        <v>0</v>
      </c>
      <c r="E336" s="64" t="s">
        <v>1904</v>
      </c>
      <c r="F336" s="64" t="s">
        <v>2610</v>
      </c>
      <c r="G336" s="64" t="s">
        <v>2609</v>
      </c>
      <c r="H336" s="64" t="s">
        <v>2609</v>
      </c>
      <c r="I336" s="64" t="b">
        <v>1</v>
      </c>
      <c r="J336" s="66" t="s">
        <v>2608</v>
      </c>
      <c r="K336" s="66" t="s">
        <v>3960</v>
      </c>
      <c r="L336" s="64" t="s">
        <v>4136</v>
      </c>
      <c r="M336" s="64" t="s">
        <v>5946</v>
      </c>
      <c r="N336" s="65" t="str">
        <f t="shared" si="36"/>
        <v>[Palencia,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href="https://doi.org/10.1111/jzo.12945"&gt;{https://doi.org/10.1111/jzo.12945}]{#palencia_et_al_2022}&lt;br&gt;&lt;br&gt;</v>
      </c>
      <c r="O336" s="64" t="s">
        <v>2607</v>
      </c>
      <c r="P336" s="64" t="s">
        <v>984</v>
      </c>
      <c r="Q336" s="64" t="str">
        <f t="shared" si="32"/>
        <v>{{ rtxt_palencia_et_al_2022 }}</v>
      </c>
      <c r="R336" s="64" t="str">
        <f t="shared" si="33"/>
        <v>{{ rbib_palencia_et_al_2022 }}</v>
      </c>
      <c r="S336" s="63" t="str">
        <f t="shared" si="31"/>
        <v>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target="_blank"&gt;https://doi.org/10.1111/jzo.12945&lt;/a&gt;&lt;span style="color:white"&gt;[.]{#palencia_et_al_2022}&lt;/span&gt;&lt;br&gt;&lt;br&gt;</v>
      </c>
      <c r="T336" s="64" t="str">
        <f t="shared" si="35"/>
        <v xml:space="preserve">    rtxt_palencia_et_al_2022: "&lt;a href=\"/08_references.html#palencia_et_al_2022\" target=\"_blank\"&gt;Palencia et al., 2022&lt;/a&gt;"</v>
      </c>
      <c r="U336" s="64" t="str">
        <f t="shared" si="34"/>
        <v xml:space="preserve">    rbib_palencia_et_al_2022: "Palencia, P., Vicente, J., Soriguer, R. C., &amp; Acevedo, P. (2022). Towards a best‐practices guide for camera trapping: assessing differences among camera trap models and settings under field conditions. *Journal of Zoology, 316*(3), 197-208. &lt;https://doi.org/10.1111/jzo.12945&gt;"</v>
      </c>
      <c r="V336" s="64"/>
    </row>
    <row r="337" spans="1:22" ht="15.75">
      <c r="A337" s="64"/>
      <c r="B337" s="77" t="b">
        <v>1</v>
      </c>
      <c r="C337" s="77" t="b">
        <v>1</v>
      </c>
      <c r="D337" s="77" t="b">
        <v>0</v>
      </c>
      <c r="E337" s="64" t="s">
        <v>1904</v>
      </c>
      <c r="F337" s="64" t="s">
        <v>2602</v>
      </c>
      <c r="G337" s="64" t="s">
        <v>2601</v>
      </c>
      <c r="H337" s="64" t="s">
        <v>2601</v>
      </c>
      <c r="I337" s="64" t="b">
        <v>1</v>
      </c>
      <c r="J337" s="66" t="s">
        <v>2600</v>
      </c>
      <c r="K337" s="66" t="s">
        <v>3960</v>
      </c>
      <c r="L337" s="64" t="s">
        <v>4137</v>
      </c>
      <c r="M337" s="64" t="s">
        <v>6067</v>
      </c>
      <c r="N337" s="65" t="str">
        <f t="shared" si="36"/>
        <v>[Palmer,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href="https://onlinelibrary.wiley.com/doi/abs/10.1111/aje.12566"&gt;{https://onlinelibrary.wiley.com/doi/abs/10.1111/aje.12566}]{#palmer_et_al_2018}&lt;br&gt;&lt;br&gt;</v>
      </c>
      <c r="O337" s="64" t="s">
        <v>2599</v>
      </c>
      <c r="P337" s="64" t="s">
        <v>984</v>
      </c>
      <c r="Q337" s="64" t="str">
        <f t="shared" si="32"/>
        <v>{{ rtxt_palmer_et_al_2018 }}</v>
      </c>
      <c r="R337" s="64" t="str">
        <f t="shared" si="33"/>
        <v>{{ rbib_palmer_et_al_2018 }}</v>
      </c>
      <c r="S337" s="63" t="str">
        <f t="shared" ref="S337:S400" si="37">M337&amp;IF(O337&lt;&gt;"-",(" &lt;a href="&amp;""""&amp;O337&amp;""""&amp;" target="&amp;""""&amp;"_blank"&amp;""""&amp;"&gt;"&amp;O337&amp;"&lt;/a&gt;&lt;span style="&amp;""""&amp;"color:white"&amp;""""&amp;"&gt;[.]{#"&amp;F337&amp;"}&lt;/span&gt;&lt;br&gt;&lt;br&gt;"),"")</f>
        <v>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target="_blank"&gt;https://onlinelibrary.wiley.com/doi/abs/10.1111/aje.12566&lt;/a&gt;&lt;span style="color:white"&gt;[.]{#palmer_et_al_2018}&lt;/span&gt;&lt;br&gt;&lt;br&gt;</v>
      </c>
      <c r="T337" s="64" t="str">
        <f t="shared" si="35"/>
        <v xml:space="preserve">    rtxt_palmer_et_al_2018: "&lt;a href=\"/08_references.html#palmer_et_al_2018\" target=\"_blank\"&gt;Palmer et al., 2018&lt;/a&gt;"</v>
      </c>
      <c r="U337" s="64" t="str">
        <f t="shared" si="34"/>
        <v xml:space="preserve">    rbib_palmer_et_al_2018: "Palmer, M. S., Swanson, A., Kosmala, M., Arnold, T., &amp; Packer, C. (2018). Evaluating relative abundance indices for terrestrial herbivores from large‐scale camera trap Surveys. *African Journal of Ecology*, 56, 791-803. &lt;https://onlinelibrary.wiley.com/doi/abs/10.1111/aje.12566&gt;"</v>
      </c>
      <c r="V337" s="64"/>
    </row>
    <row r="338" spans="1:22" ht="15.75">
      <c r="A338" s="64"/>
      <c r="B338" s="77" t="b">
        <v>1</v>
      </c>
      <c r="C338" s="77" t="b">
        <v>0</v>
      </c>
      <c r="D338" s="77" t="b">
        <v>0</v>
      </c>
      <c r="E338" s="64" t="s">
        <v>1904</v>
      </c>
      <c r="F338" s="64" t="s">
        <v>2598</v>
      </c>
      <c r="G338" s="64" t="s">
        <v>2597</v>
      </c>
      <c r="H338" s="64" t="s">
        <v>2597</v>
      </c>
      <c r="I338" s="64" t="b">
        <v>1</v>
      </c>
      <c r="J338" s="66" t="s">
        <v>2596</v>
      </c>
      <c r="K338" s="66" t="s">
        <v>3960</v>
      </c>
      <c r="L338" s="64" t="s">
        <v>4138</v>
      </c>
      <c r="M338" s="64" t="s">
        <v>5985</v>
      </c>
      <c r="N338" s="65" t="str">
        <f t="shared" si="36"/>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href="https://doi.org/10.1890/0012-9615(2003)073[0001:Smdeaf]2.0.Co;2"&gt;{https://doi.org/10.1890/0012-9615(2003)073[0001:Smdeaf]2.0.Co;2}]{#parmenter_et_al_2003}&lt;br&gt;&lt;br&gt;</v>
      </c>
      <c r="O338" s="64" t="s">
        <v>2595</v>
      </c>
      <c r="P338" s="64" t="s">
        <v>984</v>
      </c>
      <c r="Q338" s="64" t="str">
        <f t="shared" si="32"/>
        <v>{{ rtxt_parmenter_et_al_2003 }}</v>
      </c>
      <c r="R338" s="64" t="str">
        <f t="shared" si="33"/>
        <v>{{ rbib_parmenter_et_al_2003 }}</v>
      </c>
      <c r="S338" s="63" t="str">
        <f t="shared" si="37"/>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target="_blank"&gt;https://doi.org/10.1890/0012-9615(2003)073[0001:Smdeaf]2.0.Co;2&lt;/a&gt;&lt;span style="color:white"&gt;[.]{#parmenter_et_al_2003}&lt;/span&gt;&lt;br&gt;&lt;br&gt;</v>
      </c>
      <c r="T338" s="64" t="str">
        <f t="shared" si="35"/>
        <v xml:space="preserve">    rtxt_parmenter_et_al_2003: "&lt;a href=\"/08_references.html#parmenter_et_al_2003\" target=\"_blank\"&gt;Parmenter et al., 2003&lt;/a&gt;"</v>
      </c>
      <c r="U338" s="64" t="str">
        <f t="shared" si="34"/>
        <v xml:space="preserve">    rbib_parmenter_et_al_2003: "Parmenter,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v>
      </c>
      <c r="V338" s="64"/>
    </row>
    <row r="339" spans="1:22" ht="15.75">
      <c r="A339" s="64"/>
      <c r="B339" s="77"/>
      <c r="C339" s="77"/>
      <c r="D339" s="77"/>
      <c r="E339" s="64" t="s">
        <v>1904</v>
      </c>
      <c r="F339" s="64" t="s">
        <v>2594</v>
      </c>
      <c r="G339" s="64" t="s">
        <v>2593</v>
      </c>
      <c r="H339" s="64" t="s">
        <v>2593</v>
      </c>
      <c r="I339" s="64" t="b">
        <v>1</v>
      </c>
      <c r="J339" s="66" t="s">
        <v>2592</v>
      </c>
      <c r="K339" s="66" t="s">
        <v>3960</v>
      </c>
      <c r="L339" s="64" t="s">
        <v>4139</v>
      </c>
      <c r="M339" s="64" t="s">
        <v>5862</v>
      </c>
      <c r="N339" s="65" t="str">
        <f t="shared" si="36"/>
        <v>[Parsons,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href="https://doi.org/10.1093/jmammal/gyx128"&gt;{https://doi.org/10.1093/jmammal/gyx128}]{#parsons_et_al_2017}&lt;br&gt;&lt;br&gt;</v>
      </c>
      <c r="O339" s="64" t="s">
        <v>2591</v>
      </c>
      <c r="P339" s="64" t="s">
        <v>984</v>
      </c>
      <c r="Q339" s="64" t="str">
        <f t="shared" si="32"/>
        <v>{{ rtxt_parsons_et_al_2017 }}</v>
      </c>
      <c r="R339" s="64" t="str">
        <f t="shared" si="33"/>
        <v>{{ rbib_parsons_et_al_2017 }}</v>
      </c>
      <c r="S339" s="63" t="str">
        <f t="shared" si="37"/>
        <v>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target="_blank"&gt;https://doi.org/10.1093/jmammal/gyx128&lt;/a&gt;&lt;span style="color:white"&gt;[.]{#parsons_et_al_2017}&lt;/span&gt;&lt;br&gt;&lt;br&gt;</v>
      </c>
      <c r="T339" s="64" t="str">
        <f t="shared" si="35"/>
        <v xml:space="preserve">    rtxt_parsons_et_al_2017: "&lt;a href=\"/08_references.html#parsons_et_al_2017\" target=\"_blank\"&gt;Parsons et al., 2017&lt;/a&gt;"</v>
      </c>
      <c r="U339" s="64" t="str">
        <f t="shared" si="34"/>
        <v xml:space="preserve">    rbib_parsons_et_al_2017: "Parsons, A. W., Forrester, T., McShea, W. J., Baker-Whatton, M. C., Millspaugh, J. J., &amp; Kays, R. (2017). Do occupancy or detection rates from camera traps reflect deer density? *Journal of Mammalogy, 98*(6), 1547-1557. &lt;https://doi.org/10.1093/jmammal/gyx128&gt;"</v>
      </c>
      <c r="V339" s="64"/>
    </row>
    <row r="340" spans="1:22" ht="15.75">
      <c r="A340" s="64"/>
      <c r="B340" s="77" t="b">
        <v>0</v>
      </c>
      <c r="C340" s="77" t="b">
        <v>0</v>
      </c>
      <c r="D340" s="77" t="b">
        <v>1</v>
      </c>
      <c r="E340" s="64" t="s">
        <v>1904</v>
      </c>
      <c r="F340" s="64" t="s">
        <v>2590</v>
      </c>
      <c r="G340" s="64" t="s">
        <v>2589</v>
      </c>
      <c r="H340" s="64" t="s">
        <v>2589</v>
      </c>
      <c r="I340" s="64" t="b">
        <v>1</v>
      </c>
      <c r="J340" s="66" t="s">
        <v>2588</v>
      </c>
      <c r="K340" s="66" t="s">
        <v>3960</v>
      </c>
      <c r="L340" s="64" t="s">
        <v>4140</v>
      </c>
      <c r="M340" s="64" t="s">
        <v>5907</v>
      </c>
      <c r="N340" s="65" t="str">
        <f t="shared" si="36"/>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href="https://doi.org/10.1111/brv.12334"&gt;{https://doi.org/10.1111/brv.12334}]{#parsons_et_al_2018}&lt;br&gt;&lt;br&gt;</v>
      </c>
      <c r="O340" s="64" t="s">
        <v>2587</v>
      </c>
      <c r="P340" s="64" t="s">
        <v>984</v>
      </c>
      <c r="Q340" s="64" t="str">
        <f t="shared" si="32"/>
        <v>{{ rtxt_parsons_et_al_2018 }}</v>
      </c>
      <c r="R340" s="64" t="str">
        <f t="shared" si="33"/>
        <v>{{ rbib_parsons_et_al_2018 }}</v>
      </c>
      <c r="S340" s="63" t="str">
        <f t="shared" si="37"/>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target="_blank"&gt;https://doi.org/10.1111/brv.12334&lt;/a&gt;&lt;span style="color:white"&gt;[.]{#parsons_et_al_2018}&lt;/span&gt;&lt;br&gt;&lt;br&gt;</v>
      </c>
      <c r="T340" s="64" t="str">
        <f t="shared" si="35"/>
        <v xml:space="preserve">    rtxt_parsons_et_al_2018: "&lt;a href=\"/08_references.html#parsons_et_al_2018\" target=\"_blank\"&gt;Parsons et al., 2018&lt;/a&gt;"</v>
      </c>
      <c r="U340" s="64" t="str">
        <f t="shared" si="34"/>
        <v xml:space="preserve">    rbib_parsons_et_al_2018: "Parsons,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v>
      </c>
      <c r="V340" s="64"/>
    </row>
    <row r="341" spans="1:22" ht="15.75">
      <c r="A341" s="64"/>
      <c r="B341" s="77"/>
      <c r="C341" s="77"/>
      <c r="D341" s="77"/>
      <c r="E341" s="64" t="s">
        <v>2138</v>
      </c>
      <c r="F341" s="64" t="s">
        <v>2586</v>
      </c>
      <c r="G341" s="64" t="s">
        <v>2585</v>
      </c>
      <c r="H341" s="64" t="s">
        <v>2585</v>
      </c>
      <c r="I341" s="64" t="b">
        <v>1</v>
      </c>
      <c r="J341" s="66" t="s">
        <v>2584</v>
      </c>
      <c r="K341" s="66" t="s">
        <v>3960</v>
      </c>
      <c r="L341" s="64" t="s">
        <v>4141</v>
      </c>
      <c r="M341" s="64" t="s">
        <v>5898</v>
      </c>
      <c r="N341" s="65" t="str">
        <f t="shared" si="36"/>
        <v>[Pascal,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href="https://doi.org/10.1111/2041-210X.13501."&gt;{https://doi.org/10.1111/2041-210X.13501.}]{#pascal_et_al_2020}&lt;br&gt;&lt;br&gt;</v>
      </c>
      <c r="O341" s="64" t="s">
        <v>2582</v>
      </c>
      <c r="P341" s="64" t="s">
        <v>2583</v>
      </c>
      <c r="Q341" s="64" t="str">
        <f t="shared" si="32"/>
        <v>{{ rtxt_pascal_et_al_2020 }}</v>
      </c>
      <c r="R341" s="64" t="str">
        <f t="shared" si="33"/>
        <v>{{ rbib_pascal_et_al_2020 }}</v>
      </c>
      <c r="S341" s="63" t="str">
        <f t="shared" si="37"/>
        <v>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target="_blank"&gt;https://doi.org/10.1111/2041-210X.13501.&lt;/a&gt;&lt;span style="color:white"&gt;[.]{#pascal_et_al_2020}&lt;/span&gt;&lt;br&gt;&lt;br&gt;</v>
      </c>
      <c r="T341" s="64" t="str">
        <f t="shared" si="35"/>
        <v xml:space="preserve">    rtxt_pascal_et_al_2020: "&lt;a href=\"/08_references.html#pascal_et_al_2020\" target=\"_blank\"&gt;Pascal et al., 2020&lt;/a&gt;"</v>
      </c>
      <c r="U341" s="64" t="str">
        <f t="shared" si="34"/>
        <v xml:space="preserve">    rbib_pascal_et_al_2020: "Pascal, L., Memarzadeh, M., Boettiger, C., Lloyd, H., &amp; Chadès, I. (2020). A Shiny R app to solve the problem of when to stop managing or surveying species under imperfect detection. Methods in *Ecology and Evolution, 11*(12), 1707-1715. &lt;https://doi.org/10.1111/2041-210X.13501&gt;."</v>
      </c>
      <c r="V341" s="64"/>
    </row>
    <row r="342" spans="1:22" ht="15.75">
      <c r="A342" s="64"/>
      <c r="B342" s="77"/>
      <c r="C342" s="77"/>
      <c r="D342" s="77"/>
      <c r="E342" s="64" t="s">
        <v>1950</v>
      </c>
      <c r="F342" s="64" t="s">
        <v>2581</v>
      </c>
      <c r="G342" s="64" t="s">
        <v>2580</v>
      </c>
      <c r="H342" s="64" t="s">
        <v>2580</v>
      </c>
      <c r="I342" s="64" t="b">
        <v>1</v>
      </c>
      <c r="J342" s="66" t="s">
        <v>2579</v>
      </c>
      <c r="K342" s="66" t="s">
        <v>3960</v>
      </c>
      <c r="L342" s="64" t="s">
        <v>4142</v>
      </c>
      <c r="M342" s="64" t="s">
        <v>6055</v>
      </c>
      <c r="N342" s="65" t="str">
        <f t="shared" si="36"/>
        <v>[Paterson, J. (2024). &lt;i&gt;Implicit dynamics occupancy models in R.&lt;/i&gt; &lt;a target="_blank" href="https://jamesepaterson.github.io/jamespatersonblog/2024-06-02_implicitdynamicsoccupancy.html"&gt;{https://jamesepaterson.github.io/jamespatersonblog/2024-06-02_implicitdynamicsoccupancy.html}]{#paterson_2024}&lt;br&gt;&lt;br&gt;</v>
      </c>
      <c r="O342" s="64" t="s">
        <v>2578</v>
      </c>
      <c r="P342" s="64" t="s">
        <v>984</v>
      </c>
      <c r="Q342" s="64" t="str">
        <f t="shared" si="32"/>
        <v>{{ rtxt_paterson_2024 }}</v>
      </c>
      <c r="R342" s="64" t="str">
        <f t="shared" si="33"/>
        <v>{{ rbib_paterson_2024 }}</v>
      </c>
      <c r="S342" s="63" t="str">
        <f t="shared" si="37"/>
        <v>Paterson, J. (2024). &lt;i&gt;Implicit dynamics occupancy models in R.&lt;/i&gt; &lt;a href="https://jamesepaterson.github.io/jamespatersonblog/2024-06-02_implicitdynamicsoccupancy.html" target="_blank"&gt;https://jamesepaterson.github.io/jamespatersonblog/2024-06-02_implicitdynamicsoccupancy.html&lt;/a&gt;&lt;span style="color:white"&gt;[.]{#paterson_2024}&lt;/span&gt;&lt;br&gt;&lt;br&gt;</v>
      </c>
      <c r="T342" s="64" t="str">
        <f t="shared" si="35"/>
        <v xml:space="preserve">    rtxt_paterson_2024: "&lt;a href=\"/08_references.html#paterson_2024\" target=\"_blank\"&gt;Paterson, 2024&lt;/a&gt;"</v>
      </c>
      <c r="U342" s="64" t="str">
        <f t="shared" si="34"/>
        <v xml:space="preserve">    rbib_paterson_2024: "Paterson, J. (2024). *Implicit dynamics occupancy models in R.* &lt;https://jamesepaterson.github.io/jamespatersonblog/2024-06-02_implicitdynamicsoccupancy.html&gt;"</v>
      </c>
      <c r="V342" s="64"/>
    </row>
    <row r="343" spans="1:22" ht="15.75">
      <c r="A343" s="64"/>
      <c r="B343" s="77" t="b">
        <v>1</v>
      </c>
      <c r="C343" s="77" t="b">
        <v>0</v>
      </c>
      <c r="D343" s="77" t="b">
        <v>0</v>
      </c>
      <c r="E343" s="64" t="s">
        <v>1904</v>
      </c>
      <c r="F343" s="64" t="s">
        <v>2577</v>
      </c>
      <c r="G343" s="64" t="s">
        <v>2576</v>
      </c>
      <c r="H343" s="64" t="s">
        <v>2575</v>
      </c>
      <c r="I343" s="64" t="b">
        <v>1</v>
      </c>
      <c r="J343" s="66" t="s">
        <v>2574</v>
      </c>
      <c r="K343" s="66" t="s">
        <v>3960</v>
      </c>
      <c r="L343" s="64" t="s">
        <v>4143</v>
      </c>
      <c r="M343" s="64" t="s">
        <v>5970</v>
      </c>
      <c r="N343" s="65" t="str">
        <f t="shared" si="36"/>
        <v>[Pease, B. S., Nielsen, C. K., &amp; Holzmueller, E. J. (2016). Single-Camera Trap Survey Designs Miss Detections: Impacts on Estimates of Occupancy and Community Metrics. &lt;i&gt;PloS One, 11&lt;/i&gt;(11), e0166689. &lt;a target="_blank" href="https://doi.org/10.1371/journal.pone.0166689"&gt;{https://doi.org/10.1371/journal.pone.0166689}]{#pease_et_al_2016}&lt;br&gt;&lt;br&gt;</v>
      </c>
      <c r="O343" s="64" t="s">
        <v>2573</v>
      </c>
      <c r="P343" s="64" t="s">
        <v>984</v>
      </c>
      <c r="Q343" s="64" t="str">
        <f t="shared" si="32"/>
        <v>{{ rtxt_pease_et_al_2016 }}</v>
      </c>
      <c r="R343" s="64" t="str">
        <f t="shared" si="33"/>
        <v>{{ rbib_pease_et_al_2016 }}</v>
      </c>
      <c r="S343" s="63" t="str">
        <f t="shared" si="37"/>
        <v>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target="_blank"&gt;https://doi.org/10.1371/journal.pone.0166689&lt;/a&gt;&lt;span style="color:white"&gt;[.]{#pease_et_al_2016}&lt;/span&gt;&lt;br&gt;&lt;br&gt;</v>
      </c>
      <c r="T343" s="64" t="str">
        <f t="shared" si="35"/>
        <v xml:space="preserve">    rtxt_pease_et_al_2016: "&lt;a href=\"/08_references.html#pease_et_al_2016\" target=\"_blank\"&gt;Pease et al., 2016&lt;/a&gt;"</v>
      </c>
      <c r="U343" s="64" t="str">
        <f t="shared" si="34"/>
        <v xml:space="preserve">    rbib_pease_et_al_2016: "Pease, B. S., Nielsen, C. K., &amp; Holzmueller, E. J. (2016). Single-Camera Trap Survey Designs Miss Detections: Impacts on Estimates of Occupancy and Community Metrics. *PloS One, 11*(11), e0166689. &lt;https://doi.org/10.1371/journal.pone.0166689&gt;"</v>
      </c>
      <c r="V343" s="64"/>
    </row>
    <row r="344" spans="1:22" ht="15.75">
      <c r="A344" s="64"/>
      <c r="B344" s="77"/>
      <c r="C344" s="77"/>
      <c r="D344" s="77"/>
      <c r="E344" s="64" t="s">
        <v>1904</v>
      </c>
      <c r="F344" s="64" t="s">
        <v>2572</v>
      </c>
      <c r="G344" s="65" t="s">
        <v>2571</v>
      </c>
      <c r="H344" s="64" t="s">
        <v>2570</v>
      </c>
      <c r="I344" s="64" t="b">
        <v>1</v>
      </c>
      <c r="J344" s="66" t="s">
        <v>2569</v>
      </c>
      <c r="K344" s="66" t="s">
        <v>3960</v>
      </c>
      <c r="L344" s="64" t="s">
        <v>4144</v>
      </c>
      <c r="M344" s="64" t="s">
        <v>5733</v>
      </c>
      <c r="N344" s="65" t="str">
        <f t="shared" si="36"/>
        <v>[Pettigrew,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href="https://doi.org/10.1002/ece3.7619"&gt;{https://doi.org/10.1002/ece3.7619}]{#pettigrew_et_al_2021}&lt;br&gt;&lt;br&gt;</v>
      </c>
      <c r="O344" s="64" t="s">
        <v>2568</v>
      </c>
      <c r="P344" s="64" t="s">
        <v>984</v>
      </c>
      <c r="Q344" s="64" t="str">
        <f t="shared" si="32"/>
        <v>{{ rtxt_pettigrew_et_al_2021 }}</v>
      </c>
      <c r="R344" s="64" t="str">
        <f t="shared" si="33"/>
        <v>{{ rbib_pettigrew_et_al_2021 }}</v>
      </c>
      <c r="S344" s="63" t="str">
        <f t="shared" si="37"/>
        <v>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target="_blank"&gt;https://doi.org/10.1002/ece3.7619&lt;/a&gt;&lt;span style="color:white"&gt;[.]{#pettigrew_et_al_2021}&lt;/span&gt;&lt;br&gt;&lt;br&gt;</v>
      </c>
      <c r="T344" s="64" t="str">
        <f t="shared" si="35"/>
        <v xml:space="preserve">    rtxt_pettigrew_et_al_2021: "&lt;a href=\"/08_references.html#pettigrew_et_al_2021\" target=\"_blank\"&gt;Pettigrew et al., 2021&lt;/a&gt;"</v>
      </c>
      <c r="U344" s="64" t="str">
        <f t="shared" si="34"/>
        <v xml:space="preserve">    rbib_pettigrew_et_al_2021: "Pettigrew, P., Sigouin, D., &amp; St‐Laurent, M. (2021). Testing the precision and sensitivity of density estimates obtained with a camera‐trap method revealed limitations and opportunities. *Ecology and Evolution, 11*(12), 7879-7889. &lt;https://doi.org/10.1002/ece3.7619&gt;"</v>
      </c>
      <c r="V344" s="64"/>
    </row>
    <row r="345" spans="1:22" ht="15.75">
      <c r="A345" s="64"/>
      <c r="B345" s="77" t="b">
        <v>0</v>
      </c>
      <c r="C345" s="77" t="b">
        <v>0</v>
      </c>
      <c r="D345" s="77" t="b">
        <v>1</v>
      </c>
      <c r="E345" s="64" t="s">
        <v>1904</v>
      </c>
      <c r="F345" s="64" t="s">
        <v>2567</v>
      </c>
      <c r="G345" s="64" t="s">
        <v>2566</v>
      </c>
      <c r="H345" s="64" t="s">
        <v>2566</v>
      </c>
      <c r="I345" s="64" t="b">
        <v>1</v>
      </c>
      <c r="J345" s="66" t="s">
        <v>2565</v>
      </c>
      <c r="K345" s="66" t="s">
        <v>3960</v>
      </c>
      <c r="L345" s="64" t="s">
        <v>4145</v>
      </c>
      <c r="M345" s="64" t="s">
        <v>5930</v>
      </c>
      <c r="N345" s="65" t="str">
        <f t="shared" si="36"/>
        <v>[Pettorelli,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href="https://doi.org/10.1111/j.1469-1795.2009.00309.x"&gt;{https://doi.org/10.1111/j.1469-1795.2009.00309.x}]{#pettorelli_et_al_2010}&lt;br&gt;&lt;br&gt;</v>
      </c>
      <c r="O345" s="64" t="s">
        <v>2564</v>
      </c>
      <c r="P345" s="64" t="s">
        <v>984</v>
      </c>
      <c r="Q345" s="64" t="str">
        <f t="shared" si="32"/>
        <v>{{ rtxt_pettorelli_et_al_2010 }}</v>
      </c>
      <c r="R345" s="64" t="str">
        <f t="shared" si="33"/>
        <v>{{ rbib_pettorelli_et_al_2010 }}</v>
      </c>
      <c r="S345" s="63" t="str">
        <f t="shared" si="37"/>
        <v>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target="_blank"&gt;https://doi.org/10.1111/j.1469-1795.2009.00309.x&lt;/a&gt;&lt;span style="color:white"&gt;[.]{#pettorelli_et_al_2010}&lt;/span&gt;&lt;br&gt;&lt;br&gt;</v>
      </c>
      <c r="T345" s="64" t="str">
        <f t="shared" si="35"/>
        <v xml:space="preserve">    rtxt_pettorelli_et_al_2010: "&lt;a href=\"/08_references.html#pettorelli_et_al_2010\" target=\"_blank\"&gt;Pettorelli et al., 2010&lt;/a&gt;"</v>
      </c>
      <c r="U345" s="64" t="str">
        <f t="shared" si="34"/>
        <v xml:space="preserve">    rbib_pettorelli_et_al_2010: "Pettorelli, N., Lobora, A. L., Msuha, M. J., Foley, C., &amp; Durant, S. M. (2010). Carnivore biodiversity in Tanzania: Revealing the distribution patterns of secretive mammals using camera traps. *Animal Conservation, 13*(2), 131-139. &lt;https://doi.org/10.1111/j.1469-1795.2009.00309.x&gt;"</v>
      </c>
      <c r="V345" s="64"/>
    </row>
    <row r="346" spans="1:22" ht="15.75">
      <c r="A346" s="64"/>
      <c r="B346" s="77"/>
      <c r="C346" s="77"/>
      <c r="D346" s="77"/>
      <c r="E346" s="64" t="s">
        <v>1904</v>
      </c>
      <c r="F346" s="64" t="s">
        <v>2563</v>
      </c>
      <c r="G346" s="65" t="s">
        <v>2562</v>
      </c>
      <c r="H346" s="65" t="s">
        <v>2562</v>
      </c>
      <c r="I346" s="64" t="b">
        <v>1</v>
      </c>
      <c r="J346" s="66" t="s">
        <v>2561</v>
      </c>
      <c r="K346" s="66" t="s">
        <v>3960</v>
      </c>
      <c r="L346" s="64" t="s">
        <v>4146</v>
      </c>
      <c r="M346" s="64" t="s">
        <v>5767</v>
      </c>
      <c r="N346" s="65" t="str">
        <f t="shared" si="36"/>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href="https://doi.org/10.1002/rse2.67"&gt;{https://doi.org/10.1002/rse2.67}]{#pfeffer_et_al_2018}&lt;br&gt;&lt;br&gt;</v>
      </c>
      <c r="O346" s="64" t="s">
        <v>2560</v>
      </c>
      <c r="P346" s="64" t="s">
        <v>984</v>
      </c>
      <c r="Q346" s="64" t="str">
        <f t="shared" si="32"/>
        <v>{{ rtxt_pfeffer_et_al_2018 }}</v>
      </c>
      <c r="R346" s="64" t="str">
        <f t="shared" si="33"/>
        <v>{{ rbib_pfeffer_et_al_2018 }}</v>
      </c>
      <c r="S346" s="63" t="str">
        <f t="shared" si="37"/>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target="_blank"&gt;https://doi.org/10.1002/rse2.67&lt;/a&gt;&lt;span style="color:white"&gt;[.]{#pfeffer_et_al_2018}&lt;/span&gt;&lt;br&gt;&lt;br&gt;</v>
      </c>
      <c r="T346" s="64" t="str">
        <f t="shared" si="35"/>
        <v xml:space="preserve">    rtxt_pfeffer_et_al_2018: "&lt;a href=\"/08_references.html#pfeffer_et_al_2018\" target=\"_blank\"&gt;Pfeffer et al., 2018&lt;/a&gt;"</v>
      </c>
      <c r="U346" s="64" t="str">
        <f t="shared" si="34"/>
        <v xml:space="preserve">    rbib_pfeffer_et_al_2018: "Pfeffer,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v>
      </c>
      <c r="V346" s="64"/>
    </row>
    <row r="347" spans="1:22" ht="15.75">
      <c r="A347" s="64"/>
      <c r="B347" s="77" t="b">
        <v>1</v>
      </c>
      <c r="C347" s="77" t="b">
        <v>0</v>
      </c>
      <c r="D347" s="77" t="b">
        <v>0</v>
      </c>
      <c r="E347" s="64" t="s">
        <v>1904</v>
      </c>
      <c r="F347" s="64" t="s">
        <v>2559</v>
      </c>
      <c r="G347" s="64" t="s">
        <v>2558</v>
      </c>
      <c r="H347" s="64" t="s">
        <v>2558</v>
      </c>
      <c r="I347" s="64" t="b">
        <v>1</v>
      </c>
      <c r="J347" s="66" t="s">
        <v>2557</v>
      </c>
      <c r="K347" s="66" t="s">
        <v>3960</v>
      </c>
      <c r="L347" s="64" t="s">
        <v>4147</v>
      </c>
      <c r="M347" s="64" t="s">
        <v>5981</v>
      </c>
      <c r="N347" s="65" t="str">
        <f t="shared" si="36"/>
        <v>[Powell, R. A., &amp; Mitchell, M. S. (2012). What is a home range? &lt;i&gt;Journal of Mammalogy, 93&lt;/i&gt;(4), 948-958. &lt;a target="_blank" href="https://doi.org/10.1644/11-mamm-s-177.1"&gt;{https://doi.org/10.1644/11-mamm-s-177.1}]{#powell_mitchell_2012}&lt;br&gt;&lt;br&gt;</v>
      </c>
      <c r="O347" s="64" t="s">
        <v>2556</v>
      </c>
      <c r="P347" s="64" t="s">
        <v>984</v>
      </c>
      <c r="Q347" s="64" t="str">
        <f t="shared" si="32"/>
        <v>{{ rtxt_powell_mitchell_2012 }}</v>
      </c>
      <c r="R347" s="64" t="str">
        <f t="shared" si="33"/>
        <v>{{ rbib_powell_mitchell_2012 }}</v>
      </c>
      <c r="S347" s="63" t="str">
        <f t="shared" si="37"/>
        <v>Powell, R. A., &amp; Mitchell, M. S. (2012). What is a home range? &lt;i&gt;Journal of Mammalogy, 93&lt;/i&gt;(4), 948-958. &lt;a href="https://doi.org/10.1644/11-mamm-s-177.1" target="_blank"&gt;https://doi.org/10.1644/11-mamm-s-177.1&lt;/a&gt;&lt;span style="color:white"&gt;[.]{#powell_mitchell_2012}&lt;/span&gt;&lt;br&gt;&lt;br&gt;</v>
      </c>
      <c r="T347" s="64" t="str">
        <f t="shared" si="35"/>
        <v xml:space="preserve">    rtxt_powell_mitchell_2012: "&lt;a href=\"/08_references.html#powell_mitchell_2012\" target=\"_blank\"&gt;Powell &amp; Mitchell, 2012&lt;/a&gt;"</v>
      </c>
      <c r="U347" s="64" t="str">
        <f t="shared" si="34"/>
        <v xml:space="preserve">    rbib_powell_mitchell_2012: "Powell, R. A., &amp; Mitchell, M. S. (2012). What is a home range? *Journal of Mammalogy, 93*(4), 948-958. &lt;https://doi.org/10.1644/11-mamm-s-177.1&gt;"</v>
      </c>
      <c r="V347" s="64"/>
    </row>
    <row r="348" spans="1:22" ht="15.75">
      <c r="A348" s="64"/>
      <c r="B348" s="77"/>
      <c r="C348" s="77"/>
      <c r="D348" s="77"/>
      <c r="E348" s="64" t="s">
        <v>1904</v>
      </c>
      <c r="F348" s="64" t="s">
        <v>2555</v>
      </c>
      <c r="G348" s="64" t="s">
        <v>2554</v>
      </c>
      <c r="H348" s="64" t="s">
        <v>2554</v>
      </c>
      <c r="I348" s="64" t="b">
        <v>1</v>
      </c>
      <c r="J348" s="66" t="s">
        <v>2553</v>
      </c>
      <c r="K348" s="66" t="s">
        <v>3960</v>
      </c>
      <c r="L348" s="64" t="s">
        <v>4148</v>
      </c>
      <c r="M348" s="64" t="s">
        <v>5832</v>
      </c>
      <c r="N348" s="65" t="str">
        <f t="shared" si="36"/>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href="https://doi.org/10.1016/j.gecco.2022.e02080"&gt;{https://doi.org/10.1016/j.gecco.2022.e02080}]{#proctor_et_al_2022}&lt;br&gt;&lt;br&gt;</v>
      </c>
      <c r="O348" s="64" t="s">
        <v>2552</v>
      </c>
      <c r="P348" s="64" t="s">
        <v>984</v>
      </c>
      <c r="Q348" s="64" t="str">
        <f t="shared" si="32"/>
        <v>{{ rtxt_proctor_et_al_2022 }}</v>
      </c>
      <c r="R348" s="64" t="str">
        <f t="shared" si="33"/>
        <v>{{ rbib_proctor_et_al_2022 }}</v>
      </c>
      <c r="S348" s="63" t="str">
        <f t="shared" si="37"/>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target="_blank"&gt;https://doi.org/10.1016/j.gecco.2022.e02080&lt;/a&gt;&lt;span style="color:white"&gt;[.]{#proctor_et_al_2022}&lt;/span&gt;&lt;br&gt;&lt;br&gt;</v>
      </c>
      <c r="T348" s="64" t="str">
        <f t="shared" si="35"/>
        <v xml:space="preserve">    rtxt_proctor_et_al_2022: "&lt;a href=\"/08_references.html#proctor_et_al_2022\" target=\"_blank\"&gt;Proctor et al., 2022&lt;/a&gt;"</v>
      </c>
      <c r="U348" s="64" t="str">
        <f t="shared" si="34"/>
        <v xml:space="preserve">    rbib_proctor_et_al_2022: "Proctor,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v>
      </c>
      <c r="V348" s="64"/>
    </row>
    <row r="349" spans="1:22" ht="15.75">
      <c r="A349" s="64"/>
      <c r="B349" s="77" t="b">
        <v>0</v>
      </c>
      <c r="C349" s="77" t="b">
        <v>0</v>
      </c>
      <c r="D349" s="77"/>
      <c r="E349" s="64" t="s">
        <v>1945</v>
      </c>
      <c r="F349" s="64" t="s">
        <v>2551</v>
      </c>
      <c r="G349" s="64" t="s">
        <v>2550</v>
      </c>
      <c r="H349" s="64" t="s">
        <v>2550</v>
      </c>
      <c r="I349" s="64" t="b">
        <v>1</v>
      </c>
      <c r="J349" s="66" t="s">
        <v>2549</v>
      </c>
      <c r="K349" s="66" t="s">
        <v>3960</v>
      </c>
      <c r="L349" s="64" t="s">
        <v>4149</v>
      </c>
      <c r="M349" s="64" t="s">
        <v>6148</v>
      </c>
      <c r="N349" s="65" t="str">
        <f t="shared" si="36"/>
        <v>[Project Dragonfly. (2019, Jan 24). &lt;i&gt;Abundance, species richness, and diversity&lt;/i&gt; [Video]. YouTube. &lt;a target="_blank" href="https://www.youtube.com/watch?v=ghhZClDRK_g&amp;source_ve_path=OTY3MTQbqI"&gt;{https://www.youtube.com/watch?v=ghhZClDRK_g&amp;source_ve_path=OTY3MTQbqI}]{#project_dragonfly_2019}&lt;br&gt;&lt;br&gt;</v>
      </c>
      <c r="O349" s="64" t="s">
        <v>2548</v>
      </c>
      <c r="P349" s="64" t="s">
        <v>984</v>
      </c>
      <c r="Q349" s="64" t="str">
        <f t="shared" si="32"/>
        <v>{{ rtxt_project_dragonfly_2019 }}</v>
      </c>
      <c r="R349" s="64" t="str">
        <f t="shared" si="33"/>
        <v>{{ rbib_project_dragonfly_2019 }}</v>
      </c>
      <c r="S349" s="63" t="str">
        <f t="shared" si="37"/>
        <v>Project Dragonfly. (2019, Jan 24). &lt;i&gt;Abundance, species richness, and diversity&lt;/i&gt; [Video]. YouTube. &lt;a href="https://www.youtube.com/watch?v=ghhZClDRK_g&amp;source_ve_path=OTY3MTQbqI" target="_blank"&gt;https://www.youtube.com/watch?v=ghhZClDRK_g&amp;source_ve_path=OTY3MTQbqI&lt;/a&gt;&lt;span style="color:white"&gt;[.]{#project_dragonfly_2019}&lt;/span&gt;&lt;br&gt;&lt;br&gt;</v>
      </c>
      <c r="T349" s="64" t="str">
        <f t="shared" si="35"/>
        <v xml:space="preserve">    rtxt_project_dragonfly_2019: "&lt;a href=\"/08_references.html#project_dragonfly_2019\" target=\"_blank\"&gt;Project Dragonfly, 2019&lt;/a&gt;"</v>
      </c>
      <c r="U349" s="64" t="str">
        <f t="shared" si="34"/>
        <v xml:space="preserve">    rbib_project_dragonfly_2019: "Project Dragonfly. (2019, Jan 24). *Abundance, species richness, and diversity* [Video]. YouTube. &lt;https://www.youtube.com/watch?v=ghhZClDRK_g&amp;source_ve_path=OTY3MTQbqI&gt;"</v>
      </c>
      <c r="V349" s="64"/>
    </row>
    <row r="350" spans="1:22" ht="15.75">
      <c r="A350" s="64"/>
      <c r="B350" s="77"/>
      <c r="C350" s="77"/>
      <c r="D350" s="77"/>
      <c r="E350" s="64" t="s">
        <v>1945</v>
      </c>
      <c r="F350" s="64" t="s">
        <v>2547</v>
      </c>
      <c r="G350" s="64" t="s">
        <v>2546</v>
      </c>
      <c r="H350" s="64" t="s">
        <v>2546</v>
      </c>
      <c r="I350" s="64" t="b">
        <v>1</v>
      </c>
      <c r="J350" s="66" t="s">
        <v>2545</v>
      </c>
      <c r="K350" s="66" t="s">
        <v>3960</v>
      </c>
      <c r="L350" s="64" t="s">
        <v>4150</v>
      </c>
      <c r="M350" s="64" t="s">
        <v>6158</v>
      </c>
      <c r="N350" s="65" t="str">
        <f t="shared" si="36"/>
        <v>[Proteus (2018, Mar 19). &lt;i&gt;Occupancy modelling - more than species presence/absence!&lt;/i&gt; [Video]. YouTube. &lt;a target="_blank" href="https://www.youtube.com/watch?v=Sp4kb4_TiBA&amp;t=2s"&gt;{https://www.youtube.com/watch?v=Sp4kb4_TiBA&amp;t=2s}]{#proteus_2018}&lt;br&gt;&lt;br&gt;</v>
      </c>
      <c r="O350" s="64" t="s">
        <v>2543</v>
      </c>
      <c r="P350" s="64" t="s">
        <v>2544</v>
      </c>
      <c r="Q350" s="64" t="str">
        <f t="shared" si="32"/>
        <v>{{ rtxt_proteus_2018 }}</v>
      </c>
      <c r="R350" s="64" t="str">
        <f t="shared" si="33"/>
        <v>{{ rbib_proteus_2018 }}</v>
      </c>
      <c r="S350" s="63" t="str">
        <f t="shared" si="37"/>
        <v>Proteus (2018, Mar 19). &lt;i&gt;Occupancy modelling - more than species presence/absence!&lt;/i&gt; [Video]. YouTube. &lt;a href="https://www.youtube.com/watch?v=Sp4kb4_TiBA&amp;t=2s" target="_blank"&gt;https://www.youtube.com/watch?v=Sp4kb4_TiBA&amp;t=2s&lt;/a&gt;&lt;span style="color:white"&gt;[.]{#proteus_2018}&lt;/span&gt;&lt;br&gt;&lt;br&gt;</v>
      </c>
      <c r="T350" s="64" t="str">
        <f t="shared" si="35"/>
        <v xml:space="preserve">    rtxt_proteus_2018: "&lt;a href=\"/08_references.html#proteus_2018\" target=\"_blank\"&gt;Proteus, 2018&lt;/a&gt;"</v>
      </c>
      <c r="U350" s="64" t="str">
        <f t="shared" si="34"/>
        <v xml:space="preserve">    rbib_proteus_2018: "Proteus (2018, Mar 19). *Occupancy modelling - more than species presence/absence!* [Video]. YouTube. &lt;https://www.youtube.com/watch?v=Sp4kb4_TiBA&amp;t=2s&gt;"</v>
      </c>
      <c r="V350" s="64"/>
    </row>
    <row r="351" spans="1:22" ht="15.75">
      <c r="E351" s="64" t="s">
        <v>1945</v>
      </c>
      <c r="F351" s="64" t="s">
        <v>5300</v>
      </c>
      <c r="G351" s="63" t="s">
        <v>5302</v>
      </c>
      <c r="I351" s="64" t="b">
        <v>1</v>
      </c>
      <c r="J351" s="109" t="s">
        <v>5301</v>
      </c>
      <c r="K351" s="66" t="s">
        <v>3960</v>
      </c>
      <c r="L351" s="110" t="s">
        <v>5678</v>
      </c>
      <c r="M351" s="110" t="s">
        <v>6139</v>
      </c>
      <c r="N351" s="65" t="str">
        <f t="shared" si="36"/>
        <v>[Proteus (2018b, Sep 21).  &lt;i&gt;Occupancy modelling - home range vs grid cell size.&lt;/i&gt; &lt;a target="_blank" href="https://www.youtube.com/watch?v=6TtVXy91AY4"&gt;{https://www.youtube.com/watch?v=6TtVXy91AY4}]{#proteus_2018b}&lt;br&gt;&lt;br&gt;</v>
      </c>
      <c r="O351" s="102" t="s">
        <v>5674</v>
      </c>
      <c r="P351" s="109" t="s">
        <v>5306</v>
      </c>
      <c r="Q351" s="64" t="str">
        <f t="shared" si="32"/>
        <v>{{ rtxt_proteus_2018b }}</v>
      </c>
      <c r="R351" s="64" t="str">
        <f t="shared" si="33"/>
        <v>{{ rbib_proteus_2018b }}</v>
      </c>
      <c r="S351" s="63" t="str">
        <f t="shared" si="37"/>
        <v>Proteus (2018b, Sep 21).  &lt;i&gt;Occupancy modelling - home range vs grid cell size.&lt;/i&gt; &lt;a href="https://www.youtube.com/watch?v=6TtVXy91AY4" target="_blank"&gt;https://www.youtube.com/watch?v=6TtVXy91AY4&lt;/a&gt;&lt;span style="color:white"&gt;[.]{#proteus_2018b}&lt;/span&gt;&lt;br&gt;&lt;br&gt;</v>
      </c>
      <c r="T351" s="64" t="str">
        <f t="shared" si="35"/>
        <v xml:space="preserve">    rtxt_proteus_2018b: "&lt;a href=\"/08_references.html#proteus_2018b\" target=\"_blank\"&gt;Proteus, 2018b&lt;/a&gt;"</v>
      </c>
      <c r="U351" s="64" t="str">
        <f t="shared" si="34"/>
        <v xml:space="preserve">    rbib_proteus_2018b: "Proteus (2018b, Sep 21).  *Occupancy modelling - home range vs grid cell size.* &lt;https://www.youtube.com/watch?v=6TtVXy91AY4&gt;"</v>
      </c>
    </row>
    <row r="352" spans="1:22" ht="15.75">
      <c r="A352" s="64"/>
      <c r="B352" s="77"/>
      <c r="C352" s="77"/>
      <c r="D352" s="77"/>
      <c r="E352" s="64" t="s">
        <v>2534</v>
      </c>
      <c r="F352" s="64" t="s">
        <v>2533</v>
      </c>
      <c r="G352" s="64" t="s">
        <v>2532</v>
      </c>
      <c r="H352" s="64" t="s">
        <v>2532</v>
      </c>
      <c r="I352" s="64" t="b">
        <v>1</v>
      </c>
      <c r="J352" s="66" t="s">
        <v>2531</v>
      </c>
      <c r="K352" s="66" t="s">
        <v>3960</v>
      </c>
      <c r="L352" s="64" t="s">
        <v>4151</v>
      </c>
      <c r="M352" s="64" t="s">
        <v>6117</v>
      </c>
      <c r="N352" s="65" t="str">
        <f t="shared" si="36"/>
        <v>[Proteus (N.D.). &lt;i&gt;Occupancy modelling - more than species presence/absence!&lt;/i&gt; [Webpage]. &lt;a target="_blank" href="https://www.proteus.co.nz/news-tips-and-tricks/occupancy-modelling-more-than-species-presenceabsence"&gt;{https://www.proteus.co.nz/news-tips-and-tricks/occupancy-modelling-more-than-species-presenceabsence}]{#proteus_nd}&lt;br&gt;&lt;br&gt;</v>
      </c>
      <c r="O352" s="64" t="s">
        <v>2530</v>
      </c>
      <c r="P352" s="64" t="s">
        <v>984</v>
      </c>
      <c r="Q352" s="64" t="str">
        <f t="shared" si="32"/>
        <v>{{ rtxt_proteus_nd }}</v>
      </c>
      <c r="R352" s="64" t="str">
        <f t="shared" si="33"/>
        <v>{{ rbib_proteus_nd }}</v>
      </c>
      <c r="S352" s="63" t="str">
        <f t="shared" si="37"/>
        <v>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target="_blank"&gt;https://www.proteus.co.nz/news-tips-and-tricks/occupancy-modelling-more-than-species-presenceabsence&lt;/a&gt;&lt;span style="color:white"&gt;[.]{#proteus_nd}&lt;/span&gt;&lt;br&gt;&lt;br&gt;</v>
      </c>
      <c r="T352" s="64" t="str">
        <f t="shared" si="35"/>
        <v xml:space="preserve">    rtxt_proteus_nd: "&lt;a href=\"/08_references.html#proteus_nd\" target=\"_blank\"&gt;Proteus, N.D.&lt;/a&gt;"</v>
      </c>
      <c r="U352" s="64" t="str">
        <f t="shared" si="34"/>
        <v xml:space="preserve">    rbib_proteus_nd: "Proteus (N.D.). *Occupancy modelling - more than species presence/absence!* [Webpage]. &lt;https://www.proteus.co.nz/news-tips-and-tricks/occupancy-modelling-more-than-species-presenceabsence&gt;"</v>
      </c>
      <c r="V352" s="64"/>
    </row>
    <row r="353" spans="1:22" ht="15.75">
      <c r="A353" s="64"/>
      <c r="B353" s="77" t="b">
        <v>0</v>
      </c>
      <c r="C353" s="77" t="b">
        <v>0</v>
      </c>
      <c r="D353" s="77"/>
      <c r="E353" s="64" t="s">
        <v>1945</v>
      </c>
      <c r="F353" s="64" t="s">
        <v>2542</v>
      </c>
      <c r="G353" s="64" t="s">
        <v>2541</v>
      </c>
      <c r="H353" s="64" t="s">
        <v>2541</v>
      </c>
      <c r="I353" s="64" t="b">
        <v>1</v>
      </c>
      <c r="J353" s="66" t="s">
        <v>2540</v>
      </c>
      <c r="K353" s="66" t="s">
        <v>3960</v>
      </c>
      <c r="L353" s="64" t="s">
        <v>4152</v>
      </c>
      <c r="M353" s="64" t="s">
        <v>6170</v>
      </c>
      <c r="N353" s="65" t="str">
        <f t="shared" si="36"/>
        <v>[Proteus. (2019a, May 30). &lt;i&gt;Occupancy modelling - the difference between probability and proportion of units occupied&lt;/i&gt; [Video]. YouTube. &lt;a target="_blank" href="https://www.youtube.com/watch?v=zKQFY8W4ceU"&gt;{https://www.youtube.com/watch?v=zKQFY8W4ceU}]{#proteus_2019a}&lt;br&gt;&lt;br&gt;</v>
      </c>
      <c r="O353" s="64" t="s">
        <v>2539</v>
      </c>
      <c r="P353" s="64" t="s">
        <v>984</v>
      </c>
      <c r="Q353" s="64" t="str">
        <f t="shared" si="32"/>
        <v>{{ rtxt_proteus_2019a }}</v>
      </c>
      <c r="R353" s="64" t="str">
        <f t="shared" si="33"/>
        <v>{{ rbib_proteus_2019a }}</v>
      </c>
      <c r="S353" s="63" t="str">
        <f t="shared" si="37"/>
        <v>Proteus. (2019a, May 30). &lt;i&gt;Occupancy modelling - the difference between probability and proportion of units occupied&lt;/i&gt; [Video]. YouTube. &lt;a href="https://www.youtube.com/watch?v=zKQFY8W4ceU" target="_blank"&gt;https://www.youtube.com/watch?v=zKQFY8W4ceU&lt;/a&gt;&lt;span style="color:white"&gt;[.]{#proteus_2019a}&lt;/span&gt;&lt;br&gt;&lt;br&gt;</v>
      </c>
      <c r="T353" s="64" t="str">
        <f t="shared" si="35"/>
        <v xml:space="preserve">    rtxt_proteus_2019a: "&lt;a href=\"/08_references.html#proteus_2019a\" target=\"_blank\"&gt;Proteus, 2019a&lt;/a&gt;"</v>
      </c>
      <c r="U353" s="64" t="str">
        <f t="shared" si="34"/>
        <v xml:space="preserve">    rbib_proteus_2019a: "Proteus. (2019a, May 30). *Occupancy modelling - the difference between probability and proportion of units occupied* [Video]. YouTube. &lt;https://www.youtube.com/watch?v=zKQFY8W4ceU&gt;"</v>
      </c>
      <c r="V353" s="64"/>
    </row>
    <row r="354" spans="1:22" ht="15.75">
      <c r="A354" s="64"/>
      <c r="B354" s="77" t="b">
        <v>0</v>
      </c>
      <c r="C354" s="77" t="b">
        <v>0</v>
      </c>
      <c r="D354" s="77"/>
      <c r="E354" s="64" t="s">
        <v>1945</v>
      </c>
      <c r="F354" s="64" t="s">
        <v>2538</v>
      </c>
      <c r="G354" s="64" t="s">
        <v>2537</v>
      </c>
      <c r="H354" s="64" t="s">
        <v>2537</v>
      </c>
      <c r="I354" s="64" t="b">
        <v>1</v>
      </c>
      <c r="J354" s="66" t="s">
        <v>2536</v>
      </c>
      <c r="K354" s="66" t="s">
        <v>3960</v>
      </c>
      <c r="L354" s="64" t="s">
        <v>4153</v>
      </c>
      <c r="M354" s="64" t="s">
        <v>6159</v>
      </c>
      <c r="N354" s="65" t="str">
        <f t="shared" si="36"/>
        <v>[Proteus. (2019b, Aug 22). &lt;i&gt;Occupancy models - how many covariates can I include?&lt;/i&gt; [Video]. YouTube. &lt;a target="_blank" href="https://www.youtube.com/watch?v=tCh7rTu6fvQ"&gt;{https://www.youtube.com/watch?v=tCh7rTu6fvQ}]{#proteus_2019b}&lt;br&gt;&lt;br&gt;</v>
      </c>
      <c r="O354" s="64" t="s">
        <v>2535</v>
      </c>
      <c r="P354" s="64" t="s">
        <v>984</v>
      </c>
      <c r="Q354" s="64" t="str">
        <f t="shared" si="32"/>
        <v>{{ rtxt_proteus_2019b }}</v>
      </c>
      <c r="R354" s="64" t="str">
        <f t="shared" si="33"/>
        <v>{{ rbib_proteus_2019b }}</v>
      </c>
      <c r="S354" s="63" t="str">
        <f t="shared" si="37"/>
        <v>Proteus. (2019b, Aug 22). &lt;i&gt;Occupancy models - how many covariates can I include?&lt;/i&gt; [Video]. YouTube. &lt;a href="https://www.youtube.com/watch?v=tCh7rTu6fvQ" target="_blank"&gt;https://www.youtube.com/watch?v=tCh7rTu6fvQ&lt;/a&gt;&lt;span style="color:white"&gt;[.]{#proteus_2019b}&lt;/span&gt;&lt;br&gt;&lt;br&gt;</v>
      </c>
      <c r="T354" s="64" t="str">
        <f t="shared" si="35"/>
        <v xml:space="preserve">    rtxt_proteus_2019b: "&lt;a href=\"/08_references.html#proteus_2019b\" target=\"_blank\"&gt;Proteus, 2019b&lt;/a&gt;"</v>
      </c>
      <c r="U354" s="64" t="str">
        <f t="shared" si="34"/>
        <v xml:space="preserve">    rbib_proteus_2019b: "Proteus. (2019b, Aug 22). *Occupancy models - how many covariates can I include?* [Video]. YouTube. &lt;https://www.youtube.com/watch?v=tCh7rTu6fvQ&gt;"</v>
      </c>
      <c r="V354" s="64"/>
    </row>
    <row r="355" spans="1:22" ht="15.75">
      <c r="A355" s="64"/>
      <c r="B355" s="77" t="b">
        <v>0</v>
      </c>
      <c r="C355" s="77" t="b">
        <v>0</v>
      </c>
      <c r="D355" s="77" t="b">
        <v>1</v>
      </c>
      <c r="E355" s="64" t="s">
        <v>1904</v>
      </c>
      <c r="F355" s="64" t="s">
        <v>2529</v>
      </c>
      <c r="G355" s="64" t="s">
        <v>2528</v>
      </c>
      <c r="H355" s="64" t="s">
        <v>2528</v>
      </c>
      <c r="I355" s="64" t="b">
        <v>1</v>
      </c>
      <c r="J355" s="66" t="s">
        <v>2527</v>
      </c>
      <c r="K355" s="66" t="s">
        <v>3960</v>
      </c>
      <c r="L355" s="64" t="s">
        <v>4154</v>
      </c>
      <c r="M355" s="64" t="s">
        <v>6112</v>
      </c>
      <c r="N355" s="65" t="str">
        <f t="shared" si="36"/>
        <v>[Pyron, M. (2010) Characterizing Communities. &lt;i&gt;Nature Education Knowledge, 3&lt;/i&gt;(10):39. &lt;a target="_blank" href="https://www.nature.com/scitable/knowledge/library/characterizing-communities-13241173/"&gt;{https://www.nature.com/scitable/knowledge/library/characterizing-communities-13241173/}]{#pyron_2010}&lt;br&gt;&lt;br&gt;</v>
      </c>
      <c r="O355" s="64" t="s">
        <v>2526</v>
      </c>
      <c r="P355" s="64" t="s">
        <v>984</v>
      </c>
      <c r="Q355" s="64" t="str">
        <f t="shared" si="32"/>
        <v>{{ rtxt_pyron_2010 }}</v>
      </c>
      <c r="R355" s="64" t="str">
        <f t="shared" si="33"/>
        <v>{{ rbib_pyron_2010 }}</v>
      </c>
      <c r="S355" s="63" t="str">
        <f t="shared" si="37"/>
        <v>Pyron, M. (2010) Characterizing Communities. &lt;i&gt;Nature Education Knowledge, 3&lt;/i&gt;(10):39. &lt;a href="https://www.nature.com/scitable/knowledge/library/characterizing-communities-13241173/" target="_blank"&gt;https://www.nature.com/scitable/knowledge/library/characterizing-communities-13241173/&lt;/a&gt;&lt;span style="color:white"&gt;[.]{#pyron_2010}&lt;/span&gt;&lt;br&gt;&lt;br&gt;</v>
      </c>
      <c r="T355" s="64" t="str">
        <f t="shared" si="35"/>
        <v xml:space="preserve">    rtxt_pyron_2010: "&lt;a href=\"/08_references.html#pyron_2010\" target=\"_blank\"&gt;Pyron, 2010&lt;/a&gt;"</v>
      </c>
      <c r="U355" s="64" t="str">
        <f t="shared" si="34"/>
        <v xml:space="preserve">    rbib_pyron_2010: "Pyron, M. (2010) Characterizing Communities. *Nature Education Knowledge, 3*(10):39. &lt;https://www.nature.com/scitable/knowledge/library/characterizing-communities-13241173/&gt;"</v>
      </c>
      <c r="V355" s="64"/>
    </row>
    <row r="356" spans="1:22" ht="15.75">
      <c r="A356" s="64"/>
      <c r="B356" s="77" t="b">
        <v>1</v>
      </c>
      <c r="C356" s="77" t="b">
        <v>0</v>
      </c>
      <c r="D356" s="77" t="b">
        <v>1</v>
      </c>
      <c r="E356" s="64" t="s">
        <v>1904</v>
      </c>
      <c r="F356" s="64" t="s">
        <v>2525</v>
      </c>
      <c r="G356" s="64" t="s">
        <v>2524</v>
      </c>
      <c r="H356" s="64" t="s">
        <v>2524</v>
      </c>
      <c r="I356" s="64" t="b">
        <v>1</v>
      </c>
      <c r="J356" s="66" t="s">
        <v>2523</v>
      </c>
      <c r="K356" s="66" t="s">
        <v>3960</v>
      </c>
      <c r="L356" s="64" t="s">
        <v>4155</v>
      </c>
      <c r="M356" s="64" t="s">
        <v>6102</v>
      </c>
      <c r="N356" s="65" t="str">
        <f t="shared" si="36"/>
        <v>[Ramage,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href="https://www.jstor.org/stable/23525262"&gt;{https://www.jstor.org/stable/23525262}]{#ramage_et_al_2013}&lt;br&gt;&lt;br&gt;</v>
      </c>
      <c r="O356" s="64" t="s">
        <v>2522</v>
      </c>
      <c r="P356" s="64" t="s">
        <v>984</v>
      </c>
      <c r="Q356" s="64" t="str">
        <f t="shared" si="32"/>
        <v>{{ rtxt_ramage_et_al_2013 }}</v>
      </c>
      <c r="R356" s="64" t="str">
        <f t="shared" si="33"/>
        <v>{{ rbib_ramage_et_al_2013 }}</v>
      </c>
      <c r="S356" s="63" t="str">
        <f t="shared" si="37"/>
        <v>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target="_blank"&gt;https://www.jstor.org/stable/23525262&lt;/a&gt;&lt;span style="color:white"&gt;[.]{#ramage_et_al_2013}&lt;/span&gt;&lt;br&gt;&lt;br&gt;</v>
      </c>
      <c r="T356" s="64" t="str">
        <f t="shared" si="35"/>
        <v xml:space="preserve">    rtxt_ramage_et_al_2013: "&lt;a href=\"/08_references.html#ramage_et_al_2013\" target=\"_blank\"&gt;Ramage et al., 2013&lt;/a&gt;"</v>
      </c>
      <c r="U356" s="64" t="str">
        <f t="shared" si="34"/>
        <v xml:space="preserve">    rbib_ramage_et_al_2013: "Ramage,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v>
      </c>
      <c r="V356" s="64"/>
    </row>
    <row r="357" spans="1:22" ht="15.75">
      <c r="A357" s="64"/>
      <c r="B357" s="77" t="b">
        <v>1</v>
      </c>
      <c r="C357" s="77" t="b">
        <v>0</v>
      </c>
      <c r="D357" s="77" t="b">
        <v>0</v>
      </c>
      <c r="E357" s="64" t="s">
        <v>1904</v>
      </c>
      <c r="F357" s="64" t="s">
        <v>2521</v>
      </c>
      <c r="G357" s="64" t="s">
        <v>2520</v>
      </c>
      <c r="H357" s="64" t="s">
        <v>2520</v>
      </c>
      <c r="I357" s="64" t="b">
        <v>1</v>
      </c>
      <c r="J357" s="66" t="s">
        <v>2519</v>
      </c>
      <c r="K357" s="66" t="s">
        <v>3960</v>
      </c>
      <c r="L357" s="64" t="s">
        <v>4156</v>
      </c>
      <c r="M357" s="64" t="s">
        <v>6068</v>
      </c>
      <c r="N357" s="65" t="str">
        <f t="shared" si="36"/>
        <v>[Randler,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href="https://onlinelibrary.wiley.com/doi/pdf/10.1002/ece3.4240"&gt;{https://onlinelibrary.wiley.com/doi/pdf/10.1002/ece3.4240}]{#randler_kalb_2018}&lt;br&gt;&lt;br&gt;</v>
      </c>
      <c r="O357" s="64" t="s">
        <v>2518</v>
      </c>
      <c r="P357" s="64" t="s">
        <v>984</v>
      </c>
      <c r="Q357" s="64" t="str">
        <f t="shared" si="32"/>
        <v>{{ rtxt_randler_kalb_2018 }}</v>
      </c>
      <c r="R357" s="64" t="str">
        <f t="shared" si="33"/>
        <v>{{ rbib_randler_kalb_2018 }}</v>
      </c>
      <c r="S357" s="63" t="str">
        <f t="shared" si="37"/>
        <v>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target="_blank"&gt;https://onlinelibrary.wiley.com/doi/pdf/10.1002/ece3.4240&lt;/a&gt;&lt;span style="color:white"&gt;[.]{#randler_kalb_2018}&lt;/span&gt;&lt;br&gt;&lt;br&gt;</v>
      </c>
      <c r="T357" s="64" t="str">
        <f t="shared" si="35"/>
        <v xml:space="preserve">    rtxt_randler_kalb_2018: "&lt;a href=\"/08_references.html#randler_kalb_2018\" target=\"_blank\"&gt;Randler &amp; Kalb, 2018&lt;/a&gt;"</v>
      </c>
      <c r="U357" s="64" t="str">
        <f t="shared" si="34"/>
        <v xml:space="preserve">    rbib_randler_kalb_2018: "Randler, C., &amp; Kalb, N. (2018). Distance and size matters: A comparison of six wildlife camera traps and their usefulness for wild birds. *Ecology and Evolution*, 1-13. &lt;https://onlinelibrary.wiley.com/doi/pdf/10.1002/ece3.4240&gt;"</v>
      </c>
      <c r="V357" s="64"/>
    </row>
    <row r="358" spans="1:22" ht="15.75">
      <c r="A358" s="64"/>
      <c r="B358" s="77" t="b">
        <v>1</v>
      </c>
      <c r="C358" s="77" t="b">
        <v>0</v>
      </c>
      <c r="D358" s="77" t="b">
        <v>0</v>
      </c>
      <c r="E358" s="64" t="s">
        <v>2480</v>
      </c>
      <c r="F358" s="64" t="s">
        <v>2505</v>
      </c>
      <c r="G358" s="64" t="s">
        <v>2504</v>
      </c>
      <c r="H358" s="64" t="s">
        <v>2504</v>
      </c>
      <c r="I358" s="64" t="b">
        <v>1</v>
      </c>
      <c r="J358" s="66" t="s">
        <v>2503</v>
      </c>
      <c r="K358" s="66" t="s">
        <v>3960</v>
      </c>
      <c r="L358" s="64" t="s">
        <v>4157</v>
      </c>
      <c r="M358" s="64" t="s">
        <v>6118</v>
      </c>
      <c r="N358" s="65" t="str">
        <f t="shared" si="36"/>
        <v>[Reconyx Inc. (2018). &lt;i&gt;Hyperfire Professional/Outdoor Instruction Manual&lt;/i&gt;. Holmen, WI, USA. &lt;a target="_blank" href="https://www.reconyx.com/img/file/HyperFire_2_User_Guide_2018_07_05_v5.pdf"&gt;{https://www.reconyx.com/img/file/HyperFire_2_User_Guide_2018_07_05_v5.pdf}]{#reconyx_inc_2018}&lt;br&gt;&lt;br&gt;</v>
      </c>
      <c r="O358" s="64" t="s">
        <v>2502</v>
      </c>
      <c r="P358" s="64" t="s">
        <v>984</v>
      </c>
      <c r="Q358" s="64" t="str">
        <f t="shared" si="32"/>
        <v>{{ rtxt_reconyx_inc_2018 }}</v>
      </c>
      <c r="R358" s="64" t="str">
        <f t="shared" si="33"/>
        <v>{{ rbib_reconyx_inc_2018 }}</v>
      </c>
      <c r="S358" s="63" t="str">
        <f t="shared" si="37"/>
        <v>Reconyx Inc. (2018). &lt;i&gt;Hyperfire Professional/Outdoor Instruction Manual&lt;/i&gt;. Holmen, WI, USA. &lt;a href="https://www.reconyx.com/img/file/HyperFire_2_User_Guide_2018_07_05_v5.pdf" target="_blank"&gt;https://www.reconyx.com/img/file/HyperFire_2_User_Guide_2018_07_05_v5.pdf&lt;/a&gt;&lt;span style="color:white"&gt;[.]{#reconyx_inc_2018}&lt;/span&gt;&lt;br&gt;&lt;br&gt;</v>
      </c>
      <c r="T358" s="64" t="str">
        <f t="shared" si="35"/>
        <v xml:space="preserve">    rtxt_reconyx_inc_2018: "&lt;a href=\"/08_references.html#reconyx_inc_2018\" target=\"_blank\"&gt;Reconyx Inc., 2018&lt;/a&gt;"</v>
      </c>
      <c r="U358" s="64" t="str">
        <f t="shared" si="34"/>
        <v xml:space="preserve">    rbib_reconyx_inc_2018: "Reconyx Inc. (2018). *Hyperfire Professional/Outdoor Instruction Manual*. Holmen, WI, USA. &lt;https://www.reconyx.com/img/file/HyperFire_2_User_Guide_2018_07_05_v5.pdf&gt;"</v>
      </c>
      <c r="V358" s="64"/>
    </row>
    <row r="359" spans="1:22" ht="15.75">
      <c r="A359" s="64"/>
      <c r="B359" s="77" t="b">
        <v>0</v>
      </c>
      <c r="C359" s="77" t="b">
        <v>0</v>
      </c>
      <c r="D359" s="77" t="b">
        <v>1</v>
      </c>
      <c r="E359" s="64" t="s">
        <v>1904</v>
      </c>
      <c r="F359" s="64" t="s">
        <v>2501</v>
      </c>
      <c r="G359" s="64" t="s">
        <v>2500</v>
      </c>
      <c r="H359" s="64" t="s">
        <v>2500</v>
      </c>
      <c r="I359" s="64" t="b">
        <v>1</v>
      </c>
      <c r="J359" s="66" t="s">
        <v>2499</v>
      </c>
      <c r="K359" s="66" t="s">
        <v>3960</v>
      </c>
      <c r="L359" s="64" t="s">
        <v>4158</v>
      </c>
      <c r="M359" s="64" t="s">
        <v>5917</v>
      </c>
      <c r="N359" s="65" t="str">
        <f t="shared" si="36"/>
        <v>[Rendall,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href="https://doi.org/10.1111/emr.12444"&gt;{https://doi.org/10.1111/emr.12444}]{#rendall_et_al_2021}&lt;br&gt;&lt;br&gt;</v>
      </c>
      <c r="O359" s="64" t="s">
        <v>2498</v>
      </c>
      <c r="P359" s="64" t="s">
        <v>984</v>
      </c>
      <c r="Q359" s="64" t="str">
        <f t="shared" si="32"/>
        <v>{{ rtxt_rendall_et_al_2021 }}</v>
      </c>
      <c r="R359" s="64" t="str">
        <f t="shared" si="33"/>
        <v>{{ rbib_rendall_et_al_2021 }}</v>
      </c>
      <c r="S359" s="63" t="str">
        <f t="shared" si="37"/>
        <v>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target="_blank"&gt;https://doi.org/10.1111/emr.12444&lt;/a&gt;&lt;span style="color:white"&gt;[.]{#rendall_et_al_2021}&lt;/span&gt;&lt;br&gt;&lt;br&gt;</v>
      </c>
      <c r="T359" s="64" t="str">
        <f t="shared" si="35"/>
        <v xml:space="preserve">    rtxt_rendall_et_al_2021: "&lt;a href=\"/08_references.html#rendall_et_al_2021\" target=\"_blank\"&gt;Rendall et al., 2021&lt;/a&gt;"</v>
      </c>
      <c r="U359" s="64" t="str">
        <f t="shared" si="34"/>
        <v xml:space="preserve">    rbib_rendall_et_al_2021: "Rendall,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v>
      </c>
      <c r="V359" s="64"/>
    </row>
    <row r="360" spans="1:22" ht="15.75">
      <c r="A360" s="64"/>
      <c r="B360" s="77" t="b">
        <v>1</v>
      </c>
      <c r="C360" s="77" t="b">
        <v>1</v>
      </c>
      <c r="D360" s="77" t="b">
        <v>0</v>
      </c>
      <c r="E360" s="64" t="s">
        <v>2480</v>
      </c>
      <c r="F360" s="64" t="s">
        <v>2479</v>
      </c>
      <c r="G360" s="64" t="s">
        <v>2478</v>
      </c>
      <c r="H360" s="64" t="s">
        <v>2478</v>
      </c>
      <c r="I360" s="64" t="b">
        <v>1</v>
      </c>
      <c r="J360" s="66" t="s">
        <v>2477</v>
      </c>
      <c r="K360" s="66" t="s">
        <v>3960</v>
      </c>
      <c r="L360" s="64" t="s">
        <v>4159</v>
      </c>
      <c r="M360" s="64" t="s">
        <v>6172</v>
      </c>
      <c r="N360" s="65" t="str">
        <f t="shared" si="36"/>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href="https://www2.gov.bc.ca/assets/download/DABCE3A5C7934410A8307285070C24EA"&gt;{https://www2.gov.bc.ca/assets/download/DABCE3A5C7934410A8307285070C24EA}]{#risc_2019}&lt;br&gt;&lt;br&gt;</v>
      </c>
      <c r="O360" s="64" t="s">
        <v>2476</v>
      </c>
      <c r="P360" s="64" t="s">
        <v>984</v>
      </c>
      <c r="Q360" s="64" t="str">
        <f t="shared" si="32"/>
        <v>{{ rtxt_risc_2019 }}</v>
      </c>
      <c r="R360" s="64" t="str">
        <f t="shared" si="33"/>
        <v>{{ rbib_risc_2019 }}</v>
      </c>
      <c r="S360" s="63" t="str">
        <f t="shared" si="37"/>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target="_blank"&gt;https://www2.gov.bc.ca/assets/download/DABCE3A5C7934410A8307285070C24EA&lt;/a&gt;&lt;span style="color:white"&gt;[.]{#risc_2019}&lt;/span&gt;&lt;br&gt;&lt;br&gt;</v>
      </c>
      <c r="T360" s="64" t="str">
        <f t="shared" si="35"/>
        <v xml:space="preserve">    rtxt_risc_2019: "&lt;a href=\"/08_references.html#risc_2019\" target=\"_blank\"&gt;Resources Information Standards Committee [RISC], 2019&lt;/a&gt;"</v>
      </c>
      <c r="U360" s="64" t="str">
        <f t="shared" si="34"/>
        <v xml:space="preserve">    rbib_risc_2019: "Resources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v>
      </c>
      <c r="V360" s="64"/>
    </row>
    <row r="361" spans="1:22" ht="15.75">
      <c r="A361" s="64"/>
      <c r="B361" s="77" t="b">
        <v>1</v>
      </c>
      <c r="C361" s="77" t="b">
        <v>0</v>
      </c>
      <c r="D361" s="77" t="b">
        <v>0</v>
      </c>
      <c r="E361" s="64" t="s">
        <v>1904</v>
      </c>
      <c r="F361" s="64" t="s">
        <v>2497</v>
      </c>
      <c r="G361" s="64" t="s">
        <v>2496</v>
      </c>
      <c r="H361" s="64" t="s">
        <v>2496</v>
      </c>
      <c r="I361" s="64" t="b">
        <v>1</v>
      </c>
      <c r="J361" s="66" t="s">
        <v>2495</v>
      </c>
      <c r="K361" s="66" t="s">
        <v>3960</v>
      </c>
      <c r="L361" s="64" t="s">
        <v>4160</v>
      </c>
      <c r="M361" s="64" t="s">
        <v>5983</v>
      </c>
      <c r="N361" s="65" t="str">
        <f t="shared" si="36"/>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href="https://doi.org/10.1644/13-mamm-a-126"&gt;{https://doi.org/10.1644/13-mamm-a-126}]{#rich_et_al_2014}&lt;br&gt;&lt;br&gt;</v>
      </c>
      <c r="O361" s="64" t="s">
        <v>2494</v>
      </c>
      <c r="P361" s="64" t="s">
        <v>984</v>
      </c>
      <c r="Q361" s="64" t="str">
        <f t="shared" si="32"/>
        <v>{{ rtxt_rich_et_al_2014 }}</v>
      </c>
      <c r="R361" s="64" t="str">
        <f t="shared" si="33"/>
        <v>{{ rbib_rich_et_al_2014 }}</v>
      </c>
      <c r="S361" s="63" t="str">
        <f t="shared" si="37"/>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target="_blank"&gt;https://doi.org/10.1644/13-mamm-a-126&lt;/a&gt;&lt;span style="color:white"&gt;[.]{#rich_et_al_2014}&lt;/span&gt;&lt;br&gt;&lt;br&gt;</v>
      </c>
      <c r="T361" s="64" t="str">
        <f t="shared" si="35"/>
        <v xml:space="preserve">    rtxt_rich_et_al_2014: "&lt;a href=\"/08_references.html#rich_et_al_2014\" target=\"_blank\"&gt;Rich et al., 2014&lt;/a&gt;"</v>
      </c>
      <c r="U361" s="64" t="str">
        <f t="shared" si="34"/>
        <v xml:space="preserve">    rbib_rich_et_al_2014: "Rich,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v>
      </c>
      <c r="V361" s="64"/>
    </row>
    <row r="362" spans="1:22" ht="15.75">
      <c r="A362" s="64"/>
      <c r="B362" s="77" t="b">
        <v>1</v>
      </c>
      <c r="C362" s="77" t="b">
        <v>0</v>
      </c>
      <c r="D362" s="77" t="b">
        <v>0</v>
      </c>
      <c r="E362" s="64" t="s">
        <v>1904</v>
      </c>
      <c r="F362" s="64" t="s">
        <v>2493</v>
      </c>
      <c r="G362" s="64" t="s">
        <v>2492</v>
      </c>
      <c r="H362" s="64" t="s">
        <v>2492</v>
      </c>
      <c r="I362" s="64" t="b">
        <v>1</v>
      </c>
      <c r="J362" s="66" t="s">
        <v>2491</v>
      </c>
      <c r="K362" s="66" t="s">
        <v>3960</v>
      </c>
      <c r="L362" s="64" t="s">
        <v>4161</v>
      </c>
      <c r="M362" s="64" t="s">
        <v>5955</v>
      </c>
      <c r="N362" s="65" t="str">
        <f t="shared" si="36"/>
        <v>[Ridout, M. S., &amp; Linkie, M. (2009). Estimating overlap of daily activity patterns from camera trap data. &lt;i&gt;Journal of Agricultural, Biological, and Environmental Statistics, 14&lt;/i&gt;(3), 322-337. &lt;a target="_blank" href="https://doi.org/10.1198/jabes.2009.08038"&gt;{https://doi.org/10.1198/jabes.2009.08038}]{#ridout_linkie_2009}&lt;br&gt;&lt;br&gt;</v>
      </c>
      <c r="O362" s="64" t="s">
        <v>2490</v>
      </c>
      <c r="P362" s="64" t="s">
        <v>984</v>
      </c>
      <c r="Q362" s="64" t="str">
        <f t="shared" si="32"/>
        <v>{{ rtxt_ridout_linkie_2009 }}</v>
      </c>
      <c r="R362" s="64" t="str">
        <f t="shared" si="33"/>
        <v>{{ rbib_ridout_linkie_2009 }}</v>
      </c>
      <c r="S362" s="63" t="str">
        <f t="shared" si="37"/>
        <v>Ridout, M. S., &amp; Linkie, M. (2009). Estimating overlap of daily activity patterns from camera trap data. &lt;i&gt;Journal of Agricultural, Biological, and Environmental Statistics, 14&lt;/i&gt;(3), 322-337. &lt;a href="https://doi.org/10.1198/jabes.2009.08038" target="_blank"&gt;https://doi.org/10.1198/jabes.2009.08038&lt;/a&gt;&lt;span style="color:white"&gt;[.]{#ridout_linkie_2009}&lt;/span&gt;&lt;br&gt;&lt;br&gt;</v>
      </c>
      <c r="T362" s="64" t="str">
        <f t="shared" si="35"/>
        <v xml:space="preserve">    rtxt_ridout_linkie_2009: "&lt;a href=\"/08_references.html#ridout_linkie_2009\" target=\"_blank\"&gt;Ridout &amp; Linkie, 2009&lt;/a&gt;"</v>
      </c>
      <c r="U362" s="64" t="str">
        <f t="shared" si="34"/>
        <v xml:space="preserve">    rbib_ridout_linkie_2009: "Ridout, M. S., &amp; Linkie, M. (2009). Estimating overlap of daily activity patterns from camera trap data. *Journal of Agricultural, Biological, and Environmental Statistics, 14*(3), 322-337. &lt;https://doi.org/10.1198/jabes.2009.08038&gt;"</v>
      </c>
      <c r="V362" s="64"/>
    </row>
    <row r="363" spans="1:22" ht="15.75">
      <c r="A363" s="64"/>
      <c r="B363" s="77" t="b">
        <v>0</v>
      </c>
      <c r="C363" s="77" t="b">
        <v>0</v>
      </c>
      <c r="D363" s="77"/>
      <c r="E363" s="64" t="s">
        <v>1945</v>
      </c>
      <c r="F363" s="64" t="s">
        <v>2489</v>
      </c>
      <c r="G363" s="64" t="s">
        <v>2488</v>
      </c>
      <c r="H363" s="64" t="s">
        <v>2483</v>
      </c>
      <c r="I363" s="64" t="b">
        <v>1</v>
      </c>
      <c r="J363" s="66" t="s">
        <v>2487</v>
      </c>
      <c r="K363" s="66" t="s">
        <v>3960</v>
      </c>
      <c r="L363" s="64" t="s">
        <v>4162</v>
      </c>
      <c r="M363" s="64" t="s">
        <v>6166</v>
      </c>
      <c r="N363" s="65" t="str">
        <f t="shared" si="36"/>
        <v>[Riffomonas Project (2022a, Mar 17). &lt;i&gt;Using vegan to calculate alpha diversity metrics within the tidyverse in R (CC196)&lt;/i&gt; [Video]. YouTube. &lt;a target="_blank" href="https://www.youtube.com/watch?v=wq1SXGQYgCs"&gt;{https://www.youtube.com/watch?v=wq1SXGQYgCs}]{#riffomonas_project_2022a}&lt;br&gt;&lt;br&gt;</v>
      </c>
      <c r="O363" s="64" t="s">
        <v>2486</v>
      </c>
      <c r="P363" s="64" t="s">
        <v>984</v>
      </c>
      <c r="Q363" s="64" t="str">
        <f t="shared" si="32"/>
        <v>{{ rtxt_riffomonas_project_2022a }}</v>
      </c>
      <c r="R363" s="64" t="str">
        <f t="shared" si="33"/>
        <v>{{ rbib_riffomonas_project_2022a }}</v>
      </c>
      <c r="S363" s="63" t="str">
        <f t="shared" si="37"/>
        <v>Riffomonas Project (2022a, Mar 17). &lt;i&gt;Using vegan to calculate alpha diversity metrics within the tidyverse in R (CC196)&lt;/i&gt; [Video]. YouTube. &lt;a href="https://www.youtube.com/watch?v=wq1SXGQYgCs" target="_blank"&gt;https://www.youtube.com/watch?v=wq1SXGQYgCs&lt;/a&gt;&lt;span style="color:white"&gt;[.]{#riffomonas_project_2022a}&lt;/span&gt;&lt;br&gt;&lt;br&gt;</v>
      </c>
      <c r="T363" s="64" t="str">
        <f t="shared" si="35"/>
        <v xml:space="preserve">    rtxt_riffomonas_project_2022a: "&lt;a href=\"/08_references.html#riffomonas_project_2022a\" target=\"_blank\"&gt;Riffomonas Project, 2022a&lt;/a&gt;"</v>
      </c>
      <c r="U363" s="64" t="str">
        <f t="shared" si="34"/>
        <v xml:space="preserve">    rbib_riffomonas_project_2022a: "Riffomonas Project (2022a, Mar 17). *Using vegan to calculate alpha diversity metrics within the tidyverse in R (CC196)* [Video]. YouTube. &lt;https://www.youtube.com/watch?v=wq1SXGQYgCs&gt;"</v>
      </c>
      <c r="V363" s="64"/>
    </row>
    <row r="364" spans="1:22" ht="15.75">
      <c r="A364" s="64"/>
      <c r="B364" s="77" t="b">
        <v>0</v>
      </c>
      <c r="C364" s="77" t="b">
        <v>0</v>
      </c>
      <c r="D364" s="77"/>
      <c r="E364" s="64" t="s">
        <v>1945</v>
      </c>
      <c r="F364" s="64" t="s">
        <v>2485</v>
      </c>
      <c r="G364" s="64" t="s">
        <v>2484</v>
      </c>
      <c r="H364" s="64" t="s">
        <v>2483</v>
      </c>
      <c r="I364" s="64" t="b">
        <v>1</v>
      </c>
      <c r="J364" s="66" t="s">
        <v>2482</v>
      </c>
      <c r="K364" s="66" t="s">
        <v>3960</v>
      </c>
      <c r="L364" s="64" t="s">
        <v>4163</v>
      </c>
      <c r="M364" s="64" t="s">
        <v>6169</v>
      </c>
      <c r="N364" s="65" t="str">
        <f t="shared" si="36"/>
        <v>[Riffomonas Project (2022b, Mar 24). &lt;i&gt;Generating a rarefaction curve from collector's curves in R within the tidyverse (CC198)&lt;/i&gt; [Video]. YouTube. &lt;a target="_blank" href="https://www.youtube.com/watch?v=ywHVb0Q-qsM"&gt;{https://www.youtube.com/watch?v=ywHVb0Q-qsM}]{#riffomonas_project_2022b}&lt;br&gt;&lt;br&gt;</v>
      </c>
      <c r="O364" s="64" t="s">
        <v>2481</v>
      </c>
      <c r="P364" s="64" t="s">
        <v>984</v>
      </c>
      <c r="Q364" s="64" t="str">
        <f t="shared" si="32"/>
        <v>{{ rtxt_riffomonas_project_2022b }}</v>
      </c>
      <c r="R364" s="64" t="str">
        <f t="shared" si="33"/>
        <v>{{ rbib_riffomonas_project_2022b }}</v>
      </c>
      <c r="S364" s="63" t="str">
        <f t="shared" si="37"/>
        <v>Riffomonas Project (2022b, Mar 24). &lt;i&gt;Generating a rarefaction curve from collector's curves in R within the tidyverse (CC198)&lt;/i&gt; [Video]. YouTube. &lt;a href="https://www.youtube.com/watch?v=ywHVb0Q-qsM" target="_blank"&gt;https://www.youtube.com/watch?v=ywHVb0Q-qsM&lt;/a&gt;&lt;span style="color:white"&gt;[.]{#riffomonas_project_2022b}&lt;/span&gt;&lt;br&gt;&lt;br&gt;</v>
      </c>
      <c r="T364" s="64" t="str">
        <f t="shared" si="35"/>
        <v xml:space="preserve">    rtxt_riffomonas_project_2022b: "&lt;a href=\"/08_references.html#riffomonas_project_2022b\" target=\"_blank\"&gt;Riffomonas Project, 2022b&lt;/a&gt;"</v>
      </c>
      <c r="U364" s="64" t="str">
        <f t="shared" si="34"/>
        <v xml:space="preserve">    rbib_riffomonas_project_2022b: "Riffomonas Project (2022b, Mar 24). *Generating a rarefaction curve from collector's curves in R within the tidyverse (CC198)* [Video]. YouTube. &lt;https://www.youtube.com/watch?v=ywHVb0Q-qsM&gt;"</v>
      </c>
      <c r="V364" s="64"/>
    </row>
    <row r="365" spans="1:22" ht="15.75">
      <c r="A365" s="64"/>
      <c r="B365" s="77" t="b">
        <v>0</v>
      </c>
      <c r="C365" s="77" t="b">
        <v>0</v>
      </c>
      <c r="D365" s="77"/>
      <c r="E365" s="64" t="s">
        <v>1945</v>
      </c>
      <c r="F365" s="64" t="s">
        <v>2475</v>
      </c>
      <c r="G365" s="64" t="s">
        <v>2474</v>
      </c>
      <c r="H365" s="64" t="s">
        <v>2474</v>
      </c>
      <c r="I365" s="64" t="b">
        <v>1</v>
      </c>
      <c r="J365" s="66" t="s">
        <v>2473</v>
      </c>
      <c r="K365" s="66" t="s">
        <v>3960</v>
      </c>
      <c r="L365" s="64" t="s">
        <v>4164</v>
      </c>
      <c r="M365" s="64" t="s">
        <v>6150</v>
      </c>
      <c r="N365" s="65" t="str">
        <f t="shared" si="36"/>
        <v>[Rob K Statistics (2018, Oct 16). &lt;i&gt;Species Accumulation Curves.&lt;/i&gt; [Video]. YouTube. &lt;a target="_blank" href="https://www.youtube.com/watch?v=Jj7LYrU_6RA&amp;t=3s"&gt;{https://www.youtube.com/watch?v=Jj7LYrU_6RA&amp;t=3s}]{#rk_stats_2018}&lt;br&gt;&lt;br&gt;</v>
      </c>
      <c r="O365" s="64" t="s">
        <v>2472</v>
      </c>
      <c r="P365" s="64" t="s">
        <v>984</v>
      </c>
      <c r="Q365" s="64" t="str">
        <f t="shared" si="32"/>
        <v>{{ rtxt_rk_stats_2018 }}</v>
      </c>
      <c r="R365" s="64" t="str">
        <f t="shared" si="33"/>
        <v>{{ rbib_rk_stats_2018 }}</v>
      </c>
      <c r="S365" s="63" t="str">
        <f t="shared" si="37"/>
        <v>Rob K Statistics (2018, Oct 16). &lt;i&gt;Species Accumulation Curves.&lt;/i&gt; [Video]. YouTube. &lt;a href="https://www.youtube.com/watch?v=Jj7LYrU_6RA&amp;t=3s" target="_blank"&gt;https://www.youtube.com/watch?v=Jj7LYrU_6RA&amp;t=3s&lt;/a&gt;&lt;span style="color:white"&gt;[.]{#rk_stats_2018}&lt;/span&gt;&lt;br&gt;&lt;br&gt;</v>
      </c>
      <c r="T365" s="64" t="str">
        <f t="shared" si="35"/>
        <v xml:space="preserve">    rtxt_rk_stats_2018: "&lt;a href=\"/08_references.html#rk_stats_2018\" target=\"_blank\"&gt;Rob K Statistics, 2018&lt;/a&gt;"</v>
      </c>
      <c r="U365" s="64" t="str">
        <f t="shared" si="34"/>
        <v xml:space="preserve">    rbib_rk_stats_2018: "Rob K Statistics (2018, Oct 16). *Species Accumulation Curves* [Video]. YouTube. &lt;https://www.youtube.com/watch?v=Jj7LYrU_6RA&amp;t=3s&gt;"</v>
      </c>
      <c r="V365" s="64"/>
    </row>
    <row r="366" spans="1:22" ht="15.75">
      <c r="A366" s="64"/>
      <c r="B366" s="77" t="b">
        <v>1</v>
      </c>
      <c r="C366" s="77" t="b">
        <v>0</v>
      </c>
      <c r="D366" s="77" t="b">
        <v>0</v>
      </c>
      <c r="E366" s="64" t="s">
        <v>1904</v>
      </c>
      <c r="F366" s="64" t="s">
        <v>2471</v>
      </c>
      <c r="G366" s="64" t="s">
        <v>2470</v>
      </c>
      <c r="H366" s="64" t="s">
        <v>2470</v>
      </c>
      <c r="I366" s="64" t="b">
        <v>1</v>
      </c>
      <c r="J366" s="66" t="s">
        <v>2469</v>
      </c>
      <c r="K366" s="66" t="s">
        <v>3960</v>
      </c>
      <c r="L366" s="64" t="s">
        <v>4165</v>
      </c>
      <c r="M366" s="64" t="s">
        <v>5770</v>
      </c>
      <c r="N366" s="65" t="str">
        <f t="shared" si="36"/>
        <v>[Robinson,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href="https://doi.org/10.1002/wsb.1055"&gt;{https://doi.org/10.1002/wsb.1055}]{#robinson_et_al_2020}&lt;br&gt;&lt;br&gt;</v>
      </c>
      <c r="O366" s="64" t="s">
        <v>2468</v>
      </c>
      <c r="P366" s="64" t="s">
        <v>984</v>
      </c>
      <c r="Q366" s="64" t="str">
        <f t="shared" si="32"/>
        <v>{{ rtxt_robinson_et_al_2020 }}</v>
      </c>
      <c r="R366" s="64" t="str">
        <f t="shared" si="33"/>
        <v>{{ rbib_robinson_et_al_2020 }}</v>
      </c>
      <c r="S366" s="63" t="str">
        <f t="shared" si="37"/>
        <v>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target="_blank"&gt;https://doi.org/10.1002/wsb.1055&lt;/a&gt;&lt;span style="color:white"&gt;[.]{#robinson_et_al_2020}&lt;/span&gt;&lt;br&gt;&lt;br&gt;</v>
      </c>
      <c r="T366" s="64" t="str">
        <f t="shared" si="35"/>
        <v xml:space="preserve">    rtxt_robinson_et_al_2020: "&lt;a href=\"/08_references.html#robinson_et_al_2020\" target=\"_blank\"&gt;Robinson et al., 2020&lt;/a&gt;"</v>
      </c>
      <c r="U366" s="64" t="str">
        <f t="shared" si="34"/>
        <v xml:space="preserve">    rbib_robinson_et_al_2020: "Robinson, S. G., Weithman, C. E., Bellman, H. A., Prisley, S. P., Fraser, J. D., Catlin, D. H., &amp; Karpanty, S. M. (2020). Assessing Error in Locations of Conspicuous Wildlife Using Handheld GPS Units and Location Offset Methods. *Wildlife Society Bulletin, 44*(1), 163-172. &lt;https://doi.org/10.1002/wsb.1055&gt;"</v>
      </c>
      <c r="V366" s="64"/>
    </row>
    <row r="367" spans="1:22" ht="15.75">
      <c r="A367" s="64"/>
      <c r="B367" s="77" t="b">
        <v>0</v>
      </c>
      <c r="C367" s="77" t="b">
        <v>0</v>
      </c>
      <c r="D367" s="77"/>
      <c r="E367" s="64" t="s">
        <v>1950</v>
      </c>
      <c r="F367" s="64" t="s">
        <v>2467</v>
      </c>
      <c r="G367" s="64" t="s">
        <v>2466</v>
      </c>
      <c r="H367" s="64" t="s">
        <v>2466</v>
      </c>
      <c r="I367" s="64" t="b">
        <v>1</v>
      </c>
      <c r="J367" s="66" t="s">
        <v>2465</v>
      </c>
      <c r="K367" s="66" t="s">
        <v>3960</v>
      </c>
      <c r="L367" s="64" t="s">
        <v>4166</v>
      </c>
      <c r="M367" s="64" t="s">
        <v>6078</v>
      </c>
      <c r="N367" s="65" t="str">
        <f t="shared" si="36"/>
        <v>[Roeland Kindt, R. (2020). &lt;i&gt;Species Accumulation Curves with vegan, BiodiversityR and ggplot2.&lt;/i&gt; &lt;a target="_blank" href="https://rpubs.com/Roeland-KINDT/694021"&gt;{https://rpubs.com/Roeland-KINDT/694021}]{#roeland_2020}&lt;br&gt;&lt;br&gt;</v>
      </c>
      <c r="O367" s="64" t="s">
        <v>2464</v>
      </c>
      <c r="P367" s="64" t="s">
        <v>984</v>
      </c>
      <c r="Q367" s="64" t="str">
        <f t="shared" si="32"/>
        <v>{{ rtxt_roeland_2020 }}</v>
      </c>
      <c r="R367" s="64" t="str">
        <f t="shared" si="33"/>
        <v>{{ rbib_roeland_2020 }}</v>
      </c>
      <c r="S367" s="63" t="str">
        <f t="shared" si="37"/>
        <v>Roeland Kindt, R. (2020). &lt;i&gt;Species Accumulation Curves with vegan, BiodiversityR and ggplot2.&lt;/i&gt; &lt;a href="https://rpubs.com/Roeland-KINDT/694021" target="_blank"&gt;https://rpubs.com/Roeland-KINDT/694021&lt;/a&gt;&lt;span style="color:white"&gt;[.]{#roeland_2020}&lt;/span&gt;&lt;br&gt;&lt;br&gt;</v>
      </c>
      <c r="T367" s="64" t="str">
        <f t="shared" si="35"/>
        <v xml:space="preserve">    rtxt_roeland_2020: "&lt;a href=\"/08_references.html#roeland_2020\" target=\"_blank\"&gt;Roeland, 2020&lt;/a&gt;"</v>
      </c>
      <c r="U367" s="64" t="str">
        <f t="shared" si="34"/>
        <v xml:space="preserve">    rbib_roeland_2020: "Roeland Kindt, R. (2020). *Species Accumulation Curves with vegan, BiodiversityR and ggplot2.* &lt;https://rpubs.com/Roeland-KINDT/694021&gt;"</v>
      </c>
      <c r="V367" s="64"/>
    </row>
    <row r="368" spans="1:22" ht="15.75">
      <c r="A368" s="64"/>
      <c r="B368" s="77" t="b">
        <v>0</v>
      </c>
      <c r="C368" s="77" t="b">
        <v>0</v>
      </c>
      <c r="D368" s="77" t="b">
        <v>1</v>
      </c>
      <c r="E368" s="64" t="s">
        <v>1904</v>
      </c>
      <c r="F368" s="64" t="s">
        <v>2463</v>
      </c>
      <c r="G368" s="64" t="s">
        <v>2462</v>
      </c>
      <c r="H368" s="64" t="s">
        <v>2462</v>
      </c>
      <c r="I368" s="64" t="b">
        <v>1</v>
      </c>
      <c r="J368" s="66" t="s">
        <v>2461</v>
      </c>
      <c r="K368" s="66" t="s">
        <v>3960</v>
      </c>
      <c r="L368" s="64" t="s">
        <v>4167</v>
      </c>
      <c r="M368" s="64" t="s">
        <v>5977</v>
      </c>
      <c r="N368" s="65" t="str">
        <f t="shared" si="36"/>
        <v>[Roemer, G. W., Gompper, M. E., &amp; Van Valkenburgh, B. (2009). The Ecological Role of the Mammalian Mesocarnivore. &lt;i&gt;BioScience&lt;i&gt;, &lt;i&gt;59&lt;/i&gt;(2), 165-173. &lt;a target="_blank" href="https://doi.org/10.1525/bio.2009.59.2.9"&gt;{https://doi.org/10.1525/bio.2009.59.2.9}]{#roemer_et_al_2009}&lt;br&gt;&lt;br&gt;</v>
      </c>
      <c r="O368" s="64" t="s">
        <v>2460</v>
      </c>
      <c r="P368" s="64" t="s">
        <v>984</v>
      </c>
      <c r="Q368" s="64" t="str">
        <f t="shared" si="32"/>
        <v>{{ rtxt_roemer_et_al_2009 }}</v>
      </c>
      <c r="R368" s="64" t="str">
        <f t="shared" si="33"/>
        <v>{{ rbib_roemer_et_al_2009 }}</v>
      </c>
      <c r="S368" s="63" t="str">
        <f t="shared" si="37"/>
        <v>Roemer, G. W., Gompper, M. E., &amp; Van Valkenburgh, B. (2009). The Ecological Role of the Mammalian Mesocarnivore. &lt;i&gt;BioScience&lt;i&gt;, &lt;i&gt;59&lt;/i&gt;(2), 165-173. &lt;a href="https://doi.org/10.1525/bio.2009.59.2.9" target="_blank"&gt;https://doi.org/10.1525/bio.2009.59.2.9&lt;/a&gt;&lt;span style="color:white"&gt;[.]{#roemer_et_al_2009}&lt;/span&gt;&lt;br&gt;&lt;br&gt;</v>
      </c>
      <c r="T368" s="64" t="str">
        <f t="shared" si="35"/>
        <v xml:space="preserve">    rtxt_roemer_et_al_2009: "&lt;a href=\"/08_references.html#roemer_et_al_2009\" target=\"_blank\"&gt;Roemer et al., 2009&lt;/a&gt;"</v>
      </c>
      <c r="U368" s="64" t="str">
        <f t="shared" si="34"/>
        <v xml:space="preserve">    rbib_roemer_et_al_2009: "Roemer, G. W., Gompper, M. E., &amp; Van Valkenburgh, B. (2009). The Ecological Role of the Mammalian Mesocarnivore. *BioScience, 59*(2), 165-173. &lt;https://doi.org/10.1525/bio.2009.59.2.9&gt;"</v>
      </c>
      <c r="V368" s="64"/>
    </row>
    <row r="369" spans="1:22" ht="15.75">
      <c r="A369" s="64"/>
      <c r="B369" s="77"/>
      <c r="C369" s="77"/>
      <c r="D369" s="77"/>
      <c r="E369" s="64" t="s">
        <v>1904</v>
      </c>
      <c r="F369" s="64" t="s">
        <v>2459</v>
      </c>
      <c r="G369" s="64" t="s">
        <v>2458</v>
      </c>
      <c r="H369" s="64" t="s">
        <v>2458</v>
      </c>
      <c r="I369" s="64" t="b">
        <v>1</v>
      </c>
      <c r="J369" s="66" t="s">
        <v>2457</v>
      </c>
      <c r="K369" s="66" t="s">
        <v>3960</v>
      </c>
      <c r="L369" s="64" t="s">
        <v>4168</v>
      </c>
      <c r="M369" s="64" t="s">
        <v>5974</v>
      </c>
      <c r="N369" s="65" t="str">
        <f t="shared" si="36"/>
        <v>[Romairone, J., Jiménez, J., Luque-Larena, J. J., &amp; Mougeot, F. (2018). Spatial capture-recapture design and modelling for the study of small mammals. &lt;i&gt;PLOS ONE, 13&lt;/i&gt;(6), e0198766. &lt;a target="_blank" href="https://doi.org/10.1371/journal.pone.0198766"&gt;{https://doi.org/10.1371/journal.pone.0198766}]{#romairone_et_al_2018}&lt;br&gt;&lt;br&gt;</v>
      </c>
      <c r="O369" s="64" t="s">
        <v>2456</v>
      </c>
      <c r="P369" s="64" t="s">
        <v>984</v>
      </c>
      <c r="Q369" s="64" t="str">
        <f t="shared" si="32"/>
        <v>{{ rtxt_romairone_et_al_2018 }}</v>
      </c>
      <c r="R369" s="64" t="str">
        <f t="shared" si="33"/>
        <v>{{ rbib_romairone_et_al_2018 }}</v>
      </c>
      <c r="S369" s="63" t="str">
        <f t="shared" si="37"/>
        <v>Romairone, J., Jiménez, J., Luque-Larena, J. J., &amp; Mougeot, F. (2018). Spatial capture-recapture design and modelling for the study of small mammals. &lt;i&gt;PLOS ONE, 13&lt;/i&gt;(6), e0198766. &lt;a href="https://doi.org/10.1371/journal.pone.0198766" target="_blank"&gt;https://doi.org/10.1371/journal.pone.0198766&lt;/a&gt;&lt;span style="color:white"&gt;[.]{#romairone_et_al_2018}&lt;/span&gt;&lt;br&gt;&lt;br&gt;</v>
      </c>
      <c r="T369" s="64" t="str">
        <f t="shared" si="35"/>
        <v xml:space="preserve">    rtxt_romairone_et_al_2018: "&lt;a href=\"/08_references.html#romairone_et_al_2018\" target=\"_blank\"&gt;Romairone et al., 2018&lt;/a&gt;"</v>
      </c>
      <c r="U369" s="64" t="str">
        <f t="shared" si="34"/>
        <v xml:space="preserve">    rbib_romairone_et_al_2018: "Romairone, J., Jiménez, J., Luque-Larena, J. J., &amp; Mougeot, F. (2018). Spatial capture-recapture design and modelling for the study of small mammals. *PLOS ONE, 13*(6), e0198766. &lt;https://doi.org/10.1371/journal.pone.0198766&gt;"</v>
      </c>
      <c r="V369" s="64"/>
    </row>
    <row r="370" spans="1:22" ht="15.75">
      <c r="A370" s="64"/>
      <c r="B370" s="77"/>
      <c r="C370" s="77"/>
      <c r="D370" s="77"/>
      <c r="E370" s="64" t="s">
        <v>1904</v>
      </c>
      <c r="F370" s="64" t="s">
        <v>2455</v>
      </c>
      <c r="G370" s="65" t="s">
        <v>2454</v>
      </c>
      <c r="H370" s="65" t="s">
        <v>2454</v>
      </c>
      <c r="I370" s="64" t="b">
        <v>1</v>
      </c>
      <c r="J370" s="66" t="s">
        <v>2453</v>
      </c>
      <c r="K370" s="66" t="s">
        <v>3960</v>
      </c>
      <c r="L370" s="64" t="s">
        <v>4169</v>
      </c>
      <c r="M370" s="64" t="s">
        <v>6011</v>
      </c>
      <c r="N370" s="65" t="str">
        <f t="shared" si="36"/>
        <v>[Rönnegård,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href="https://doi.org/10.2981/0909-6396(2008)14[358:EOFMUT]2.0.CO;2"&gt;{https://doi.org/10.2981/0909-6396(2008)14[358:EOFMUT]2.0.CO;2}]{#ronnegard_et_al_2008}&lt;br&gt;&lt;br&gt;</v>
      </c>
      <c r="O370" s="64" t="s">
        <v>2452</v>
      </c>
      <c r="P370" s="64" t="s">
        <v>984</v>
      </c>
      <c r="Q370" s="64" t="str">
        <f t="shared" si="32"/>
        <v>{{ rtxt_ronnegard_et_al_2008 }}</v>
      </c>
      <c r="R370" s="64" t="str">
        <f t="shared" si="33"/>
        <v>{{ rbib_ronnegard_et_al_2008 }}</v>
      </c>
      <c r="S370" s="63" t="str">
        <f t="shared" si="37"/>
        <v>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target="_blank"&gt;https://doi.org/10.2981/0909-6396(2008)14[358:EOFMUT]2.0.CO;2&lt;/a&gt;&lt;span style="color:white"&gt;[.]{#ronnegard_et_al_2008}&lt;/span&gt;&lt;br&gt;&lt;br&gt;</v>
      </c>
      <c r="T370" s="64" t="str">
        <f t="shared" si="35"/>
        <v xml:space="preserve">    rtxt_ronnegard_et_al_2008: "&lt;a href=\"/08_references.html#ronnegard_et_al_2008\" target=\"_blank\"&gt;Rönnegård et al., 2008&lt;/a&gt;"</v>
      </c>
      <c r="U370" s="64" t="str">
        <f t="shared" si="34"/>
        <v xml:space="preserve">    rbib_ronnegard_et_al_2008: "Rönnegård, L., Sand, H., Andrén, H., Månsson, J., &amp; Pehrson, Å. (2008). Evaluation of four methods used to estimate population density of moose Alces alces. *Wildlife Biology, 14*(3), 358-371. &lt;https://doi.org/10.2981/0909-6396(2008)14[358:EOFMUT]2.0.CO;2&gt;"</v>
      </c>
      <c r="V370" s="64"/>
    </row>
    <row r="371" spans="1:22" ht="15.75">
      <c r="A371" s="64"/>
      <c r="B371" s="77" t="b">
        <v>1</v>
      </c>
      <c r="C371" s="77" t="b">
        <v>1</v>
      </c>
      <c r="D371" s="77" t="b">
        <v>0</v>
      </c>
      <c r="E371" s="64" t="s">
        <v>1904</v>
      </c>
      <c r="F371" s="64" t="s">
        <v>2447</v>
      </c>
      <c r="G371" s="64" t="s">
        <v>2446</v>
      </c>
      <c r="H371" s="64" t="s">
        <v>2446</v>
      </c>
      <c r="I371" s="64" t="b">
        <v>1</v>
      </c>
      <c r="J371" s="66" t="s">
        <v>2445</v>
      </c>
      <c r="K371" s="66" t="s">
        <v>3960</v>
      </c>
      <c r="L371" s="64" t="s">
        <v>4170</v>
      </c>
      <c r="M371" s="64" t="s">
        <v>6103</v>
      </c>
      <c r="N371" s="65" t="str">
        <f t="shared" si="36"/>
        <v>[Rovero, F., &amp; Marshall, A. R. (2009). Camera Trapping Photographic Rate as an Index of Density in Forest Ungulates. &lt;i&gt;Journal of Applied Ecology, 46&lt;/i&gt;(5), 1011-1017. &lt;a target="_blank" href="https://www.jstor.org/stable/25623081"&gt;{https://www.jstor.org/stable/25623081}]{#rovero_marshall_2009}&lt;br&gt;&lt;br&gt;</v>
      </c>
      <c r="O371" s="64" t="s">
        <v>2444</v>
      </c>
      <c r="P371" s="64" t="s">
        <v>984</v>
      </c>
      <c r="Q371" s="64" t="str">
        <f t="shared" si="32"/>
        <v>{{ rtxt_rovero_marshall_2009 }}</v>
      </c>
      <c r="R371" s="64" t="str">
        <f t="shared" si="33"/>
        <v>{{ rbib_rovero_marshall_2009 }}</v>
      </c>
      <c r="S371" s="63" t="str">
        <f t="shared" si="37"/>
        <v>Rovero, F., &amp; Marshall, A. R. (2009). Camera Trapping Photographic Rate as an Index of Density in Forest Ungulates. &lt;i&gt;Journal of Applied Ecology, 46&lt;/i&gt;(5), 1011-1017. &lt;a href="https://www.jstor.org/stable/25623081" target="_blank"&gt;https://www.jstor.org/stable/25623081&lt;/a&gt;&lt;span style="color:white"&gt;[.]{#rovero_marshall_2009}&lt;/span&gt;&lt;br&gt;&lt;br&gt;</v>
      </c>
      <c r="T371" s="64" t="str">
        <f t="shared" si="35"/>
        <v xml:space="preserve">    rtxt_rovero_marshall_2009: "&lt;a href=\"/08_references.html#rovero_marshall_2009\" target=\"_blank\"&gt;Rovero &amp; Marshall, 2009&lt;/a&gt;"</v>
      </c>
      <c r="U371" s="64" t="str">
        <f t="shared" si="34"/>
        <v xml:space="preserve">    rbib_rovero_marshall_2009: "Rovero, F., &amp; Marshall, A. R. (2009). Camera Trapping Photographic Rate as an Index of Density in Forest Ungulates. *Journal of Applied Ecology, 46*(5), 1011-1017. &lt;https://www.jstor.org/stable/25623081&gt;"</v>
      </c>
      <c r="V371" s="64"/>
    </row>
    <row r="372" spans="1:22" ht="15.75">
      <c r="A372" s="64"/>
      <c r="B372" s="77" t="b">
        <v>0</v>
      </c>
      <c r="C372" s="77" t="b">
        <v>0</v>
      </c>
      <c r="D372" s="77" t="b">
        <v>1</v>
      </c>
      <c r="E372" s="64" t="s">
        <v>1939</v>
      </c>
      <c r="F372" s="64" t="s">
        <v>2443</v>
      </c>
      <c r="G372" s="64" t="s">
        <v>2442</v>
      </c>
      <c r="H372" s="64" t="s">
        <v>2442</v>
      </c>
      <c r="I372" s="64" t="b">
        <v>1</v>
      </c>
      <c r="J372" s="66" t="s">
        <v>2441</v>
      </c>
      <c r="K372" s="66" t="s">
        <v>3960</v>
      </c>
      <c r="L372" s="64" t="s">
        <v>4171</v>
      </c>
      <c r="M372" s="64" t="s">
        <v>6121</v>
      </c>
      <c r="N372" s="65" t="str">
        <f t="shared" si="36"/>
        <v>[Rovero,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href="https://www.researchgate.net/publication/229057405_Camera_trapping_for_inventorying_terrestrial_vertebrates"&gt;{https://www.researchgate.net/publication/229057405_Camera_trapping_for_inventorying_terrestrial_vertebrates}]{#rovero_tobler_2010}&lt;br&gt;&lt;br&gt;</v>
      </c>
      <c r="O372" s="64" t="s">
        <v>2440</v>
      </c>
      <c r="P372" s="64" t="s">
        <v>984</v>
      </c>
      <c r="Q372" s="64" t="str">
        <f t="shared" si="32"/>
        <v>{{ rtxt_rovero_tobler_2010 }}</v>
      </c>
      <c r="R372" s="64" t="str">
        <f t="shared" si="33"/>
        <v>{{ rbib_rovero_tobler_2010 }}</v>
      </c>
      <c r="S372" s="63" t="str">
        <f t="shared" si="37"/>
        <v>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style="color:white"&gt;[.]{#rovero_tobler_2010}&lt;/span&gt;&lt;br&gt;&lt;br&gt;</v>
      </c>
      <c r="T372" s="64" t="str">
        <f t="shared" si="35"/>
        <v xml:space="preserve">    rtxt_rovero_tobler_2010: "&lt;a href=\"/08_references.html#rovero_tobler_2010\" target=\"_blank\"&gt;Rovero &amp; Tobler, 2010&lt;/a&gt;"</v>
      </c>
      <c r="U372" s="64" t="str">
        <f t="shared" si="34"/>
        <v xml:space="preserve">    rbib_rovero_tobler_2010: "Rovero,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v>
      </c>
      <c r="V372" s="64"/>
    </row>
    <row r="373" spans="1:22" ht="15.75">
      <c r="A373" s="64"/>
      <c r="B373" s="77" t="b">
        <v>1</v>
      </c>
      <c r="C373" s="77" t="b">
        <v>1</v>
      </c>
      <c r="D373" s="77" t="b">
        <v>0</v>
      </c>
      <c r="E373" s="64" t="s">
        <v>1939</v>
      </c>
      <c r="F373" s="64" t="s">
        <v>2439</v>
      </c>
      <c r="G373" s="64" t="s">
        <v>2438</v>
      </c>
      <c r="H373" s="64" t="s">
        <v>2438</v>
      </c>
      <c r="I373" s="64" t="b">
        <v>1</v>
      </c>
      <c r="J373" s="66" t="s">
        <v>2437</v>
      </c>
      <c r="K373" s="66" t="s">
        <v>3960</v>
      </c>
      <c r="L373" s="64" t="s">
        <v>4172</v>
      </c>
      <c r="M373" s="64" t="s">
        <v>6073</v>
      </c>
      <c r="N373" s="65" t="str">
        <f t="shared" si="36"/>
        <v>[Rovero,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rovero_zimmermann_2016}&lt;br&gt;&lt;br&gt;</v>
      </c>
      <c r="O373" s="64" t="s">
        <v>2436</v>
      </c>
      <c r="P373" s="64" t="s">
        <v>984</v>
      </c>
      <c r="Q373" s="64" t="str">
        <f t="shared" si="32"/>
        <v>{{ rtxt_rovero_zimmermann_2016 }}</v>
      </c>
      <c r="R373" s="64" t="str">
        <f t="shared" si="33"/>
        <v>{{ rbib_rovero_zimmermann_2016 }}</v>
      </c>
      <c r="S373" s="63" t="str">
        <f t="shared" si="37"/>
        <v>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style="color:white"&gt;[.]{#rovero_zimmermann_2016}&lt;/span&gt;&lt;br&gt;&lt;br&gt;</v>
      </c>
      <c r="T373" s="64" t="str">
        <f t="shared" si="35"/>
        <v xml:space="preserve">    rtxt_rovero_zimmermann_2016: "&lt;a href=\"/08_references.html#rovero_zimmermann_2016\" target=\"_blank\"&gt;Rovero &amp; Zimmermann, 2016&lt;/a&gt;"</v>
      </c>
      <c r="U373" s="64" t="str">
        <f t="shared" si="34"/>
        <v xml:space="preserve">    rbib_rovero_zimmermann_2016: "Rovero, F., &amp; Zimmermann, F. (2016). *Camera Trapping for Wildlife Research*. Exeter: Pelagic Publishing, UK. &lt;https://pelagicpublishing.com/products/camera-trapping-for-wildlife-research?srsltid=AfmBOormKSlIbYKZ6LlpHlQzLw42FEe5mrOp7fnjFBfe1ncktqb9B10H&gt;"</v>
      </c>
      <c r="V373" s="64"/>
    </row>
    <row r="374" spans="1:22" ht="15.75">
      <c r="A374" s="64"/>
      <c r="B374" s="77" t="b">
        <v>1</v>
      </c>
      <c r="C374" s="77" t="b">
        <v>1</v>
      </c>
      <c r="D374" s="77" t="b">
        <v>0</v>
      </c>
      <c r="E374" s="64" t="s">
        <v>1904</v>
      </c>
      <c r="F374" s="64" t="s">
        <v>2451</v>
      </c>
      <c r="G374" s="64" t="s">
        <v>2450</v>
      </c>
      <c r="H374" s="64" t="s">
        <v>2450</v>
      </c>
      <c r="I374" s="64" t="b">
        <v>1</v>
      </c>
      <c r="J374" s="66" t="s">
        <v>2449</v>
      </c>
      <c r="K374" s="66" t="s">
        <v>3960</v>
      </c>
      <c r="L374" s="64" t="s">
        <v>4173</v>
      </c>
      <c r="M374" s="64" t="s">
        <v>6026</v>
      </c>
      <c r="N374" s="65" t="str">
        <f t="shared" si="36"/>
        <v>[Rovero,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href="https://doi.org/10.4404/hystrix-24.2-6316"&gt;{https://doi.org/10.4404/hystrix-24.2-6316}]{#rovero_et_al_2013}&lt;br&gt;&lt;br&gt;</v>
      </c>
      <c r="O374" s="64" t="s">
        <v>2448</v>
      </c>
      <c r="P374" s="64" t="s">
        <v>984</v>
      </c>
      <c r="Q374" s="64" t="str">
        <f t="shared" si="32"/>
        <v>{{ rtxt_rovero_et_al_2013 }}</v>
      </c>
      <c r="R374" s="64" t="str">
        <f t="shared" si="33"/>
        <v>{{ rbib_rovero_et_al_2013 }}</v>
      </c>
      <c r="S374" s="63" t="str">
        <f t="shared" si="37"/>
        <v>Rovero, F., Zimmermann, F., Berzi, D., &amp; Meek, P. (2013). “Which camera trap type and how many do I need?” A review of camera features and study designs for a range of wildlife research applications. &lt;i&gt;Hystrix, the Italian Journal of Mammalogy&lt;i&gt;, &lt;i&gt;24&lt;/i&gt;(2), 148-156. &lt;a href="https://doi.org/10.4404/hystrix-24.2-6316" target="_blank"&gt;https://doi.org/10.4404/hystrix-24.2-6316&lt;/a&gt;&lt;span style="color:white"&gt;[.]{#rovero_et_al_2013}&lt;/span&gt;&lt;br&gt;&lt;br&gt;</v>
      </c>
      <c r="T374" s="64" t="str">
        <f t="shared" si="35"/>
        <v xml:space="preserve">    rtxt_rovero_et_al_2013: "&lt;a href=\"/08_references.html#rovero_et_al_2013\" target=\"_blank\"&gt;Rovero et al., 2013&lt;/a&gt;"</v>
      </c>
      <c r="U374" s="64" t="str">
        <f t="shared" si="34"/>
        <v xml:space="preserve">    rbib_rovero_et_al_2013: "Rovero, F., Zimmermann, F., Berzi, D., &amp; Meek, P. (2013). “Which camera trap type and how many do I need?” A review of camera features and study designs for a range of wildlife research applications. *Hystrix, the Italian Journal of Mammalogy, 24*(2), 148-156. &lt;https://doi.org/10.4404/hystrix-24.2-6316&gt;"</v>
      </c>
      <c r="V374" s="64"/>
    </row>
    <row r="375" spans="1:22" ht="15.75">
      <c r="A375" s="64"/>
      <c r="B375" s="77" t="b">
        <v>1</v>
      </c>
      <c r="C375" s="77" t="b">
        <v>0</v>
      </c>
      <c r="D375" s="77" t="b">
        <v>0</v>
      </c>
      <c r="E375" s="64" t="s">
        <v>1904</v>
      </c>
      <c r="F375" s="64" t="s">
        <v>2427</v>
      </c>
      <c r="G375" s="64" t="s">
        <v>2426</v>
      </c>
      <c r="H375" s="64" t="s">
        <v>2426</v>
      </c>
      <c r="I375" s="64" t="b">
        <v>1</v>
      </c>
      <c r="J375" s="66" t="s">
        <v>2425</v>
      </c>
      <c r="K375" s="66" t="s">
        <v>3960</v>
      </c>
      <c r="L375" s="64" t="s">
        <v>4174</v>
      </c>
      <c r="M375" s="64" t="s">
        <v>5928</v>
      </c>
      <c r="N375" s="65" t="str">
        <f t="shared" si="36"/>
        <v>[Rowcliffe, J. M., &amp; Carbone, C. (2008). Surveys Using Camera Traps: Are We Looking to a Brighter Future? &lt;i&gt;Animal Conservation, 11&lt;/i&gt;(3), 185-86. &lt;a target="_blank" href="https://doi.org/10.1111/j.1469-1795.2008.00180.x"&gt;{https://doi.org/10.1111/j.1469-1795.2008.00180.x}]{#rowcliffe_carbone_2008}&lt;br&gt;&lt;br&gt;</v>
      </c>
      <c r="O375" s="64" t="s">
        <v>2424</v>
      </c>
      <c r="P375" s="64" t="s">
        <v>984</v>
      </c>
      <c r="Q375" s="64" t="str">
        <f t="shared" si="32"/>
        <v>{{ rtxt_rowcliffe_carbone_2008 }}</v>
      </c>
      <c r="R375" s="64" t="str">
        <f t="shared" si="33"/>
        <v>{{ rbib_rowcliffe_carbone_2008 }}</v>
      </c>
      <c r="S375" s="63" t="str">
        <f t="shared" si="37"/>
        <v>Rowcliffe, J. M., &amp; Carbone, C. (2008). Surveys Using Camera Traps: Are We Looking to a Brighter Future? &lt;i&gt;Animal Conservation, 11&lt;/i&gt;(3), 185-86. &lt;a href="https://doi.org/10.1111/j.1469-1795.2008.00180.x" target="_blank"&gt;https://doi.org/10.1111/j.1469-1795.2008.00180.x&lt;/a&gt;&lt;span style="color:white"&gt;[.]{#rowcliffe_carbone_2008}&lt;/span&gt;&lt;br&gt;&lt;br&gt;</v>
      </c>
      <c r="T375" s="64" t="str">
        <f t="shared" si="35"/>
        <v xml:space="preserve">    rtxt_rowcliffe_carbone_2008: "&lt;a href=\"/08_references.html#rowcliffe_carbone_2008\" target=\"_blank\"&gt;Rowcliffe &amp; Carbone, 2008&lt;/a&gt;"</v>
      </c>
      <c r="U375" s="64" t="str">
        <f t="shared" si="34"/>
        <v xml:space="preserve">    rbib_rowcliffe_carbone_2008: "Rowcliffe, J. M., &amp; Carbone, C. (2008). Surveys Using Camera Traps: Are We Looking to a Brighter Future? *Animal Conservation, 11*(3), 185-86. &lt;https://doi.org/10.1111/j.1469-1795.2008.00180.x&gt;"</v>
      </c>
      <c r="V375" s="64"/>
    </row>
    <row r="376" spans="1:22" ht="15.75">
      <c r="A376" s="64"/>
      <c r="B376" s="77" t="b">
        <v>1</v>
      </c>
      <c r="C376" s="77" t="b">
        <v>0</v>
      </c>
      <c r="D376" s="77" t="b">
        <v>1</v>
      </c>
      <c r="E376" s="64" t="s">
        <v>1904</v>
      </c>
      <c r="F376" s="64" t="s">
        <v>2423</v>
      </c>
      <c r="G376" s="64" t="s">
        <v>2422</v>
      </c>
      <c r="H376" s="64" t="s">
        <v>2422</v>
      </c>
      <c r="I376" s="64" t="b">
        <v>1</v>
      </c>
      <c r="J376" s="66" t="s">
        <v>2421</v>
      </c>
      <c r="K376" s="66" t="s">
        <v>3960</v>
      </c>
      <c r="L376" s="64" t="s">
        <v>4175</v>
      </c>
      <c r="M376" s="64" t="s">
        <v>5923</v>
      </c>
      <c r="N376" s="65" t="str">
        <f t="shared" si="36"/>
        <v>[Rowcliffe,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href="https://doi.org/10.1111/j.1365-2664.2008.01473.x"&gt;{https://doi.org/10.1111/j.1365-2664.2008.01473.x}]{#rowcliffe_et_al_2008}&lt;br&gt;&lt;br&gt;</v>
      </c>
      <c r="O376" s="64" t="s">
        <v>2420</v>
      </c>
      <c r="P376" s="64" t="s">
        <v>984</v>
      </c>
      <c r="Q376" s="64" t="str">
        <f t="shared" si="32"/>
        <v>{{ rtxt_rowcliffe_et_al_2008 }}</v>
      </c>
      <c r="R376" s="64" t="str">
        <f t="shared" si="33"/>
        <v>{{ rbib_rowcliffe_et_al_2008 }}</v>
      </c>
      <c r="S376" s="63" t="str">
        <f t="shared" si="37"/>
        <v>Rowcliffe, J. M., Field, J., Turvey, S. T., &amp; Carbone, C. (2008). Estimating animal Density using camera traps without the need for individual recognition. &lt;i&gt;Journal of Applied Ecology&lt;i&gt;, &lt;i&gt;45&lt;/i&gt;(4), 1228-1236. &lt;a href="https://doi.org/10.1111/j.1365-2664.2008.01473.x" target="_blank"&gt;https://doi.org/10.1111/j.1365-2664.2008.01473.x&lt;/a&gt;&lt;span style="color:white"&gt;[.]{#rowcliffe_et_al_2008}&lt;/span&gt;&lt;br&gt;&lt;br&gt;</v>
      </c>
      <c r="T376" s="64" t="str">
        <f t="shared" si="35"/>
        <v xml:space="preserve">    rtxt_rowcliffe_et_al_2008: "&lt;a href=\"/08_references.html#rowcliffe_et_al_2008\" target=\"_blank\"&gt;Rowcliffe et al., 2008&lt;/a&gt;"</v>
      </c>
      <c r="U376" s="64" t="str">
        <f t="shared" si="34"/>
        <v xml:space="preserve">    rbib_rowcliffe_et_al_2008: "Rowcliffe, J. M., Field, J., Turvey, S. T., &amp; Carbone, C. (2008). Estimating animal Density using camera traps without the need for individual recognition. *Journal of Applied Ecology, 45*(4), 1228-1236. &lt;https://doi.org/10.1111/j.1365-2664.2008.01473.x&gt;"</v>
      </c>
      <c r="V376" s="64"/>
    </row>
    <row r="377" spans="1:22" ht="15.75">
      <c r="A377" s="64"/>
      <c r="B377" s="77" t="b">
        <v>1</v>
      </c>
      <c r="C377" s="77" t="b">
        <v>0</v>
      </c>
      <c r="D377" s="77" t="b">
        <v>0</v>
      </c>
      <c r="E377" s="64" t="s">
        <v>1904</v>
      </c>
      <c r="F377" s="64" t="s">
        <v>2407</v>
      </c>
      <c r="G377" s="64" t="s">
        <v>2406</v>
      </c>
      <c r="H377" s="64" t="s">
        <v>2406</v>
      </c>
      <c r="I377" s="64" t="b">
        <v>1</v>
      </c>
      <c r="J377" s="66" t="s">
        <v>2405</v>
      </c>
      <c r="K377" s="66" t="s">
        <v>3960</v>
      </c>
      <c r="L377" s="64" t="s">
        <v>4176</v>
      </c>
      <c r="M377" s="64" t="s">
        <v>5759</v>
      </c>
      <c r="N377" s="65" t="str">
        <f t="shared" si="36"/>
        <v>[Rowcliffe,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href="https://doi.org/10.1002/rse2.17"&gt;{https://doi.org/10.1002/rse2.17}]{#rowcliffe_et_al_2016}&lt;br&gt;&lt;br&gt;</v>
      </c>
      <c r="O377" s="64" t="s">
        <v>2404</v>
      </c>
      <c r="P377" s="64" t="s">
        <v>984</v>
      </c>
      <c r="Q377" s="64" t="str">
        <f t="shared" si="32"/>
        <v>{{ rtxt_rowcliffe_et_al_2016 }}</v>
      </c>
      <c r="R377" s="64" t="str">
        <f t="shared" si="33"/>
        <v>{{ rbib_rowcliffe_et_al_2016 }}</v>
      </c>
      <c r="S377" s="63" t="str">
        <f t="shared" si="37"/>
        <v>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target="_blank"&gt;https://doi.org/10.1002/rse2.17&lt;/a&gt;&lt;span style="color:white"&gt;[.]{#rowcliffe_et_al_2016}&lt;/span&gt;&lt;br&gt;&lt;br&gt;</v>
      </c>
      <c r="T377" s="64" t="str">
        <f t="shared" si="35"/>
        <v xml:space="preserve">    rtxt_rowcliffe_et_al_2016: "&lt;a href=\"/08_references.html#rowcliffe_et_al_2016\" target=\"_blank\"&gt;Rowcliffe et al., 2016&lt;/a&gt;"</v>
      </c>
      <c r="U377" s="64" t="str">
        <f t="shared" si="34"/>
        <v xml:space="preserve">    rbib_rowcliffe_et_al_2016: "Rowcliffe, J. M., Jansen, P. A., Kays, R., Kranstauber, B., &amp; Carbone, C. (2016). Wildlife speed cameras: measuring animal travel speed and day range using camera traps. *Remote Sensing in Ecology and Conservation, 2*, 84-94. &lt;https://doi.org/10.1002/rse2.17&gt;"</v>
      </c>
      <c r="V377" s="64"/>
    </row>
    <row r="378" spans="1:22" ht="15.75">
      <c r="A378" s="64"/>
      <c r="B378" s="77" t="b">
        <v>1</v>
      </c>
      <c r="C378" s="77" t="b">
        <v>0</v>
      </c>
      <c r="D378" s="77" t="b">
        <v>0</v>
      </c>
      <c r="E378" s="64" t="s">
        <v>1904</v>
      </c>
      <c r="F378" s="64" t="s">
        <v>2415</v>
      </c>
      <c r="G378" s="64" t="s">
        <v>2414</v>
      </c>
      <c r="H378" s="64" t="s">
        <v>2414</v>
      </c>
      <c r="I378" s="64" t="b">
        <v>1</v>
      </c>
      <c r="J378" s="66" t="s">
        <v>2413</v>
      </c>
      <c r="K378" s="66" t="s">
        <v>3960</v>
      </c>
      <c r="L378" s="64" t="s">
        <v>4177</v>
      </c>
      <c r="M378" s="64" t="s">
        <v>5755</v>
      </c>
      <c r="N378" s="65" t="str">
        <f t="shared" si="36"/>
        <v>[Rowcliffe, J. M., Kays, R., Carbone, C., &amp; Jansen, P. A. (2013). Clarifying assumptions behind the estimation of animal Density from camera trap rates. &lt;i&gt;The Journal of Wildlife Management, 77&lt;/i&gt;(5), 876-876. &lt;a target="_blank" href="https://doi.org/10.1002/jwmg.533"&gt;{https://doi.org/10.1002/jwmg.533}]{#rowcliffe_et_al_2013}&lt;br&gt;&lt;br&gt;</v>
      </c>
      <c r="O378" s="64" t="s">
        <v>2412</v>
      </c>
      <c r="P378" s="64" t="s">
        <v>984</v>
      </c>
      <c r="Q378" s="64" t="str">
        <f t="shared" si="32"/>
        <v>{{ rtxt_rowcliffe_et_al_2013 }}</v>
      </c>
      <c r="R378" s="64" t="str">
        <f t="shared" si="33"/>
        <v>{{ rbib_rowcliffe_et_al_2013 }}</v>
      </c>
      <c r="S378" s="63" t="str">
        <f t="shared" si="37"/>
        <v>Rowcliffe, J. M., Kays, R., Carbone, C., &amp; Jansen, P. A. (2013). Clarifying assumptions behind the estimation of animal Density from camera trap rates. &lt;i&gt;The Journal of Wildlife Management, 77&lt;/i&gt;(5), 876-876. &lt;a href="https://doi.org/10.1002/jwmg.533" target="_blank"&gt;https://doi.org/10.1002/jwmg.533&lt;/a&gt;&lt;span style="color:white"&gt;[.]{#rowcliffe_et_al_2013}&lt;/span&gt;&lt;br&gt;&lt;br&gt;</v>
      </c>
      <c r="T378" s="64" t="str">
        <f t="shared" si="35"/>
        <v xml:space="preserve">    rtxt_rowcliffe_et_al_2013: "&lt;a href=\"/08_references.html#rowcliffe_et_al_2013\" target=\"_blank\"&gt;Rowcliffe et al., 2013&lt;/a&gt;"</v>
      </c>
      <c r="U378" s="64" t="str">
        <f t="shared" si="34"/>
        <v xml:space="preserve">    rbib_rowcliffe_et_al_2013: "Rowcliffe, J. M., Kays, R., Carbone, C., &amp; Jansen, P. A. (2013). Clarifying assumptions behind the estimation of animal Density from camera trap rates. *The Journal of Wildlife Management, 77*(5), 876-876. &lt;https://doi.org/10.1002/jwmg.533&gt;"</v>
      </c>
      <c r="V378" s="64"/>
    </row>
    <row r="379" spans="1:22" ht="15.75">
      <c r="A379" s="64"/>
      <c r="B379" s="77" t="b">
        <v>1</v>
      </c>
      <c r="C379" s="77" t="b">
        <v>0</v>
      </c>
      <c r="D379" s="77" t="b">
        <v>0</v>
      </c>
      <c r="E379" s="64" t="s">
        <v>1904</v>
      </c>
      <c r="F379" s="64" t="s">
        <v>2411</v>
      </c>
      <c r="G379" s="64" t="s">
        <v>2410</v>
      </c>
      <c r="H379" s="64" t="s">
        <v>2410</v>
      </c>
      <c r="I379" s="64" t="b">
        <v>1</v>
      </c>
      <c r="J379" s="66" t="s">
        <v>2409</v>
      </c>
      <c r="K379" s="66" t="s">
        <v>3960</v>
      </c>
      <c r="L379" s="64" t="s">
        <v>4178</v>
      </c>
      <c r="M379" s="64" t="s">
        <v>5889</v>
      </c>
      <c r="N379" s="65" t="str">
        <f t="shared" si="36"/>
        <v>[Rowcliffe,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href="https://doi.org/10.1111/2041-210x.12278"&gt;{https://doi.org/10.1111/2041-210x.12278}]{#rowcliffe_et_al_2014}&lt;br&gt;&lt;br&gt;</v>
      </c>
      <c r="O379" s="64" t="s">
        <v>2408</v>
      </c>
      <c r="P379" s="64" t="s">
        <v>984</v>
      </c>
      <c r="Q379" s="64" t="str">
        <f t="shared" si="32"/>
        <v>{{ rtxt_rowcliffe_et_al_2014 }}</v>
      </c>
      <c r="R379" s="64" t="str">
        <f t="shared" si="33"/>
        <v>{{ rbib_rowcliffe_et_al_2014 }}</v>
      </c>
      <c r="S379" s="63" t="str">
        <f t="shared" si="37"/>
        <v>Rowcliffe, J. M., Kays, R., Kranstauber, B., Carbone, C., Jansen, P. A., &amp; Fisher, D. (2014). Quantifying levels of animal activity using camera trap data. &lt;i&gt;Methods in Ecology and Evolution&lt;i&gt;, &lt;i&gt;5&lt;/i&gt;(11), 1170-1179. &lt;a href="https://doi.org/10.1111/2041-210x.12278" target="_blank"&gt;https://doi.org/10.1111/2041-210x.12278&lt;/a&gt;&lt;span style="color:white"&gt;[.]{#rowcliffe_et_al_2014}&lt;/span&gt;&lt;br&gt;&lt;br&gt;</v>
      </c>
      <c r="T379" s="64" t="str">
        <f t="shared" si="35"/>
        <v xml:space="preserve">    rtxt_rowcliffe_et_al_2014: "&lt;a href=\"/08_references.html#rowcliffe_et_al_2014\" target=\"_blank\"&gt;Rowcliffe et al., 2014&lt;/a&gt;"</v>
      </c>
      <c r="U379" s="64" t="str">
        <f t="shared" si="34"/>
        <v xml:space="preserve">    rbib_rowcliffe_et_al_2014: "Rowcliffe, J. M., Kays, R., Kranstauber, B., Carbone, C., Jansen, P. A., &amp; Fisher, D. (2014). Quantifying levels of animal activity using camera trap data. *Methods in Ecology and Evolution, 5*(11), 1170-1179. &lt;https://doi.org/10.1111/2041-210x.12278&gt;"</v>
      </c>
      <c r="V379" s="64"/>
    </row>
    <row r="380" spans="1:22" ht="15.75">
      <c r="A380" s="64"/>
      <c r="B380" s="77"/>
      <c r="C380" s="77"/>
      <c r="D380" s="77"/>
      <c r="E380" s="64" t="s">
        <v>1904</v>
      </c>
      <c r="F380" s="64" t="s">
        <v>2435</v>
      </c>
      <c r="G380" s="64" t="s">
        <v>2434</v>
      </c>
      <c r="H380" s="64" t="s">
        <v>2434</v>
      </c>
      <c r="I380" s="64" t="b">
        <v>1</v>
      </c>
      <c r="J380" s="66" t="s">
        <v>2433</v>
      </c>
      <c r="K380" s="66" t="s">
        <v>3960</v>
      </c>
      <c r="L380" s="64" t="s">
        <v>4179</v>
      </c>
      <c r="M380" s="64" t="s">
        <v>6015</v>
      </c>
      <c r="N380" s="65" t="str">
        <f t="shared" si="36"/>
        <v>[Rowcliffe, M. (2014). &lt;i&gt;Package 'activity': Animal Activity Statistics.&lt;/i&gt; R package version 1.3.4. &lt;a target="_blank" href="https://doi.org/10.32614/CRAN.package.activity"&gt;{https://doi.org/10.32614/CRAN.package.activity}]{#rowcliffe_2014}&lt;br&gt;&lt;br&gt;</v>
      </c>
      <c r="O380" s="64" t="s">
        <v>2432</v>
      </c>
      <c r="P380" s="64" t="s">
        <v>984</v>
      </c>
      <c r="Q380" s="64" t="str">
        <f t="shared" si="32"/>
        <v>{{ rtxt_rowcliffe_2014 }}</v>
      </c>
      <c r="R380" s="64" t="str">
        <f t="shared" si="33"/>
        <v>{{ rbib_rowcliffe_2014 }}</v>
      </c>
      <c r="S380" s="63" t="str">
        <f t="shared" si="37"/>
        <v>Rowcliffe, M. (2014). &lt;i&gt;Package 'activity': Animal Activity Statistics.&lt;/i&gt; R package version 1.3.4. &lt;a href="https://doi.org/10.32614/CRAN.package.activity" target="_blank"&gt;https://doi.org/10.32614/CRAN.package.activity&lt;/a&gt;&lt;span style="color:white"&gt;[.]{#rowcliffe_2014}&lt;/span&gt;&lt;br&gt;&lt;br&gt;</v>
      </c>
      <c r="T380" s="64" t="str">
        <f t="shared" si="35"/>
        <v xml:space="preserve">    rtxt_rowcliffe_2014: "&lt;a href=\"/08_references.html#rowcliffe_2014\" target=\"_blank\"&gt;Rowcliffe, 2014&lt;/a&gt;"</v>
      </c>
      <c r="U380" s="64" t="str">
        <f t="shared" si="34"/>
        <v xml:space="preserve">    rbib_rowcliffe_2014: "Rowcliffe, M. (2014). *Package 'activity': Animal Activity Statistics.* R package version 1.3.4. &lt;https://doi.org/10.32614/CRAN.package.activity&gt;"</v>
      </c>
      <c r="V380" s="64"/>
    </row>
    <row r="381" spans="1:22" ht="15.75">
      <c r="A381" s="64"/>
      <c r="B381" s="77"/>
      <c r="C381" s="77"/>
      <c r="D381" s="77"/>
      <c r="E381" s="64" t="s">
        <v>2246</v>
      </c>
      <c r="F381" s="65" t="s">
        <v>2431</v>
      </c>
      <c r="G381" s="64" t="s">
        <v>2430</v>
      </c>
      <c r="H381" s="64" t="s">
        <v>2430</v>
      </c>
      <c r="I381" s="64" t="b">
        <v>1</v>
      </c>
      <c r="J381" s="66" t="s">
        <v>2429</v>
      </c>
      <c r="K381" s="66" t="s">
        <v>3960</v>
      </c>
      <c r="L381" s="64" t="s">
        <v>4180</v>
      </c>
      <c r="M381" s="64" t="s">
        <v>5706</v>
      </c>
      <c r="N381" s="65" t="str">
        <f t="shared" si="36"/>
        <v>[Rowcliffe, M. (2023). &lt;i&gt;Package ‘activity. &lt;/i&gt; R package version 1.3.4. &lt;a target="_blank" href="https://cran.r-project.org/web/packages/activity/index.html"&gt;{https://cran.r-project.org/web/packages/activity/index.html}]{#rowcliffe_2023}&lt;br&gt;&lt;br&gt;</v>
      </c>
      <c r="O381" s="64" t="s">
        <v>2428</v>
      </c>
      <c r="P381" s="64" t="s">
        <v>984</v>
      </c>
      <c r="Q381" s="64" t="str">
        <f t="shared" si="32"/>
        <v>{{ rtxt_rowcliffe_2023 }}</v>
      </c>
      <c r="R381" s="64" t="str">
        <f t="shared" si="33"/>
        <v>{{ rbib_rowcliffe_2023 }}</v>
      </c>
      <c r="S381" s="63" t="str">
        <f t="shared" si="37"/>
        <v>Rowcliffe, M. (2023). &lt;i&gt;Package ‘activity. &lt;/i&gt; R package version 1.3.4. &lt;a href="https://cran.r-project.org/web/packages/activity/index.html" target="_blank"&gt;https://cran.r-project.org/web/packages/activity/index.html&lt;/a&gt;&lt;span style="color:white"&gt;[.]{#rowcliffe_2023}&lt;/span&gt;&lt;br&gt;&lt;br&gt;</v>
      </c>
      <c r="T381" s="64" t="str">
        <f t="shared" si="35"/>
        <v xml:space="preserve">    rtxt_rowcliffe_2023: "&lt;a href=\"/08_references.html#rowcliffe_2023\" target=\"_blank\"&gt;Rowcliffe, 2023&lt;/a&gt;"</v>
      </c>
      <c r="U381" s="64" t="str">
        <f t="shared" si="34"/>
        <v xml:space="preserve">    rbib_rowcliffe_2023: "Rowcliffe, M. (2023). *Package ‘activity. * R package version 1.3.4. &lt;https://cran.r-project.org/web/packages/activity/index.html&gt;"</v>
      </c>
      <c r="V381" s="64"/>
    </row>
    <row r="382" spans="1:22" ht="15.75">
      <c r="A382" s="64"/>
      <c r="B382" s="77" t="b">
        <v>1</v>
      </c>
      <c r="C382" s="77" t="b">
        <v>0</v>
      </c>
      <c r="D382" s="77" t="b">
        <v>0</v>
      </c>
      <c r="E382" s="64" t="s">
        <v>1904</v>
      </c>
      <c r="F382" s="64" t="s">
        <v>2419</v>
      </c>
      <c r="G382" s="64" t="s">
        <v>2418</v>
      </c>
      <c r="H382" s="64" t="s">
        <v>2418</v>
      </c>
      <c r="I382" s="64" t="b">
        <v>1</v>
      </c>
      <c r="J382" s="66" t="s">
        <v>2417</v>
      </c>
      <c r="K382" s="66" t="s">
        <v>3960</v>
      </c>
      <c r="L382" s="64" t="s">
        <v>4181</v>
      </c>
      <c r="M382" s="64" t="s">
        <v>5942</v>
      </c>
      <c r="N382" s="65" t="str">
        <f t="shared" si="36"/>
        <v>[Rowcliffe,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href="https://doi.org/10.1111/j.2041-210X.2011.00094.x"&gt;{https://doi.org/10.1111/j.2041-210X.2011.00094.x}]{#rowcliffe_et_al_2011}&lt;br&gt;&lt;br&gt;</v>
      </c>
      <c r="O382" s="64" t="s">
        <v>2416</v>
      </c>
      <c r="P382" s="64" t="s">
        <v>984</v>
      </c>
      <c r="Q382" s="64" t="str">
        <f t="shared" si="32"/>
        <v>{{ rtxt_rowcliffe_et_al_2011 }}</v>
      </c>
      <c r="R382" s="64" t="str">
        <f t="shared" si="33"/>
        <v>{{ rbib_rowcliffe_et_al_2011 }}</v>
      </c>
      <c r="S382" s="63" t="str">
        <f t="shared" si="37"/>
        <v>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target="_blank"&gt;https://doi.org/10.1111/j.2041-210X.2011.00094.x&lt;/a&gt;&lt;span style="color:white"&gt;[.]{#rowcliffe_et_al_2011}&lt;/span&gt;&lt;br&gt;&lt;br&gt;</v>
      </c>
      <c r="T382" s="64" t="str">
        <f t="shared" si="35"/>
        <v xml:space="preserve">    rtxt_rowcliffe_et_al_2011: "&lt;a href=\"/08_references.html#rowcliffe_et_al_2011\" target=\"_blank\"&gt;Rowcliffe et al., 2011&lt;/a&gt;"</v>
      </c>
      <c r="U382" s="64" t="str">
        <f t="shared" si="34"/>
        <v xml:space="preserve">    rbib_rowcliffe_et_al_2011: "Rowcliffe, M. J., Carbone, C., Jansen, P. A., Kays, R., &amp; Kranstauber, B. (2011). Quantifying the sensitivity of camera traps: an adapted distance sampling approach. *Methods in Ecology and Evolution, 2*(5), 464-476. &lt;https://doi.org/10.1111/j.2041-210X.2011.00094.x&gt;"</v>
      </c>
      <c r="V382" s="64"/>
    </row>
    <row r="383" spans="1:22" ht="15.75">
      <c r="A383" s="64"/>
      <c r="B383" s="77"/>
      <c r="C383" s="77"/>
      <c r="D383" s="77"/>
      <c r="E383" s="64" t="s">
        <v>1945</v>
      </c>
      <c r="F383" s="65" t="s">
        <v>2399</v>
      </c>
      <c r="G383" s="64" t="s">
        <v>2398</v>
      </c>
      <c r="H383" s="64" t="s">
        <v>2397</v>
      </c>
      <c r="I383" s="64" t="b">
        <v>1</v>
      </c>
      <c r="J383" s="66" t="s">
        <v>2396</v>
      </c>
      <c r="K383" s="66" t="s">
        <v>3960</v>
      </c>
      <c r="L383" s="64" t="s">
        <v>4182</v>
      </c>
      <c r="M383" s="64" t="s">
        <v>6138</v>
      </c>
      <c r="N383" s="65" t="str">
        <f t="shared" si="36"/>
        <v>[Royle, A. J. (2016, Oct 17). &lt;i&gt;'Spatial Capture-Recapture Modelling.’ CompSustNet.&lt;/i&gt; [Video]. YouTube. &lt;a target="_blank" href="https://www.youtube.com/watch?v=4HKFimATq9E"&gt;{https://www.youtube.com/watch?v=4HKFimATq9E}]{#royle_2016}&lt;br&gt;&lt;br&gt;</v>
      </c>
      <c r="O383" s="64" t="s">
        <v>2394</v>
      </c>
      <c r="P383" s="64" t="s">
        <v>2395</v>
      </c>
      <c r="Q383" s="64" t="str">
        <f t="shared" si="32"/>
        <v>{{ rtxt_royle_2016 }}</v>
      </c>
      <c r="R383" s="64" t="str">
        <f t="shared" si="33"/>
        <v>{{ rbib_royle_2016 }}</v>
      </c>
      <c r="S383" s="63" t="str">
        <f t="shared" si="37"/>
        <v>Royle, A. J. (2016, Oct 17). &lt;i&gt;'Spatial Capture-Recapture Modelling.’ CompSustNet.&lt;/i&gt; [Video]. YouTube. &lt;a href="https://www.youtube.com/watch?v=4HKFimATq9E" target="_blank"&gt;https://www.youtube.com/watch?v=4HKFimATq9E&lt;/a&gt;&lt;span style="color:white"&gt;[.]{#royle_2016}&lt;/span&gt;&lt;br&gt;&lt;br&gt;</v>
      </c>
      <c r="T383" s="64" t="str">
        <f t="shared" si="35"/>
        <v xml:space="preserve">    rtxt_royle_2016: "&lt;a href=\"/08_references.html#royle_2016\" target=\"_blank\"&gt;Royle, 2016&lt;/a&gt;"</v>
      </c>
      <c r="U383" s="64" t="str">
        <f t="shared" si="34"/>
        <v xml:space="preserve">    rbib_royle_2016: "Royle, A. J. (2016, Oct 17). *'Spatial Capture-Recapture Modelling.’ CompSustNet* [Video]. YouTube. &lt;https://www.youtube.com/watch?v=4HKFimATq9E&gt;"</v>
      </c>
      <c r="V383" s="64"/>
    </row>
    <row r="384" spans="1:22" ht="15.75">
      <c r="A384" s="64"/>
      <c r="B384" s="77"/>
      <c r="C384" s="77"/>
      <c r="D384" s="77"/>
      <c r="E384" s="64" t="s">
        <v>1945</v>
      </c>
      <c r="F384" s="64" t="s">
        <v>2393</v>
      </c>
      <c r="G384" s="64" t="s">
        <v>2392</v>
      </c>
      <c r="H384" s="64"/>
      <c r="I384" s="64" t="b">
        <v>1</v>
      </c>
      <c r="J384" s="66" t="s">
        <v>2391</v>
      </c>
      <c r="K384" s="66" t="s">
        <v>3960</v>
      </c>
      <c r="L384" s="64" t="s">
        <v>4183</v>
      </c>
      <c r="M384" s="64" t="s">
        <v>6168</v>
      </c>
      <c r="N384" s="65" t="str">
        <f t="shared" si="36"/>
        <v>[Royle, A. J. (2020, Oct 26) &lt;i&gt;Introduction to Spatial Capture-Recapture. oSCR Package.&lt;/i&gt; [Video]. YouTube. &lt;a target="_blank" href="https://www.youtube.com/watch?v=yRRDi07FtPg"&gt;{https://www.youtube.com/watch?v=yRRDi07FtPg}]{#royle_2020}&lt;br&gt;&lt;br&gt;</v>
      </c>
      <c r="O384" s="64" t="s">
        <v>2389</v>
      </c>
      <c r="P384" s="65" t="s">
        <v>2390</v>
      </c>
      <c r="Q384" s="64" t="str">
        <f t="shared" si="32"/>
        <v>{{ rtxt_royle_2020 }}</v>
      </c>
      <c r="R384" s="64" t="str">
        <f t="shared" si="33"/>
        <v>{{ rbib_royle_2020 }}</v>
      </c>
      <c r="S384" s="63" t="str">
        <f t="shared" si="37"/>
        <v>Royle, A. J. (2020, Oct 26) &lt;i&gt;Introduction to Spatial Capture-Recapture. oSCR Package.&lt;/i&gt; [Video]. YouTube. &lt;a href="https://www.youtube.com/watch?v=yRRDi07FtPg" target="_blank"&gt;https://www.youtube.com/watch?v=yRRDi07FtPg&lt;/a&gt;&lt;span style="color:white"&gt;[.]{#royle_2020}&lt;/span&gt;&lt;br&gt;&lt;br&gt;</v>
      </c>
      <c r="T384" s="64" t="str">
        <f t="shared" si="35"/>
        <v xml:space="preserve">    rtxt_royle_2020: "&lt;a href=\"/08_references.html#royle_2020\" target=\"_blank\"&gt;Royle, 2020&lt;/a&gt;"</v>
      </c>
      <c r="U384" s="64" t="str">
        <f t="shared" si="34"/>
        <v xml:space="preserve">    rbib_royle_2020: "Royle, A. J. (2020, Oct 26) *Introduction to Spatial Capture-Recapture. oSCR Package*, [Video]. YouTube. &lt;https://www.youtube.com/watch?v=yRRDi07FtPg&gt;"</v>
      </c>
      <c r="V384" s="64"/>
    </row>
    <row r="385" spans="1:22" ht="15.75">
      <c r="A385" s="64"/>
      <c r="B385" s="77" t="b">
        <v>1</v>
      </c>
      <c r="C385" s="77" t="b">
        <v>0</v>
      </c>
      <c r="D385" s="77" t="b">
        <v>0</v>
      </c>
      <c r="E385" s="64" t="s">
        <v>1904</v>
      </c>
      <c r="F385" s="64" t="s">
        <v>2403</v>
      </c>
      <c r="G385" s="64" t="s">
        <v>2402</v>
      </c>
      <c r="H385" s="64" t="s">
        <v>2402</v>
      </c>
      <c r="I385" s="64" t="b">
        <v>1</v>
      </c>
      <c r="J385" s="66" t="s">
        <v>2401</v>
      </c>
      <c r="K385" s="66" t="s">
        <v>3960</v>
      </c>
      <c r="L385" s="64" t="s">
        <v>4184</v>
      </c>
      <c r="M385" s="64" t="s">
        <v>6104</v>
      </c>
      <c r="N385" s="65" t="str">
        <f t="shared" si="36"/>
        <v>[Royle, J. A. (2004). N-mixture Models for estimating population size from spatially Repeated Counts. &lt;i&gt;International Biometric Society, 60&lt;/i&gt;(1), 108-115. &lt;a target="_blank" href="https://www.jstor.org/stable/3695558"&gt;{https://www.jstor.org/stable/3695558}]{#royle_2004}&lt;br&gt;&lt;br&gt;</v>
      </c>
      <c r="O385" s="64" t="s">
        <v>2400</v>
      </c>
      <c r="P385" s="64" t="s">
        <v>984</v>
      </c>
      <c r="Q385" s="64" t="str">
        <f t="shared" si="32"/>
        <v>{{ rtxt_royle_2004 }}</v>
      </c>
      <c r="R385" s="64" t="str">
        <f t="shared" si="33"/>
        <v>{{ rbib_royle_2004 }}</v>
      </c>
      <c r="S385" s="63" t="str">
        <f t="shared" si="37"/>
        <v>Royle, J. A. (2004). N-mixture Models for estimating population size from spatially Repeated Counts. &lt;i&gt;International Biometric Society, 60&lt;/i&gt;(1), 108-115. &lt;a href="https://www.jstor.org/stable/3695558" target="_blank"&gt;https://www.jstor.org/stable/3695558&lt;/a&gt;&lt;span style="color:white"&gt;[.]{#royle_2004}&lt;/span&gt;&lt;br&gt;&lt;br&gt;</v>
      </c>
      <c r="T385" s="64" t="str">
        <f t="shared" si="35"/>
        <v xml:space="preserve">    rtxt_royle_2004: "&lt;a href=\"/08_references.html#royle_2004\" target=\"_blank\"&gt;Royle, 2004&lt;/a&gt;"</v>
      </c>
      <c r="U385" s="64" t="str">
        <f t="shared" si="34"/>
        <v xml:space="preserve">    rbib_royle_2004: "Royle, J. A. (2004). N-mixture Models for estimating population size from spatially Repeated Counts. *International Biometric Society, 60*(1), 108-115. &lt;https://www.jstor.org/stable/3695558&gt;"</v>
      </c>
      <c r="V385" s="64"/>
    </row>
    <row r="386" spans="1:22" ht="15.75">
      <c r="A386" s="64"/>
      <c r="B386" s="77"/>
      <c r="C386" s="77"/>
      <c r="D386" s="77"/>
      <c r="E386" s="64" t="s">
        <v>1939</v>
      </c>
      <c r="F386" s="64" t="s">
        <v>2388</v>
      </c>
      <c r="G386" s="64" t="s">
        <v>2387</v>
      </c>
      <c r="H386" s="64" t="s">
        <v>2387</v>
      </c>
      <c r="I386" s="64" t="b">
        <v>1</v>
      </c>
      <c r="J386" s="66" t="s">
        <v>2386</v>
      </c>
      <c r="K386" s="66" t="s">
        <v>3960</v>
      </c>
      <c r="L386" s="64" t="s">
        <v>4185</v>
      </c>
      <c r="M386" s="64" t="s">
        <v>5810</v>
      </c>
      <c r="N386" s="65" t="str">
        <f t="shared" si="36"/>
        <v>[Royle,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href="https://doi.org/10.1016/B978-0-12-374097-7.50001-5"&gt;{https://doi.org/10.1016/B978-0-12-374097-7.50001-5}]{#royle_dorazio_2008}&lt;br&gt;&lt;br&gt;</v>
      </c>
      <c r="O386" s="64" t="s">
        <v>2385</v>
      </c>
      <c r="P386" s="64" t="s">
        <v>984</v>
      </c>
      <c r="Q386" s="64" t="str">
        <f t="shared" ref="Q386:Q449" si="38">"{{ rtxt_"&amp;F386&amp;" }}"</f>
        <v>{{ rtxt_royle_dorazio_2008 }}</v>
      </c>
      <c r="R386" s="64" t="str">
        <f t="shared" ref="R386:R449" si="39">"{{ rbib_"&amp;F386&amp;" }}"</f>
        <v>{{ rbib_royle_dorazio_2008 }}</v>
      </c>
      <c r="S386" s="63" t="str">
        <f t="shared" si="37"/>
        <v>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target="_blank"&gt;https://doi.org/10.1016/B978-0-12-374097-7.50001-5&lt;/a&gt;&lt;span style="color:white"&gt;[.]{#royle_dorazio_2008}&lt;/span&gt;&lt;br&gt;&lt;br&gt;</v>
      </c>
      <c r="T386" s="64" t="str">
        <f t="shared" si="35"/>
        <v xml:space="preserve">    rtxt_royle_dorazio_2008: "&lt;a href=\"/08_references.html#royle_dorazio_2008\" target=\"_blank\"&gt;Royle &amp; Dorazio, 2008&lt;/a&gt;"</v>
      </c>
      <c r="U386" s="64" t="str">
        <f t="shared" ref="U386:U449" si="40">"    rbib_"&amp;F386&amp;": "&amp;""""&amp;J386&amp;""""</f>
        <v xml:space="preserve">    rbib_royle_dorazio_2008: "Royle, J. A., &amp; Dorazio, R. M. (2008). *Hierarchical Modeling and Inference in Ecology: The Analysis of Data from Populations, Metapopulations and Communities.* 1st ed. Academic Press, Amsterdam; Boston. &lt;https://doi.org/10.1016/B978-0-12-374097-7.50001-5&gt;"</v>
      </c>
      <c r="V386" s="64"/>
    </row>
    <row r="387" spans="1:22" ht="15.75">
      <c r="A387" s="64"/>
      <c r="B387" s="77"/>
      <c r="C387" s="77"/>
      <c r="D387" s="77"/>
      <c r="E387" s="64" t="s">
        <v>1904</v>
      </c>
      <c r="F387" s="64" t="s">
        <v>2384</v>
      </c>
      <c r="G387" s="64" t="s">
        <v>2383</v>
      </c>
      <c r="H387" s="64" t="s">
        <v>2383</v>
      </c>
      <c r="I387" s="64" t="b">
        <v>1</v>
      </c>
      <c r="J387" s="66" t="s">
        <v>2382</v>
      </c>
      <c r="K387" s="66" t="s">
        <v>3960</v>
      </c>
      <c r="L387" s="64" t="s">
        <v>4186</v>
      </c>
      <c r="M387" s="64" t="s">
        <v>5793</v>
      </c>
      <c r="N387" s="65" t="str">
        <f t="shared" si="36"/>
        <v>[Royle, J. A., &amp; Dorazio, R. M. (2012). Parameter-expanded data augmentation for Bayesian analysis of capture-recapture models. &lt;i&gt;Journal of Ornithology, 152&lt;/i&gt;(S2), 521-537. &lt;a target="_blank" href="https://doi.org/10.1007/s10336-010-0619-4"&gt;{https://doi.org/10.1007/s10336-010-0619-4}]{#royle_dorazio_2012}&lt;br&gt;&lt;br&gt;</v>
      </c>
      <c r="O387" s="64" t="s">
        <v>2381</v>
      </c>
      <c r="P387" s="64" t="s">
        <v>984</v>
      </c>
      <c r="Q387" s="64" t="str">
        <f t="shared" si="38"/>
        <v>{{ rtxt_royle_dorazio_2012 }}</v>
      </c>
      <c r="R387" s="64" t="str">
        <f t="shared" si="39"/>
        <v>{{ rbib_royle_dorazio_2012 }}</v>
      </c>
      <c r="S387" s="63" t="str">
        <f t="shared" si="37"/>
        <v>Royle, J. A., &amp; Dorazio, R. M. (2012). Parameter-expanded data augmentation for Bayesian analysis of capture-recapture models. &lt;i&gt;Journal of Ornithology, 152&lt;/i&gt;(S2), 521-537. &lt;a href="https://doi.org/10.1007/s10336-010-0619-4" target="_blank"&gt;https://doi.org/10.1007/s10336-010-0619-4&lt;/a&gt;&lt;span style="color:white"&gt;[.]{#royle_dorazio_2012}&lt;/span&gt;&lt;br&gt;&lt;br&gt;</v>
      </c>
      <c r="T387" s="64" t="str">
        <f t="shared" ref="T387:T450" si="41">"    rtxt_"&amp;F387&amp;": "&amp;""""&amp;"&lt;a href=\"&amp;""""&amp;"/08_references.html#"&amp;F387&amp;"\"&amp;""""&amp;" target=\"&amp;""""&amp;"_blank\"&amp;""""&amp;"&gt;"&amp;G387&amp;"&lt;/a&gt;"&amp;""""</f>
        <v xml:space="preserve">    rtxt_royle_dorazio_2012: "&lt;a href=\"/08_references.html#royle_dorazio_2012\" target=\"_blank\"&gt;Royle &amp; Dorazio, 2012&lt;/a&gt;"</v>
      </c>
      <c r="U387" s="64" t="str">
        <f t="shared" si="40"/>
        <v xml:space="preserve">    rbib_royle_dorazio_2012: "Royle, J. A., &amp; Dorazio, R. M. (2012). Parameter-expanded data augmentation for Bayesian analysis of capture-recapture models. *Journal of Ornithology, 152*(S2), 521-537. &lt;https://doi.org/10.1007/s10336-010-0619-4&gt;"</v>
      </c>
      <c r="V387" s="64"/>
    </row>
    <row r="388" spans="1:22" ht="15.75">
      <c r="A388" s="64"/>
      <c r="B388" s="77" t="b">
        <v>1</v>
      </c>
      <c r="C388" s="77" t="b">
        <v>0</v>
      </c>
      <c r="D388" s="77" t="b">
        <v>0</v>
      </c>
      <c r="E388" s="64" t="s">
        <v>1904</v>
      </c>
      <c r="F388" s="64" t="s">
        <v>2367</v>
      </c>
      <c r="G388" s="64" t="s">
        <v>2366</v>
      </c>
      <c r="H388" s="64" t="s">
        <v>2366</v>
      </c>
      <c r="I388" s="64" t="b">
        <v>1</v>
      </c>
      <c r="J388" s="66" t="s">
        <v>2365</v>
      </c>
      <c r="K388" s="66" t="s">
        <v>3960</v>
      </c>
      <c r="L388" s="64" t="s">
        <v>4187</v>
      </c>
      <c r="M388" s="64" t="s">
        <v>5988</v>
      </c>
      <c r="N388" s="65" t="str">
        <f t="shared" si="36"/>
        <v>[Royle, J. A., &amp; Nichols, J. D. (2003). Estimating abundance from repeated presence-absence data or point counts. &lt;i&gt;Ecology, 84&lt;/i&gt;, 777-790. &lt;a target="_blank" href="https://doi.org/10.1890/0012-9658(2003)084[0777:EAFRPA]2.0.CO;2"&gt;{https://doi.org/10.1890/0012-9658(2003)084[0777:EAFRPA]2.0.CO;2}]{#royle_nichols_2003}&lt;br&gt;&lt;br&gt;</v>
      </c>
      <c r="O388" s="64" t="s">
        <v>2364</v>
      </c>
      <c r="P388" s="64" t="s">
        <v>984</v>
      </c>
      <c r="Q388" s="64" t="str">
        <f t="shared" si="38"/>
        <v>{{ rtxt_royle_nichols_2003 }}</v>
      </c>
      <c r="R388" s="64" t="str">
        <f t="shared" si="39"/>
        <v>{{ rbib_royle_nichols_2003 }}</v>
      </c>
      <c r="S388" s="63" t="str">
        <f t="shared" si="37"/>
        <v>Royle, J. A., &amp; Nichols, J. D. (2003). Estimating abundance from repeated presence-absence data or point counts. &lt;i&gt;Ecology, 84&lt;/i&gt;, 777-790. &lt;a href="https://doi.org/10.1890/0012-9658(2003)084[0777:EAFRPA]2.0.CO;2" target="_blank"&gt;https://doi.org/10.1890/0012-9658(2003)084[0777:EAFRPA]2.0.CO;2&lt;/a&gt;&lt;span style="color:white"&gt;[.]{#royle_nichols_2003}&lt;/span&gt;&lt;br&gt;&lt;br&gt;</v>
      </c>
      <c r="T388" s="64" t="str">
        <f t="shared" si="41"/>
        <v xml:space="preserve">    rtxt_royle_nichols_2003: "&lt;a href=\"/08_references.html#royle_nichols_2003\" target=\"_blank\"&gt;Royle &amp; Nichols, 2003&lt;/a&gt;"</v>
      </c>
      <c r="U388" s="64" t="str">
        <f t="shared" si="40"/>
        <v xml:space="preserve">    rbib_royle_nichols_2003: "Royle, J. A., &amp; Nichols, J. D. (2003). Estimating abundance from repeated presence-absence data or point counts. *Ecology, 84*, 777-790. &lt;https://doi.org/10.1890/0012-9658(2003)084[0777:EAFRPA]2.0.CO;2&gt;"</v>
      </c>
      <c r="V388" s="64"/>
    </row>
    <row r="389" spans="1:22" ht="15.75">
      <c r="A389" s="64"/>
      <c r="B389" s="77" t="b">
        <v>1</v>
      </c>
      <c r="C389" s="77" t="b">
        <v>1</v>
      </c>
      <c r="D389" s="77" t="b">
        <v>0</v>
      </c>
      <c r="E389" s="64" t="s">
        <v>1904</v>
      </c>
      <c r="F389" s="64" t="s">
        <v>2363</v>
      </c>
      <c r="G389" s="64" t="s">
        <v>2362</v>
      </c>
      <c r="H389" s="64" t="s">
        <v>2362</v>
      </c>
      <c r="I389" s="64" t="b">
        <v>1</v>
      </c>
      <c r="J389" s="66" t="s">
        <v>2361</v>
      </c>
      <c r="K389" s="66" t="s">
        <v>3960</v>
      </c>
      <c r="L389" s="64" t="s">
        <v>4188</v>
      </c>
      <c r="M389" s="64" t="s">
        <v>5992</v>
      </c>
      <c r="N389" s="65" t="str">
        <f t="shared" ref="N389:N452" si="42">"["&amp;L389&amp;"]{#"&amp;F389&amp;"}&lt;br&gt;&lt;br&gt;"</f>
        <v>[Royle, J. A., &amp; Young, K. V. (2008). A hierarchical model for spatial capture-recapture data. &lt;i&gt;Ecology, 89&lt;/i&gt;(8), 2281-2289. &lt;a target="_blank" href="https://doi.org/10.1890/07-0601.1"&gt;{https://doi.org/10.1890/07-0601.1}]{#royle_young_2008}&lt;br&gt;&lt;br&gt;</v>
      </c>
      <c r="O389" s="64" t="s">
        <v>2360</v>
      </c>
      <c r="P389" s="64" t="s">
        <v>984</v>
      </c>
      <c r="Q389" s="64" t="str">
        <f t="shared" si="38"/>
        <v>{{ rtxt_royle_young_2008 }}</v>
      </c>
      <c r="R389" s="64" t="str">
        <f t="shared" si="39"/>
        <v>{{ rbib_royle_young_2008 }}</v>
      </c>
      <c r="S389" s="63" t="str">
        <f t="shared" si="37"/>
        <v>Royle, J. A., &amp; Young, K. V. (2008). A hierarchical model for spatial capture-recapture data. &lt;i&gt;Ecology, 89&lt;/i&gt;(8), 2281-2289. &lt;a href="https://doi.org/10.1890/07-0601.1" target="_blank"&gt;https://doi.org/10.1890/07-0601.1&lt;/a&gt;&lt;span style="color:white"&gt;[.]{#royle_young_2008}&lt;/span&gt;&lt;br&gt;&lt;br&gt;</v>
      </c>
      <c r="T389" s="64" t="str">
        <f t="shared" si="41"/>
        <v xml:space="preserve">    rtxt_royle_young_2008: "&lt;a href=\"/08_references.html#royle_young_2008\" target=\"_blank\"&gt;Royle &amp; Young, 2008&lt;/a&gt;"</v>
      </c>
      <c r="U389" s="64" t="str">
        <f t="shared" si="40"/>
        <v xml:space="preserve">    rbib_royle_young_2008: "Royle, J. A., &amp; Young, K. V. (2008). A hierarchical model for spatial capture-recapture data. *Ecology, 89*(8), 2281-2289. &lt;https://doi.org/10.1890/07-0601.1&gt;"</v>
      </c>
      <c r="V389" s="64"/>
    </row>
    <row r="390" spans="1:22" ht="15.75">
      <c r="A390" s="64"/>
      <c r="B390" s="77" t="b">
        <v>1</v>
      </c>
      <c r="C390" s="77" t="b">
        <v>0</v>
      </c>
      <c r="D390" s="77" t="b">
        <v>0</v>
      </c>
      <c r="E390" s="64" t="s">
        <v>1904</v>
      </c>
      <c r="F390" s="64" t="s">
        <v>2372</v>
      </c>
      <c r="G390" s="64" t="s">
        <v>2371</v>
      </c>
      <c r="H390" s="64" t="s">
        <v>2370</v>
      </c>
      <c r="I390" s="64" t="b">
        <v>1</v>
      </c>
      <c r="J390" s="66" t="s">
        <v>2369</v>
      </c>
      <c r="K390" s="66" t="s">
        <v>3960</v>
      </c>
      <c r="L390" s="64" t="s">
        <v>4189</v>
      </c>
      <c r="M390" s="64" t="s">
        <v>5888</v>
      </c>
      <c r="N390" s="65" t="str">
        <f t="shared" si="42"/>
        <v>[Royle, J. A., Converse, S. J., &amp; Freckleton, R. (2014). Hierarchical spatial capture-recapture models: modelling population Density in stratified populations. &lt;i&gt;Methods in Ecology and Evolution, 5&lt;/i&gt;(1), 37-43. &lt;a target="_blank" href="https://doi.org/10.1111/2041-210x.12135"&gt;{https://doi.org/10.1111/2041-210x.12135}]{#royle_et_al_2014}&lt;br&gt;&lt;br&gt;</v>
      </c>
      <c r="O390" s="64" t="s">
        <v>2368</v>
      </c>
      <c r="P390" s="64" t="s">
        <v>984</v>
      </c>
      <c r="Q390" s="64" t="str">
        <f t="shared" si="38"/>
        <v>{{ rtxt_royle_et_al_2014 }}</v>
      </c>
      <c r="R390" s="64" t="str">
        <f t="shared" si="39"/>
        <v>{{ rbib_royle_et_al_2014 }}</v>
      </c>
      <c r="S390" s="63" t="str">
        <f t="shared" si="37"/>
        <v>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target="_blank"&gt;https://doi.org/10.1111/2041-210x.12135&lt;/a&gt;&lt;span style="color:white"&gt;[.]{#royle_et_al_2014}&lt;/span&gt;&lt;br&gt;&lt;br&gt;</v>
      </c>
      <c r="T390" s="64" t="str">
        <f t="shared" si="41"/>
        <v xml:space="preserve">    rtxt_royle_et_al_2014: "&lt;a href=\"/08_references.html#royle_et_al_2014\" target=\"_blank\"&gt;Royle et al., 2014&lt;/a&gt;"</v>
      </c>
      <c r="U390" s="64" t="str">
        <f t="shared" si="40"/>
        <v xml:space="preserve">    rbib_royle_et_al_2014: "Royle, J. A., Converse, S. J., &amp; Freckleton, R. (2014). Hierarchical spatial capture-recapture models: modelling population Density in stratified populations. *Methods in Ecology and Evolution, 5*(1), 37-43. &lt;https://doi.org/10.1111/2041-210x.12135&gt;"</v>
      </c>
      <c r="V390" s="64"/>
    </row>
    <row r="391" spans="1:22" ht="15.75">
      <c r="A391" s="64"/>
      <c r="B391" s="77" t="b">
        <v>1</v>
      </c>
      <c r="C391" s="77" t="b">
        <v>0</v>
      </c>
      <c r="D391" s="77" t="b">
        <v>0</v>
      </c>
      <c r="E391" s="64" t="s">
        <v>1904</v>
      </c>
      <c r="F391" s="64" t="s">
        <v>2380</v>
      </c>
      <c r="G391" s="64" t="s">
        <v>2379</v>
      </c>
      <c r="H391" s="64" t="s">
        <v>2379</v>
      </c>
      <c r="I391" s="64" t="b">
        <v>1</v>
      </c>
      <c r="J391" s="66" t="s">
        <v>2378</v>
      </c>
      <c r="K391" s="66" t="s">
        <v>3960</v>
      </c>
      <c r="L391" s="64" t="s">
        <v>4190</v>
      </c>
      <c r="M391" s="64" t="s">
        <v>5924</v>
      </c>
      <c r="N391" s="65" t="str">
        <f t="shared" si="42"/>
        <v>[Royle, J. A., Nichols, J. D., Karanth, K. U., &amp; Gopalaswamy, A. M. (2009). A hierarchical model for estimating Density in camera-trap studies. &lt;i&gt;Journal of Applied Ecology, 46&lt;/i&gt;(1), 118-127. &lt;a target="_blank" href="https://doi.org/10.1111/j.1365-2664.2008.01578.x"&gt;{https://doi.org/10.1111/j.1365-2664.2008.01578.x}]{#royle_et_al_2009}&lt;br&gt;&lt;br&gt;</v>
      </c>
      <c r="O391" s="64" t="s">
        <v>2377</v>
      </c>
      <c r="P391" s="64" t="s">
        <v>984</v>
      </c>
      <c r="Q391" s="64" t="str">
        <f t="shared" si="38"/>
        <v>{{ rtxt_royle_et_al_2009 }}</v>
      </c>
      <c r="R391" s="64" t="str">
        <f t="shared" si="39"/>
        <v>{{ rbib_royle_et_al_2009 }}</v>
      </c>
      <c r="S391" s="63" t="str">
        <f t="shared" si="37"/>
        <v>Royle, J. A., Nichols, J. D., Karanth, K. U., &amp; Gopalaswamy, A. M. (2009). A hierarchical model for estimating Density in camera-trap studies. &lt;i&gt;Journal of Applied Ecology, 46&lt;/i&gt;(1), 118-127. &lt;a href="https://doi.org/10.1111/j.1365-2664.2008.01578.x" target="_blank"&gt;https://doi.org/10.1111/j.1365-2664.2008.01578.x&lt;/a&gt;&lt;span style="color:white"&gt;[.]{#royle_et_al_2009}&lt;/span&gt;&lt;br&gt;&lt;br&gt;</v>
      </c>
      <c r="T391" s="64" t="str">
        <f t="shared" si="41"/>
        <v xml:space="preserve">    rtxt_royle_et_al_2009: "&lt;a href=\"/08_references.html#royle_et_al_2009\" target=\"_blank\"&gt;Royle et al., 2009&lt;/a&gt;"</v>
      </c>
      <c r="U391" s="64" t="str">
        <f t="shared" si="40"/>
        <v xml:space="preserve">    rbib_royle_et_al_2009: "Royle, J. A., Nichols, J. D., Karanth, K. U., &amp; Gopalaswamy, A. M. (2009). A hierarchical model for estimating Density in camera-trap studies. *Journal of Applied Ecology, 46*(1), 118-127. &lt;https://doi.org/10.1111/j.1365-2664.2008.01578.x&gt;"</v>
      </c>
      <c r="V391" s="64"/>
    </row>
    <row r="392" spans="1:22" ht="15.75">
      <c r="A392" s="64"/>
      <c r="B392" s="77"/>
      <c r="C392" s="77"/>
      <c r="D392" s="77"/>
      <c r="E392" s="64" t="s">
        <v>1939</v>
      </c>
      <c r="F392" s="64" t="s">
        <v>2376</v>
      </c>
      <c r="G392" s="64" t="s">
        <v>2375</v>
      </c>
      <c r="H392" s="64" t="s">
        <v>2375</v>
      </c>
      <c r="I392" s="64" t="b">
        <v>1</v>
      </c>
      <c r="J392" s="66" t="s">
        <v>2374</v>
      </c>
      <c r="K392" s="66" t="s">
        <v>3960</v>
      </c>
      <c r="L392" s="64" t="s">
        <v>4191</v>
      </c>
      <c r="M392" s="64" t="s">
        <v>6076</v>
      </c>
      <c r="N392" s="65" t="str">
        <f t="shared" si="42"/>
        <v>[Royle, J. Chandler, R. B., Sollmann, R., Gardner, B. (2013). &lt;i&gt;Spatial capture-recapture&lt;/i&gt;. Academic Press, Waltham, MA, USA. 612 pp., ISBN: 978-0-12-405939-9. &lt;a target="_blank" href="https://pubs.usgs.gov/publication/70048654"&gt;{https://pubs.usgs.gov/publication/70048654}]{#royle_et_al_2013}&lt;br&gt;&lt;br&gt;</v>
      </c>
      <c r="O392" s="64" t="s">
        <v>2373</v>
      </c>
      <c r="P392" s="64" t="s">
        <v>984</v>
      </c>
      <c r="Q392" s="64" t="str">
        <f t="shared" si="38"/>
        <v>{{ rtxt_royle_et_al_2013 }}</v>
      </c>
      <c r="R392" s="64" t="str">
        <f t="shared" si="39"/>
        <v>{{ rbib_royle_et_al_2013 }}</v>
      </c>
      <c r="S392" s="63" t="str">
        <f t="shared" si="37"/>
        <v>Royle, J. Chandler, R. B., Sollmann, R., Gardner, B. (2013). &lt;i&gt;Spatial capture-recapture&lt;/i&gt;. Academic Press, Waltham, MA, USA. 612 pp., ISBN: 978-0-12-405939-9. &lt;a href="https://pubs.usgs.gov/publication/70048654" target="_blank"&gt;https://pubs.usgs.gov/publication/70048654&lt;/a&gt;&lt;span style="color:white"&gt;[.]{#royle_et_al_2013}&lt;/span&gt;&lt;br&gt;&lt;br&gt;</v>
      </c>
      <c r="T392" s="64" t="str">
        <f t="shared" si="41"/>
        <v xml:space="preserve">    rtxt_royle_et_al_2013: "&lt;a href=\"/08_references.html#royle_et_al_2013\" target=\"_blank\"&gt;Royle et al., 2013&lt;/a&gt;"</v>
      </c>
      <c r="U392" s="64" t="str">
        <f t="shared" si="40"/>
        <v xml:space="preserve">    rbib_royle_et_al_2013: "Royle, J. Chandler, R. B., Sollmann, R., Gardner, B. (2013). *Spatial capture-recapture*. Academic Press, Waltham, MA, USA. 612 pp., ISBN: 978-0-12-405939-9. &lt;https://pubs.usgs.gov/publication/70048654&gt;"</v>
      </c>
      <c r="V392" s="64"/>
    </row>
    <row r="393" spans="1:22" ht="15.75">
      <c r="A393" s="64"/>
      <c r="B393" s="77"/>
      <c r="C393" s="77"/>
      <c r="D393" s="77"/>
      <c r="E393" s="64" t="s">
        <v>1945</v>
      </c>
      <c r="F393" s="64" t="s">
        <v>2359</v>
      </c>
      <c r="G393" s="64" t="s">
        <v>2358</v>
      </c>
      <c r="H393" s="64" t="s">
        <v>2358</v>
      </c>
      <c r="I393" s="64" t="b">
        <v>1</v>
      </c>
      <c r="J393" s="66" t="s">
        <v>2357</v>
      </c>
      <c r="K393" s="66" t="s">
        <v>3960</v>
      </c>
      <c r="L393" s="64" t="s">
        <v>4192</v>
      </c>
      <c r="M393" s="64" t="s">
        <v>6143</v>
      </c>
      <c r="N393" s="65" t="str">
        <f t="shared" si="42"/>
        <v>[Russell, M. (2020, Nov 29). &lt;i&gt;Fitting Poisson and zero-inflated Poisson models.&lt;/i&gt; [Video]. YouTube. &lt;a target="_blank" href="https://www.youtube.com/watch?v=cD9V1ApYqCk"&gt;{https://www.youtube.com/watch?v=cD9V1ApYqCk}]{#russel_2020}&lt;br&gt;&lt;br&gt;</v>
      </c>
      <c r="O393" s="64" t="s">
        <v>2355</v>
      </c>
      <c r="P393" s="65" t="s">
        <v>2356</v>
      </c>
      <c r="Q393" s="64" t="str">
        <f t="shared" si="38"/>
        <v>{{ rtxt_russel_2020 }}</v>
      </c>
      <c r="R393" s="64" t="str">
        <f t="shared" si="39"/>
        <v>{{ rbib_russel_2020 }}</v>
      </c>
      <c r="S393" s="63" t="str">
        <f t="shared" si="37"/>
        <v>Russell, M. (2020, Nov 29). &lt;i&gt;Fitting Poisson and zero-inflated Poisson models.&lt;/i&gt; [Video]. YouTube. &lt;a href="https://www.youtube.com/watch?v=cD9V1ApYqCk" target="_blank"&gt;https://www.youtube.com/watch?v=cD9V1ApYqCk&lt;/a&gt;&lt;span style="color:white"&gt;[.]{#russel_2020}&lt;/span&gt;&lt;br&gt;&lt;br&gt;</v>
      </c>
      <c r="T393" s="64" t="str">
        <f t="shared" si="41"/>
        <v xml:space="preserve">    rtxt_russel_2020: "&lt;a href=\"/08_references.html#russel_2020\" target=\"_blank\"&gt;Russell, 2020&lt;/a&gt;"</v>
      </c>
      <c r="U393" s="64" t="str">
        <f t="shared" si="40"/>
        <v xml:space="preserve">    rbib_russel_2020: "Russell, M. (2020, Nov 29). *Fitting Poisson and zero-inflated Poisson models.* [Video]. YouTube. &lt;https://www.youtube.com/watch?v=cD9V1ApYqCk&gt;"</v>
      </c>
      <c r="V393" s="64"/>
    </row>
    <row r="394" spans="1:22" ht="15.75">
      <c r="A394" s="64"/>
      <c r="B394" s="77" t="b">
        <v>1</v>
      </c>
      <c r="C394" s="77" t="b">
        <v>1</v>
      </c>
      <c r="D394" s="77" t="b">
        <v>1</v>
      </c>
      <c r="E394" s="64" t="s">
        <v>1904</v>
      </c>
      <c r="F394" s="64" t="s">
        <v>2354</v>
      </c>
      <c r="G394" s="64" t="s">
        <v>2353</v>
      </c>
      <c r="H394" s="64" t="s">
        <v>2353</v>
      </c>
      <c r="I394" s="64" t="b">
        <v>1</v>
      </c>
      <c r="J394" s="66" t="s">
        <v>2352</v>
      </c>
      <c r="K394" s="66" t="s">
        <v>3960</v>
      </c>
      <c r="L394" s="64" t="s">
        <v>4193</v>
      </c>
      <c r="M394" s="64" t="s">
        <v>5828</v>
      </c>
      <c r="N394" s="65" t="str">
        <f t="shared" si="42"/>
        <v>[Samejima,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href="https://doi.org/10.1016/j.foreco.2012.01.013"&gt;{https://doi.org/10.1016/j.foreco.2012.01.013}]{#samejima_et_al_2012}&lt;br&gt;&lt;br&gt;</v>
      </c>
      <c r="O394" s="64" t="s">
        <v>2351</v>
      </c>
      <c r="P394" s="64" t="s">
        <v>984</v>
      </c>
      <c r="Q394" s="64" t="str">
        <f t="shared" si="38"/>
        <v>{{ rtxt_samejima_et_al_2012 }}</v>
      </c>
      <c r="R394" s="64" t="str">
        <f t="shared" si="39"/>
        <v>{{ rbib_samejima_et_al_2012 }}</v>
      </c>
      <c r="S394" s="63" t="str">
        <f t="shared" si="37"/>
        <v>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target="_blank"&gt;https://doi.org/10.1016/j.foreco.2012.01.013&lt;/a&gt;&lt;span style="color:white"&gt;[.]{#samejima_et_al_2012}&lt;/span&gt;&lt;br&gt;&lt;br&gt;</v>
      </c>
      <c r="T394" s="64" t="str">
        <f t="shared" si="41"/>
        <v xml:space="preserve">    rtxt_samejima_et_al_2012: "&lt;a href=\"/08_references.html#samejima_et_al_2012\" target=\"_blank\"&gt;Samejima et al., 2012&lt;/a&gt;"</v>
      </c>
      <c r="U394" s="64" t="str">
        <f t="shared" si="40"/>
        <v xml:space="preserve">    rbib_samejima_et_al_2012: "Samejima, H., Ong, R., Lagan, P. &amp; Kitayama, K. (2012). Camera-trapping rates of mammals and birds in a Bornean tropical rainforest under sustainable forest management. *Forest Ecology and Management, 270*, 248-256. &lt;https://doi.org/10.1016/j.foreco.2012.01.013&gt;"</v>
      </c>
      <c r="V394" s="64"/>
    </row>
    <row r="395" spans="1:22" ht="15.75">
      <c r="A395" s="64"/>
      <c r="B395" s="77" t="b">
        <v>0</v>
      </c>
      <c r="C395" s="77" t="b">
        <v>0</v>
      </c>
      <c r="D395" s="77" t="s">
        <v>1993</v>
      </c>
      <c r="E395" s="64" t="s">
        <v>1904</v>
      </c>
      <c r="F395" s="64" t="s">
        <v>2350</v>
      </c>
      <c r="G395" s="64" t="s">
        <v>2349</v>
      </c>
      <c r="H395" s="64" t="s">
        <v>2349</v>
      </c>
      <c r="I395" s="64" t="b">
        <v>1</v>
      </c>
      <c r="J395" s="66" t="s">
        <v>2348</v>
      </c>
      <c r="K395" s="66" t="s">
        <v>3960</v>
      </c>
      <c r="L395" s="64" t="s">
        <v>4194</v>
      </c>
      <c r="M395" s="64" t="s">
        <v>5816</v>
      </c>
      <c r="N395" s="65" t="str">
        <f t="shared" si="42"/>
        <v>[Santini,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href="https://doi.org/10.1016/j.baae.2022.03.007"&gt;{https://doi.org/10.1016/j.baae.2022.03.007}]{#santini_et_al_2020}&lt;br&gt;&lt;br&gt;</v>
      </c>
      <c r="O395" s="64" t="s">
        <v>2347</v>
      </c>
      <c r="P395" s="64" t="s">
        <v>984</v>
      </c>
      <c r="Q395" s="64" t="str">
        <f t="shared" si="38"/>
        <v>{{ rtxt_santini_et_al_2020 }}</v>
      </c>
      <c r="R395" s="64" t="str">
        <f t="shared" si="39"/>
        <v>{{ rbib_santini_et_al_2020 }}</v>
      </c>
      <c r="S395" s="63" t="str">
        <f t="shared" si="37"/>
        <v>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target="_blank"&gt;https://doi.org/10.1016/j.baae.2022.03.007&lt;/a&gt;&lt;span style="color:white"&gt;[.]{#santini_et_al_2020}&lt;/span&gt;&lt;br&gt;&lt;br&gt;</v>
      </c>
      <c r="T395" s="64" t="str">
        <f t="shared" si="41"/>
        <v xml:space="preserve">    rtxt_santini_et_al_2020: "&lt;a href=\"/08_references.html#santini_et_al_2020\" target=\"_blank\"&gt;Santini et al., 2020&lt;/a&gt;"</v>
      </c>
      <c r="U395" s="64" t="str">
        <f t="shared" si="40"/>
        <v xml:space="preserve">    rbib_santini_et_al_2020: "Santini, G., Abolaffio, M., Ossi, F., Franzetti, B., Cagnacci, F., &amp; Focardi, S. (2022) Population Assessment without Individual Identification Using Camera-Traps: A Comparison of Four Methods. *Basic and Applied Ecology, 61*, 68-81. &lt;https://doi.org/10.1016/j.baae.2022.03.007&gt;"</v>
      </c>
      <c r="V395" s="64"/>
    </row>
    <row r="396" spans="1:22" ht="15.75">
      <c r="A396" s="64"/>
      <c r="B396" s="78"/>
      <c r="C396" s="77"/>
      <c r="D396" s="78"/>
      <c r="E396" s="64" t="s">
        <v>1904</v>
      </c>
      <c r="F396" s="64" t="s">
        <v>2346</v>
      </c>
      <c r="G396" s="64" t="s">
        <v>2345</v>
      </c>
      <c r="H396" s="64" t="s">
        <v>2345</v>
      </c>
      <c r="I396" s="64" t="b">
        <v>1</v>
      </c>
      <c r="J396" s="66" t="s">
        <v>2344</v>
      </c>
      <c r="K396" s="66" t="s">
        <v>3960</v>
      </c>
      <c r="L396" s="64" t="s">
        <v>4195</v>
      </c>
      <c r="M396" s="64" t="s">
        <v>5758</v>
      </c>
      <c r="N396" s="65" t="str">
        <f t="shared" si="42"/>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href="https://doi.org/10.1002/rse2.153"&gt;{https://doi.org/10.1002/rse2.153}]{#schaus_et_al_2020}&lt;br&gt;&lt;br&gt;</v>
      </c>
      <c r="O396" s="64" t="s">
        <v>2343</v>
      </c>
      <c r="P396" s="64" t="s">
        <v>984</v>
      </c>
      <c r="Q396" s="64" t="str">
        <f t="shared" si="38"/>
        <v>{{ rtxt_schaus_et_al_2020 }}</v>
      </c>
      <c r="R396" s="64" t="str">
        <f t="shared" si="39"/>
        <v>{{ rbib_schaus_et_al_2020 }}</v>
      </c>
      <c r="S396" s="63" t="str">
        <f t="shared" si="37"/>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target="_blank"&gt;https://doi.org/10.1002/rse2.153&lt;/a&gt;&lt;span style="color:white"&gt;[.]{#schaus_et_al_2020}&lt;/span&gt;&lt;br&gt;&lt;br&gt;</v>
      </c>
      <c r="T396" s="64" t="str">
        <f t="shared" si="41"/>
        <v xml:space="preserve">    rtxt_schaus_et_al_2020: "&lt;a href=\"/08_references.html#schaus_et_al_2020\" target=\"_blank\"&gt;Schaus et al., 2020&lt;/a&gt;"</v>
      </c>
      <c r="U396" s="64" t="str">
        <f t="shared" si="40"/>
        <v xml:space="preserve">    rbib_schaus_et_al_2020: "Schaus,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v>
      </c>
      <c r="V396" s="64"/>
    </row>
    <row r="397" spans="1:22" ht="15.75">
      <c r="A397" s="64"/>
      <c r="B397" s="77" t="b">
        <v>1</v>
      </c>
      <c r="C397" s="77" t="b">
        <v>0</v>
      </c>
      <c r="D397" s="77" t="b">
        <v>0</v>
      </c>
      <c r="E397" s="64" t="s">
        <v>1904</v>
      </c>
      <c r="F397" s="64" t="s">
        <v>2342</v>
      </c>
      <c r="G397" s="64" t="s">
        <v>2341</v>
      </c>
      <c r="H397" s="64" t="s">
        <v>2341</v>
      </c>
      <c r="I397" s="64" t="b">
        <v>1</v>
      </c>
      <c r="J397" s="66" t="s">
        <v>2340</v>
      </c>
      <c r="K397" s="66" t="s">
        <v>3960</v>
      </c>
      <c r="L397" s="64" t="s">
        <v>4196</v>
      </c>
      <c r="M397" s="64" t="s">
        <v>5695</v>
      </c>
      <c r="N397" s="65" t="str">
        <f t="shared" si="42"/>
        <v>[Schenider,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13133}]{#schenider_et_al_2018}&lt;br&gt;&lt;br&gt;</v>
      </c>
      <c r="O397" s="64" t="s">
        <v>2339</v>
      </c>
      <c r="P397" s="64" t="s">
        <v>984</v>
      </c>
      <c r="Q397" s="64" t="str">
        <f t="shared" si="38"/>
        <v>{{ rtxt_schenider_et_al_2018 }}</v>
      </c>
      <c r="R397" s="64" t="str">
        <f t="shared" si="39"/>
        <v>{{ rbib_schenider_et_al_2018 }}</v>
      </c>
      <c r="S397" s="63" t="str">
        <f t="shared" si="37"/>
        <v>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13133&lt;/a&gt;&lt;span style="color:white"&gt;[.]{#schenider_et_al_2018}&lt;/span&gt;&lt;br&gt;&lt;br&gt;</v>
      </c>
      <c r="T397" s="64" t="str">
        <f t="shared" si="41"/>
        <v xml:space="preserve">    rtxt_schenider_et_al_2018: "&lt;a href=\"/08_references.html#schenider_et_al_2018\" target=\"_blank\"&gt;Schenider et al., 2018&lt;/a&gt;"</v>
      </c>
      <c r="U397" s="64" t="str">
        <f t="shared" si="40"/>
        <v xml:space="preserve">    rbib_schenider_et_al_2018: "Schenider, S., Taylor, G. W., Linquist, S., &amp; Kremer, S. C. (2018). Past, Present, and Future Approaches Using Computer Vision for Animal Re-Identification from Camera Trap Data. *Methods in Ecology and Evolution, 10*, 461-470. &lt;https://besjournals. onlinelibrary. wiley.com/doi/epdf/10.1111/2041-210X. 13133&gt;"</v>
      </c>
      <c r="V397" s="64"/>
    </row>
    <row r="398" spans="1:22" ht="15.75">
      <c r="A398" s="64"/>
      <c r="B398" s="77" t="b">
        <v>1</v>
      </c>
      <c r="C398" s="77" t="b">
        <v>0</v>
      </c>
      <c r="D398" s="77" t="b">
        <v>0</v>
      </c>
      <c r="E398" s="64" t="s">
        <v>1939</v>
      </c>
      <c r="F398" s="64" t="s">
        <v>2338</v>
      </c>
      <c r="G398" s="64" t="s">
        <v>2337</v>
      </c>
      <c r="H398" s="64" t="s">
        <v>2337</v>
      </c>
      <c r="I398" s="64" t="b">
        <v>1</v>
      </c>
      <c r="J398" s="66" t="s">
        <v>2336</v>
      </c>
      <c r="K398" s="66" t="s">
        <v>3960</v>
      </c>
      <c r="L398" s="64" t="s">
        <v>4197</v>
      </c>
      <c r="M398" s="64" t="s">
        <v>6099</v>
      </c>
      <c r="N398" s="65" t="str">
        <f t="shared" si="42"/>
        <v>[Schlexer,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href="https://www.gwern.net/docs/cat/biology/2008-schlexer.pdf"&gt;{https://www.gwern.net/docs/cat/biology/2008-schlexer.pdf}]{#schlexer_2008}&lt;br&gt;&lt;br&gt;</v>
      </c>
      <c r="O398" s="64" t="s">
        <v>2335</v>
      </c>
      <c r="P398" s="64" t="s">
        <v>984</v>
      </c>
      <c r="Q398" s="64" t="str">
        <f t="shared" si="38"/>
        <v>{{ rtxt_schlexer_2008 }}</v>
      </c>
      <c r="R398" s="64" t="str">
        <f t="shared" si="39"/>
        <v>{{ rbib_schlexer_2008 }}</v>
      </c>
      <c r="S398" s="63" t="str">
        <f t="shared" si="37"/>
        <v>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target="_blank"&gt;https://www.gwern.net/docs/cat/biology/2008-schlexer.pdf&lt;/a&gt;&lt;span style="color:white"&gt;[.]{#schlexer_2008}&lt;/span&gt;&lt;br&gt;&lt;br&gt;</v>
      </c>
      <c r="T398" s="64" t="str">
        <f t="shared" si="41"/>
        <v xml:space="preserve">    rtxt_schlexer_2008: "&lt;a href=\"/08_references.html#schlexer_2008\" target=\"_blank\"&gt;Schlexer, 2008&lt;/a&gt;"</v>
      </c>
      <c r="U398" s="64" t="str">
        <f t="shared" si="40"/>
        <v xml:space="preserve">    rbib_schlexer_2008: "Schlexer, F. V. (2008). Attracting Animals to Detection Devices. In R. A. Long, P. MacKay, W. J. Zielinski, &amp; J. C. Ray (Eds.), *Noninvasive Survey Methods for Carnivores* (pp. 263-292). Island Press. &lt;https://www.gwern.net/docs/cat/biology/2008-schlexer.pdf&gt;"</v>
      </c>
      <c r="V398" s="64"/>
    </row>
    <row r="399" spans="1:22" ht="15.75">
      <c r="A399" s="64"/>
      <c r="B399" s="77" t="b">
        <v>0</v>
      </c>
      <c r="C399" s="77" t="b">
        <v>0</v>
      </c>
      <c r="D399" s="77"/>
      <c r="E399" s="64" t="s">
        <v>1904</v>
      </c>
      <c r="F399" s="64" t="s">
        <v>2334</v>
      </c>
      <c r="G399" s="64" t="s">
        <v>2333</v>
      </c>
      <c r="H399" s="64" t="s">
        <v>2333</v>
      </c>
      <c r="I399" s="64" t="b">
        <v>1</v>
      </c>
      <c r="J399" s="66" t="s">
        <v>2332</v>
      </c>
      <c r="K399" s="66" t="s">
        <v>3960</v>
      </c>
      <c r="L399" s="64" t="s">
        <v>4198</v>
      </c>
      <c r="M399" s="64" t="s">
        <v>5724</v>
      </c>
      <c r="N399" s="65" t="str">
        <f t="shared" si="42"/>
        <v>[Schmidt, G. M., Graves, T. A., Pederson, J. C., &amp; Carroll, S. L. (2022). Precision and bias of spatial capture-recapture estimates: A multi‐site, multi‐year Utah black bear case study. &lt;i&gt;Ecological Applications, 32&lt;/i&gt;(5), e2618. &lt;a target="_blank" href="https://doi.org/10.1002/eap.2618"&gt;{https://doi.org/10.1002/eap.2618}]{#schmidt_et_al_2022}&lt;br&gt;&lt;br&gt;</v>
      </c>
      <c r="O399" s="64" t="s">
        <v>2331</v>
      </c>
      <c r="P399" s="64" t="s">
        <v>984</v>
      </c>
      <c r="Q399" s="64" t="str">
        <f t="shared" si="38"/>
        <v>{{ rtxt_schmidt_et_al_2022 }}</v>
      </c>
      <c r="R399" s="64" t="str">
        <f t="shared" si="39"/>
        <v>{{ rbib_schmidt_et_al_2022 }}</v>
      </c>
      <c r="S399" s="63" t="str">
        <f t="shared" si="37"/>
        <v>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target="_blank"&gt;https://doi.org/10.1002/eap.2618&lt;/a&gt;&lt;span style="color:white"&gt;[.]{#schmidt_et_al_2022}&lt;/span&gt;&lt;br&gt;&lt;br&gt;</v>
      </c>
      <c r="T399" s="64" t="str">
        <f t="shared" si="41"/>
        <v xml:space="preserve">    rtxt_schmidt_et_al_2022: "&lt;a href=\"/08_references.html#schmidt_et_al_2022\" target=\"_blank\"&gt;Schmidt et al., 2022&lt;/a&gt;"</v>
      </c>
      <c r="U399" s="64" t="str">
        <f t="shared" si="40"/>
        <v xml:space="preserve">    rbib_schmidt_et_al_2022: "Schmidt, G. M., Graves, T. A., Pederson, J. C., &amp; Carroll, S. L. (2022). Precision and bias of spatial capture-recapture estimates: A multi‐site, multi‐year Utah black bear case study. *Ecological Applications, 32*(5), e2618. &lt;https://doi.org/10.1002/eap.2618&gt;"</v>
      </c>
      <c r="V399" s="64"/>
    </row>
    <row r="400" spans="1:22" ht="15.75">
      <c r="A400" s="64"/>
      <c r="B400" s="77" t="b">
        <v>0</v>
      </c>
      <c r="C400" s="77" t="b">
        <v>0</v>
      </c>
      <c r="D400" s="77" t="s">
        <v>1993</v>
      </c>
      <c r="E400" s="64" t="s">
        <v>1904</v>
      </c>
      <c r="F400" s="64" t="s">
        <v>2330</v>
      </c>
      <c r="G400" s="64" t="s">
        <v>2329</v>
      </c>
      <c r="H400" s="64" t="s">
        <v>2329</v>
      </c>
      <c r="I400" s="64" t="b">
        <v>1</v>
      </c>
      <c r="J400" s="66" t="s">
        <v>2328</v>
      </c>
      <c r="K400" s="66" t="s">
        <v>3960</v>
      </c>
      <c r="L400" s="64" t="s">
        <v>4199</v>
      </c>
      <c r="M400" s="64" t="s">
        <v>5779</v>
      </c>
      <c r="N400" s="65" t="str">
        <f t="shared" si="42"/>
        <v>[Schweiger, A. K. (2020). Spectral Field Campaigns: Planning and Data Collection. In Cavender-Bares, J., Gamon, J. A., &amp; Townsend, P. A (Eds.), &lt;i&gt;Remote Sensing of Plant Biodiversity&lt;/i&gt; (pp. 385-423). &lt;a target="_blank" href="https://doi.org/10.1007/978-3-030-33157-3_15"&gt;{https://doi.org/10.1007/978-3-030-33157-3_15}]{#schweiger_2020}&lt;br&gt;&lt;br&gt;</v>
      </c>
      <c r="O400" s="64" t="s">
        <v>2327</v>
      </c>
      <c r="P400" s="64" t="s">
        <v>984</v>
      </c>
      <c r="Q400" s="64" t="str">
        <f t="shared" si="38"/>
        <v>{{ rtxt_schweiger_2020 }}</v>
      </c>
      <c r="R400" s="64" t="str">
        <f t="shared" si="39"/>
        <v>{{ rbib_schweiger_2020 }}</v>
      </c>
      <c r="S400" s="63" t="str">
        <f t="shared" si="37"/>
        <v>Schweiger, A. K. (2020). Spectral Field Campaigns: Planning and Data Collection. In Cavender-Bares, J., Gamon, J. A., &amp; Townsend, P. A (Eds.), &lt;i&gt;Remote Sensing of Plant Biodiversity&lt;/i&gt; (pp. 385-423). &lt;a href="https://doi.org/10.1007/978-3-030-33157-3_15" target="_blank"&gt;https://doi.org/10.1007/978-3-030-33157-3_15&lt;/a&gt;&lt;span style="color:white"&gt;[.]{#schweiger_2020}&lt;/span&gt;&lt;br&gt;&lt;br&gt;</v>
      </c>
      <c r="T400" s="64" t="str">
        <f t="shared" si="41"/>
        <v xml:space="preserve">    rtxt_schweiger_2020: "&lt;a href=\"/08_references.html#schweiger_2020\" target=\"_blank\"&gt;Schweiger, 2020&lt;/a&gt;"</v>
      </c>
      <c r="U400" s="64" t="str">
        <f t="shared" si="40"/>
        <v xml:space="preserve">    rbib_schweiger_2020: "Schweiger, A. K. (2020). Spectral Field Campaigns: Planning and Data Collection. In Cavender-Bares, J., Gamon, J. A., &amp; Townsend, P. A (Eds.), *Remote Sensing of Plant Biodiversity* (pp. 385-423). &lt;https://doi.org/10.1007/978-3-030-33157-3_15&gt;"</v>
      </c>
      <c r="V400" s="64"/>
    </row>
    <row r="401" spans="1:22" ht="15.75">
      <c r="A401" s="64"/>
      <c r="B401" s="77" t="b">
        <v>1</v>
      </c>
      <c r="C401" s="77" t="b">
        <v>1</v>
      </c>
      <c r="D401" s="77" t="b">
        <v>0</v>
      </c>
      <c r="E401" s="64" t="s">
        <v>1904</v>
      </c>
      <c r="F401" s="64" t="s">
        <v>2326</v>
      </c>
      <c r="G401" s="64" t="s">
        <v>2325</v>
      </c>
      <c r="H401" s="64" t="s">
        <v>2325</v>
      </c>
      <c r="I401" s="64" t="b">
        <v>1</v>
      </c>
      <c r="J401" s="66" t="s">
        <v>2324</v>
      </c>
      <c r="K401" s="66" t="s">
        <v>3960</v>
      </c>
      <c r="L401" s="64" t="s">
        <v>4200</v>
      </c>
      <c r="M401" s="64" t="s">
        <v>5766</v>
      </c>
      <c r="N401" s="65" t="str">
        <f t="shared" si="42"/>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href="https://doi.org/10.1002/rse2.54"&gt;{https://doi.org/10.1002/rse2.54}]{#scotson_et_al_2017}&lt;br&gt;&lt;br&gt;</v>
      </c>
      <c r="O401" s="64" t="s">
        <v>2323</v>
      </c>
      <c r="P401" s="64" t="s">
        <v>984</v>
      </c>
      <c r="Q401" s="64" t="str">
        <f t="shared" si="38"/>
        <v>{{ rtxt_scotson_et_al_2017 }}</v>
      </c>
      <c r="R401" s="64" t="str">
        <f t="shared" si="39"/>
        <v>{{ rbib_scotson_et_al_2017 }}</v>
      </c>
      <c r="S401" s="63" t="str">
        <f t="shared" ref="S401:S464" si="43">M401&amp;IF(O401&lt;&gt;"-",(" &lt;a href="&amp;""""&amp;O401&amp;""""&amp;" target="&amp;""""&amp;"_blank"&amp;""""&amp;"&gt;"&amp;O401&amp;"&lt;/a&gt;&lt;span style="&amp;""""&amp;"color:white"&amp;""""&amp;"&gt;[.]{#"&amp;F401&amp;"}&lt;/span&gt;&lt;br&gt;&lt;br&gt;"),"")</f>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target="_blank"&gt;https://doi.org/10.1002/rse2.54&lt;/a&gt;&lt;span style="color:white"&gt;[.]{#scotson_et_al_2017}&lt;/span&gt;&lt;br&gt;&lt;br&gt;</v>
      </c>
      <c r="T401" s="64" t="str">
        <f t="shared" si="41"/>
        <v xml:space="preserve">    rtxt_scotson_et_al_2017: "&lt;a href=\"/08_references.html#scotson_et_al_2017\" target=\"_blank\"&gt;Scotson et al., 2017&lt;/a&gt;"</v>
      </c>
      <c r="U401" s="64" t="str">
        <f t="shared" si="40"/>
        <v xml:space="preserve">    rbib_scotson_et_al_2017: "Scotson,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v>
      </c>
      <c r="V401" s="64"/>
    </row>
    <row r="402" spans="1:22" ht="15.75">
      <c r="A402" s="64"/>
      <c r="B402" s="77" t="b">
        <v>1</v>
      </c>
      <c r="C402" s="77" t="b">
        <v>0</v>
      </c>
      <c r="D402" s="77" t="b">
        <v>0</v>
      </c>
      <c r="E402" s="64" t="s">
        <v>984</v>
      </c>
      <c r="F402" s="64" t="s">
        <v>2322</v>
      </c>
      <c r="G402" s="64" t="s">
        <v>2321</v>
      </c>
      <c r="H402" s="64" t="s">
        <v>2321</v>
      </c>
      <c r="I402" s="64" t="b">
        <v>1</v>
      </c>
      <c r="J402" s="66" t="s">
        <v>2320</v>
      </c>
      <c r="K402" s="66" t="s">
        <v>3960</v>
      </c>
      <c r="L402" s="64" t="s">
        <v>4201</v>
      </c>
      <c r="M402" s="64" t="s">
        <v>6132</v>
      </c>
      <c r="N402" s="65" t="str">
        <f t="shared" si="42"/>
        <v>[Seccombe,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href="https://www.wildlabs.net/sites/default/files/community/files/zsl_trail_camera_comparison_for_external_use.pdf"&gt;{https://www.wildlabs.net/sites/default/files/community/files/zsl_trail_camera_comparison_for_external_use.pdf}]{#seccombe_2017}&lt;br&gt;&lt;br&gt;</v>
      </c>
      <c r="O402" s="64" t="s">
        <v>2319</v>
      </c>
      <c r="P402" s="64" t="s">
        <v>984</v>
      </c>
      <c r="Q402" s="64" t="str">
        <f t="shared" si="38"/>
        <v>{{ rtxt_seccombe_2017 }}</v>
      </c>
      <c r="R402" s="64" t="str">
        <f t="shared" si="39"/>
        <v>{{ rbib_seccombe_2017 }}</v>
      </c>
      <c r="S402" s="63" t="str">
        <f t="shared" si="43"/>
        <v>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target="_blank"&gt;https://www.wildlabs.net/sites/default/files/community/files/zsl_trail_camera_comparison_for_external_use.pdf&lt;/a&gt;&lt;span style="color:white"&gt;[.]{#seccombe_2017}&lt;/span&gt;&lt;br&gt;&lt;br&gt;</v>
      </c>
      <c r="T402" s="64" t="str">
        <f t="shared" si="41"/>
        <v xml:space="preserve">    rtxt_seccombe_2017: "&lt;a href=\"/08_references.html#seccombe_2017\" target=\"_blank\"&gt;Seccombe, 2017&lt;/a&gt;"</v>
      </c>
      <c r="U402" s="64" t="str">
        <f t="shared" si="40"/>
        <v xml:space="preserve">    rbib_seccombe_2017: "Seccombe, S. (2017). *ZSL Trail Camera Comparison Testing.* Zoological Society of London: Conservation Technology Unit. &lt;https://www.wildlabs.net/sites/default/files/community/files/zsl_trail_camera_comparison_for_external_use.pdf&gt;"</v>
      </c>
      <c r="V402" s="64"/>
    </row>
    <row r="403" spans="1:22" ht="15.75">
      <c r="A403" s="64"/>
      <c r="B403" s="77" t="b">
        <v>1</v>
      </c>
      <c r="C403" s="77" t="b">
        <v>0</v>
      </c>
      <c r="D403" s="77" t="b">
        <v>0</v>
      </c>
      <c r="E403" s="64" t="s">
        <v>1904</v>
      </c>
      <c r="F403" s="64" t="s">
        <v>2318</v>
      </c>
      <c r="G403" s="64" t="s">
        <v>2317</v>
      </c>
      <c r="H403" s="64" t="s">
        <v>2316</v>
      </c>
      <c r="I403" s="64" t="b">
        <v>1</v>
      </c>
      <c r="J403" s="66" t="s">
        <v>2315</v>
      </c>
      <c r="K403" s="66" t="s">
        <v>3960</v>
      </c>
      <c r="L403" s="64" t="s">
        <v>4202</v>
      </c>
      <c r="M403" s="64" t="s">
        <v>5947</v>
      </c>
      <c r="N403" s="65" t="str">
        <f t="shared" si="42"/>
        <v>[Séquin, E. S., Jaeger M. M., Brussard P. F., &amp; Barrett, R. H. (2003). Wariness of Coyotes to Camera Traps Relative to Social Status and Territory Boundaries. Lincoln, NE, USA: University of Nebraska-Lincoln. &lt;a target="_blank" href="https://doi.org/10.1139/z03-204"&gt;{https://doi.org/10.1139/z03-204}]{#sequin_et_al_2003}&lt;br&gt;&lt;br&gt;</v>
      </c>
      <c r="O403" s="64" t="s">
        <v>2314</v>
      </c>
      <c r="P403" s="64" t="s">
        <v>984</v>
      </c>
      <c r="Q403" s="64" t="str">
        <f t="shared" si="38"/>
        <v>{{ rtxt_sequin_et_al_2003 }}</v>
      </c>
      <c r="R403" s="64" t="str">
        <f t="shared" si="39"/>
        <v>{{ rbib_sequin_et_al_2003 }}</v>
      </c>
      <c r="S403" s="63" t="str">
        <f t="shared" si="43"/>
        <v>Séquin, E. S., Jaeger M. M., Brussard P. F., &amp; Barrett, R. H. (2003). Wariness of Coyotes to Camera Traps Relative to Social Status and Territory Boundaries. Lincoln, NE, USA: University of Nebraska-Lincoln. &lt;a href="https://doi.org/10.1139/z03-204" target="_blank"&gt;https://doi.org/10.1139/z03-204&lt;/a&gt;&lt;span style="color:white"&gt;[.]{#sequin_et_al_2003}&lt;/span&gt;&lt;br&gt;&lt;br&gt;</v>
      </c>
      <c r="T403" s="64" t="str">
        <f t="shared" si="41"/>
        <v xml:space="preserve">    rtxt_sequin_et_al_2003: "&lt;a href=\"/08_references.html#sequin_et_al_2003\" target=\"_blank\"&gt;Séquin et al., 2003&lt;/a&gt;"</v>
      </c>
      <c r="U403" s="64" t="str">
        <f t="shared" si="40"/>
        <v xml:space="preserve">    rbib_sequin_et_al_2003: "Séquin, E. S., Jaeger M. M., Brussard P. F., &amp; Barrett, R. H. (2003). Wariness of Coyotes to Camera Traps Relative to Social Status and Territory Boundaries. Lincoln, NE, USA: University of Nebraska-Lincoln. &lt;https://doi.org/10.1139/z03-204&gt;"</v>
      </c>
      <c r="V403" s="64"/>
    </row>
    <row r="404" spans="1:22" ht="15.75">
      <c r="A404" s="64"/>
      <c r="B404" s="77" t="b">
        <v>1</v>
      </c>
      <c r="C404" s="77" t="b">
        <v>0</v>
      </c>
      <c r="D404" s="77" t="b">
        <v>1</v>
      </c>
      <c r="E404" s="64" t="s">
        <v>1904</v>
      </c>
      <c r="F404" s="64" t="s">
        <v>2313</v>
      </c>
      <c r="G404" s="64" t="s">
        <v>2312</v>
      </c>
      <c r="H404" s="64" t="s">
        <v>2312</v>
      </c>
      <c r="I404" s="64" t="b">
        <v>1</v>
      </c>
      <c r="J404" s="66" t="s">
        <v>2311</v>
      </c>
      <c r="K404" s="66" t="s">
        <v>3960</v>
      </c>
      <c r="L404" s="64" t="s">
        <v>4203</v>
      </c>
      <c r="M404" s="64" t="s">
        <v>6032</v>
      </c>
      <c r="N404" s="65" t="str">
        <f t="shared" si="42"/>
        <v>[Shannon, G., Lewis, J. S. &amp; Gerber, B. D. (2014). Recommended Survey Designs for Occupancy Modelling using Motion-activated Cameras: Insights from Empirical Wildlife Data. &lt;i&gt;PeerJ, 2&lt;/i&gt;, e532. &lt;a target="_blank" href="https://doi.org/10.7717/peerj.532"&gt;{https://doi.org/10.7717/peerj.532}]{#shannon_et_al_2014}&lt;br&gt;&lt;br&gt;</v>
      </c>
      <c r="O404" s="64" t="s">
        <v>2310</v>
      </c>
      <c r="P404" s="64" t="s">
        <v>984</v>
      </c>
      <c r="Q404" s="64" t="str">
        <f t="shared" si="38"/>
        <v>{{ rtxt_shannon_et_al_2014 }}</v>
      </c>
      <c r="R404" s="64" t="str">
        <f t="shared" si="39"/>
        <v>{{ rbib_shannon_et_al_2014 }}</v>
      </c>
      <c r="S404" s="63" t="str">
        <f t="shared" si="43"/>
        <v>Shannon, G., Lewis, J. S. &amp; Gerber, B. D. (2014). Recommended Survey Designs for Occupancy Modelling using Motion-activated Cameras: Insights from Empirical Wildlife Data. &lt;i&gt;PeerJ, 2&lt;/i&gt;, e532. &lt;a href="https://doi.org/10.7717/peerj.532" target="_blank"&gt;https://doi.org/10.7717/peerj.532&lt;/a&gt;&lt;span style="color:white"&gt;[.]{#shannon_et_al_2014}&lt;/span&gt;&lt;br&gt;&lt;br&gt;</v>
      </c>
      <c r="T404" s="64" t="str">
        <f t="shared" si="41"/>
        <v xml:space="preserve">    rtxt_shannon_et_al_2014: "&lt;a href=\"/08_references.html#shannon_et_al_2014\" target=\"_blank\"&gt;Shannon et al., 2014&lt;/a&gt;"</v>
      </c>
      <c r="U404" s="64" t="str">
        <f t="shared" si="40"/>
        <v xml:space="preserve">    rbib_shannon_et_al_2014: "Shannon, G., Lewis, J. S. &amp; Gerber, B. D. (2014). Recommended Survey Designs for Occupancy Modelling using Motion-activated Cameras: Insights from Empirical Wildlife Data. *PeerJ, 2*, e532. &lt;https://doi.org/10.7717/peerj.532&gt;"</v>
      </c>
      <c r="V404" s="64"/>
    </row>
    <row r="405" spans="1:22" ht="15.75">
      <c r="A405" s="64"/>
      <c r="B405" s="77" t="b">
        <v>0</v>
      </c>
      <c r="C405" s="77" t="b">
        <v>0</v>
      </c>
      <c r="D405" s="77" t="b">
        <v>1</v>
      </c>
      <c r="E405" s="64" t="s">
        <v>1904</v>
      </c>
      <c r="F405" s="64" t="s">
        <v>2309</v>
      </c>
      <c r="G405" s="64" t="s">
        <v>2308</v>
      </c>
      <c r="H405" s="64" t="s">
        <v>2308</v>
      </c>
      <c r="I405" s="64" t="b">
        <v>1</v>
      </c>
      <c r="J405" s="66" t="s">
        <v>2307</v>
      </c>
      <c r="K405" s="66" t="s">
        <v>3960</v>
      </c>
      <c r="L405" s="64" t="s">
        <v>4204</v>
      </c>
      <c r="M405" s="64" t="s">
        <v>5929</v>
      </c>
      <c r="N405" s="65" t="str">
        <f t="shared" si="42"/>
        <v>[Sharma,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href="https://doi.org/10.1111/j.1469-1795.2009.00305.x"&gt;{https://doi.org/10.1111/j.1469-1795.2009.00305.x}]{#sharma_et_al_2010}&lt;br&gt;&lt;br&gt;</v>
      </c>
      <c r="O405" s="64" t="s">
        <v>2306</v>
      </c>
      <c r="P405" s="64" t="s">
        <v>984</v>
      </c>
      <c r="Q405" s="64" t="str">
        <f t="shared" si="38"/>
        <v>{{ rtxt_sharma_et_al_2010 }}</v>
      </c>
      <c r="R405" s="64" t="str">
        <f t="shared" si="39"/>
        <v>{{ rbib_sharma_et_al_2010 }}</v>
      </c>
      <c r="S405" s="63" t="str">
        <f t="shared" si="43"/>
        <v>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target="_blank"&gt;https://doi.org/10.1111/j.1469-1795.2009.00305.x&lt;/a&gt;&lt;span style="color:white"&gt;[.]{#sharma_et_al_2010}&lt;/span&gt;&lt;br&gt;&lt;br&gt;</v>
      </c>
      <c r="T405" s="64" t="str">
        <f t="shared" si="41"/>
        <v xml:space="preserve">    rtxt_sharma_et_al_2010: "&lt;a href=\"/08_references.html#sharma_et_al_2010\" target=\"_blank\"&gt;Sharma et al., 2010&lt;/a&gt;"</v>
      </c>
      <c r="U405" s="64" t="str">
        <f t="shared" si="40"/>
        <v xml:space="preserve">    rbib_sharma_et_al_2010: "Sharma, R.K., Jhala, Y., Qureshi, Q., Vattakaven, J., Gopal, R. &amp; Nayak, K. (2010). Evaluating capture-recapture population and Density estimation of tigers in a population with known parameters. *Animal Conservation, 13*(1), 94-103. &lt;https://doi.org/10.1111/j.1469-1795.2009.00305.x&gt;"</v>
      </c>
      <c r="V405" s="64"/>
    </row>
    <row r="406" spans="1:22" ht="15.75">
      <c r="A406" s="64"/>
      <c r="B406" s="77"/>
      <c r="C406" s="77"/>
      <c r="D406" s="77"/>
      <c r="E406" s="64" t="s">
        <v>1904</v>
      </c>
      <c r="F406" s="64" t="s">
        <v>2305</v>
      </c>
      <c r="G406" s="64" t="s">
        <v>2304</v>
      </c>
      <c r="H406" s="64" t="s">
        <v>2304</v>
      </c>
      <c r="I406" s="64" t="b">
        <v>1</v>
      </c>
      <c r="J406" s="66" t="s">
        <v>2303</v>
      </c>
      <c r="K406" s="66" t="s">
        <v>3960</v>
      </c>
      <c r="L406" s="64" t="s">
        <v>4205</v>
      </c>
      <c r="M406" s="64" t="s">
        <v>6033</v>
      </c>
      <c r="N406" s="65" t="str">
        <f t="shared" si="42"/>
        <v>[Shirane,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href="https://doi.org/10.7717/peerj.9982"&gt;{https://doi.org/10.7717/peerj.9982}]{#shirane_et_al_2020}&lt;br&gt;&lt;br&gt;</v>
      </c>
      <c r="O406" s="64" t="s">
        <v>2302</v>
      </c>
      <c r="P406" s="64" t="s">
        <v>984</v>
      </c>
      <c r="Q406" s="64" t="str">
        <f t="shared" si="38"/>
        <v>{{ rtxt_shirane_et_al_2020 }}</v>
      </c>
      <c r="R406" s="64" t="str">
        <f t="shared" si="39"/>
        <v>{{ rbib_shirane_et_al_2020 }}</v>
      </c>
      <c r="S406" s="63" t="str">
        <f t="shared" si="43"/>
        <v>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target="_blank"&gt;https://doi.org/10.7717/peerj.9982&lt;/a&gt;&lt;span style="color:white"&gt;[.]{#shirane_et_al_2020}&lt;/span&gt;&lt;br&gt;&lt;br&gt;</v>
      </c>
      <c r="T406" s="64" t="str">
        <f t="shared" si="41"/>
        <v xml:space="preserve">    rtxt_shirane_et_al_2020: "&lt;a href=\"/08_references.html#shirane_et_al_2020\" target=\"_blank\"&gt;Shirane et al., 2020&lt;/a&gt;"</v>
      </c>
      <c r="U406" s="64" t="str">
        <f t="shared" si="40"/>
        <v xml:space="preserve">    rbib_shirane_et_al_2020: "Shirane, Y., Mori, F., Yamanaka, M., Nakanishi, M., Ishinazaka, T., Mano, T., Jimbo, M., Sashika, M., Tsubota, T., &amp; Shimozuru, M. (2020). Development of a noninvasive photograph-based method for the evaluation of body condition in free-ranging brown bears. *PeerJ, 8*, e9982. &lt;https://doi.org/10.7717/peerj.9982&gt;"</v>
      </c>
      <c r="V406" s="64"/>
    </row>
    <row r="407" spans="1:22" ht="15.75">
      <c r="A407" s="64"/>
      <c r="B407" s="77" t="b">
        <v>1</v>
      </c>
      <c r="C407" s="77" t="b">
        <v>0</v>
      </c>
      <c r="D407" s="77" t="b">
        <v>1</v>
      </c>
      <c r="E407" s="64" t="s">
        <v>1904</v>
      </c>
      <c r="F407" s="64" t="s">
        <v>2301</v>
      </c>
      <c r="G407" s="64" t="s">
        <v>2300</v>
      </c>
      <c r="H407" s="64" t="s">
        <v>2299</v>
      </c>
      <c r="I407" s="64" t="b">
        <v>1</v>
      </c>
      <c r="J407" s="66" t="s">
        <v>2298</v>
      </c>
      <c r="K407" s="66" t="s">
        <v>3960</v>
      </c>
      <c r="L407" s="64" t="s">
        <v>4206</v>
      </c>
      <c r="M407" s="64" t="s">
        <v>6030</v>
      </c>
      <c r="N407" s="65" t="str">
        <f t="shared" si="42"/>
        <v>[Si, X., Kays, R., &amp; Ding, P. (2014). How long is enough to detect terrestrial animals? Estimating the minimum trapping effort on camera traps. &lt;i&gt;PeerJ, 2&lt;/i&gt;, e374. &lt;a target="_blank" href="https://doi.org/10.7717/peerj.374"&gt;{https://doi.org/10.7717/peerj.374}]{#si_et_al_2014}&lt;br&gt;&lt;br&gt;</v>
      </c>
      <c r="O407" s="64" t="s">
        <v>2297</v>
      </c>
      <c r="P407" s="64" t="s">
        <v>984</v>
      </c>
      <c r="Q407" s="64" t="str">
        <f t="shared" si="38"/>
        <v>{{ rtxt_si_et_al_2014 }}</v>
      </c>
      <c r="R407" s="64" t="str">
        <f t="shared" si="39"/>
        <v>{{ rbib_si_et_al_2014 }}</v>
      </c>
      <c r="S407" s="63" t="str">
        <f t="shared" si="43"/>
        <v>Si, X., Kays, R., &amp; Ding, P. (2014). How long is enough to detect terrestrial animals? Estimating the minimum trapping effort on camera traps. &lt;i&gt;PeerJ, 2&lt;/i&gt;, e374. &lt;a href="https://doi.org/10.7717/peerj.374" target="_blank"&gt;https://doi.org/10.7717/peerj.374&lt;/a&gt;&lt;span style="color:white"&gt;[.]{#si_et_al_2014}&lt;/span&gt;&lt;br&gt;&lt;br&gt;</v>
      </c>
      <c r="T407" s="64" t="str">
        <f t="shared" si="41"/>
        <v xml:space="preserve">    rtxt_si_et_al_2014: "&lt;a href=\"/08_references.html#si_et_al_2014\" target=\"_blank\"&gt;Si et al., 2014&lt;/a&gt;"</v>
      </c>
      <c r="U407" s="64" t="str">
        <f t="shared" si="40"/>
        <v xml:space="preserve">    rbib_si_et_al_2014: "Si, X., Kays, R., &amp; Ding, P. (2014). How long is enough to detect terrestrial animals? Estimating the minimum trapping effort on camera traps. *PeerJ, 2*, e374. &lt;https://doi.org/10.7717/peerj.374&gt;"</v>
      </c>
      <c r="V407" s="64"/>
    </row>
    <row r="408" spans="1:22" ht="15.75">
      <c r="A408" s="64"/>
      <c r="B408" s="77"/>
      <c r="C408" s="77"/>
      <c r="D408" s="77"/>
      <c r="E408" s="64" t="s">
        <v>2296</v>
      </c>
      <c r="F408" s="64" t="s">
        <v>2295</v>
      </c>
      <c r="G408" s="64" t="s">
        <v>2294</v>
      </c>
      <c r="H408" s="64" t="s">
        <v>2294</v>
      </c>
      <c r="I408" s="64" t="b">
        <v>1</v>
      </c>
      <c r="J408" s="65" t="s">
        <v>2293</v>
      </c>
      <c r="K408" s="66" t="s">
        <v>3960</v>
      </c>
      <c r="L408" s="64" t="s">
        <v>4207</v>
      </c>
      <c r="M408" s="64" t="s">
        <v>6110</v>
      </c>
      <c r="N408" s="65" t="str">
        <f t="shared" si="42"/>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href="https://www.mbr-pwrc.usgs.gov/software/spacecap.html"&gt;{https://www.mbr-pwrc.usgs.gov/software/spacecap.html}]{#singh_et_al_2010}&lt;br&gt;&lt;br&gt;</v>
      </c>
      <c r="O408" s="64" t="s">
        <v>2292</v>
      </c>
      <c r="P408" s="64" t="s">
        <v>984</v>
      </c>
      <c r="Q408" s="64" t="str">
        <f t="shared" si="38"/>
        <v>{{ rtxt_singh_et_al_2010 }}</v>
      </c>
      <c r="R408" s="64" t="str">
        <f t="shared" si="39"/>
        <v>{{ rbib_singh_et_al_2010 }}</v>
      </c>
      <c r="S408" s="63" t="str">
        <f t="shared" si="43"/>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target="_blank"&gt;https://www.mbr-pwrc.usgs.gov/software/spacecap.html&lt;/a&gt;&lt;span style="color:white"&gt;[.]{#singh_et_al_2010}&lt;/span&gt;&lt;br&gt;&lt;br&gt;</v>
      </c>
      <c r="T408" s="64" t="str">
        <f t="shared" si="41"/>
        <v xml:space="preserve">    rtxt_singh_et_al_2010: "&lt;a href=\"/08_references.html#singh_et_al_2010\" target=\"_blank\"&gt;Singh et al., 2010&lt;/a&gt;"</v>
      </c>
      <c r="U408" s="64" t="str">
        <f t="shared" si="40"/>
        <v xml:space="preserve">    rbib_singh_et_al_2010: "Singh,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v>
      </c>
      <c r="V408" s="64"/>
    </row>
    <row r="409" spans="1:22" ht="15.75">
      <c r="A409" s="64"/>
      <c r="B409" s="77" t="b">
        <v>1</v>
      </c>
      <c r="C409" s="77" t="b">
        <v>0</v>
      </c>
      <c r="D409" s="77" t="b">
        <v>0</v>
      </c>
      <c r="E409" s="64" t="s">
        <v>1904</v>
      </c>
      <c r="F409" s="64" t="s">
        <v>2291</v>
      </c>
      <c r="G409" s="64" t="s">
        <v>2290</v>
      </c>
      <c r="H409" s="64" t="s">
        <v>2290</v>
      </c>
      <c r="I409" s="64" t="b">
        <v>1</v>
      </c>
      <c r="J409" s="66" t="s">
        <v>2289</v>
      </c>
      <c r="K409" s="66" t="s">
        <v>3960</v>
      </c>
      <c r="L409" s="64" t="s">
        <v>4208</v>
      </c>
      <c r="M409" s="64" t="s">
        <v>5768</v>
      </c>
      <c r="N409" s="65" t="str">
        <f t="shared" si="42"/>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href="https://doi.org/10.1002/rse2.85"&gt;{https://doi.org/10.1002/rse2.85}]{#siren_et_al_2018}&lt;br&gt;&lt;br&gt;</v>
      </c>
      <c r="O409" s="64" t="s">
        <v>2288</v>
      </c>
      <c r="P409" s="64" t="s">
        <v>984</v>
      </c>
      <c r="Q409" s="64" t="str">
        <f t="shared" si="38"/>
        <v>{{ rtxt_siren_et_al_2018 }}</v>
      </c>
      <c r="R409" s="64" t="str">
        <f t="shared" si="39"/>
        <v>{{ rbib_siren_et_al_2018 }}</v>
      </c>
      <c r="S409" s="63" t="str">
        <f t="shared" si="43"/>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target="_blank"&gt;https://doi.org/10.1002/rse2.85&lt;/a&gt;&lt;span style="color:white"&gt;[.]{#siren_et_al_2018}&lt;/span&gt;&lt;br&gt;&lt;br&gt;</v>
      </c>
      <c r="T409" s="64" t="str">
        <f t="shared" si="41"/>
        <v xml:space="preserve">    rtxt_siren_et_al_2018: "&lt;a href=\"/08_references.html#siren_et_al_2018\" target=\"_blank\"&gt;Sirén et al., 2018&lt;/a&gt;"</v>
      </c>
      <c r="U409" s="64" t="str">
        <f t="shared" si="40"/>
        <v xml:space="preserve">    rbib_siren_et_al_2018: "Sirén,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v>
      </c>
      <c r="V409" s="64"/>
    </row>
    <row r="410" spans="1:22" ht="15.75">
      <c r="A410" s="64"/>
      <c r="B410" s="77"/>
      <c r="C410" s="77"/>
      <c r="D410" s="77"/>
      <c r="E410" s="64" t="s">
        <v>1945</v>
      </c>
      <c r="F410" s="65" t="s">
        <v>2287</v>
      </c>
      <c r="G410" s="64" t="s">
        <v>2286</v>
      </c>
      <c r="H410" s="64" t="s">
        <v>2286</v>
      </c>
      <c r="I410" s="64" t="b">
        <v>1</v>
      </c>
      <c r="J410" s="66" t="s">
        <v>2285</v>
      </c>
      <c r="K410" s="66" t="s">
        <v>3960</v>
      </c>
      <c r="L410" s="64" t="s">
        <v>4209</v>
      </c>
      <c r="M410" s="64" t="s">
        <v>6142</v>
      </c>
      <c r="N410" s="65" t="str">
        <f t="shared" si="42"/>
        <v>[Snow Leopard Network. (2020a, Aug 1). &lt;i&gt;PAWS: Spatial Capture Recapture Data Analysis Part 1.&lt;/i&gt; [Video]. YouTube. &lt;a target="_blank" href="https://www.youtube.com/watch?v=aTbk-jWyMcU"&gt;{https://www.youtube.com/watch?v=aTbk-jWyMcU}]{#snow_leopard_network_2020a}&lt;br&gt;&lt;br&gt;</v>
      </c>
      <c r="O410" s="64" t="s">
        <v>2283</v>
      </c>
      <c r="P410" s="64" t="s">
        <v>2284</v>
      </c>
      <c r="Q410" s="64" t="str">
        <f t="shared" si="38"/>
        <v>{{ rtxt_snow_leopard_network_2020a }}</v>
      </c>
      <c r="R410" s="64" t="str">
        <f t="shared" si="39"/>
        <v>{{ rbib_snow_leopard_network_2020a }}</v>
      </c>
      <c r="S410" s="63" t="str">
        <f t="shared" si="43"/>
        <v>Snow Leopard Network. (2020a, Aug 1). &lt;i&gt;PAWS: Spatial Capture Recapture Data Analysis Part 1.&lt;/i&gt; [Video]. YouTube. &lt;a href="https://www.youtube.com/watch?v=aTbk-jWyMcU" target="_blank"&gt;https://www.youtube.com/watch?v=aTbk-jWyMcU&lt;/a&gt;&lt;span style="color:white"&gt;[.]{#snow_leopard_network_2020a}&lt;/span&gt;&lt;br&gt;&lt;br&gt;</v>
      </c>
      <c r="T410" s="64" t="str">
        <f t="shared" si="41"/>
        <v xml:space="preserve">    rtxt_snow_leopard_network_2020a: "&lt;a href=\"/08_references.html#snow_leopard_network_2020a\" target=\"_blank\"&gt;Snow Leopard Network, 2020a&lt;/a&gt;"</v>
      </c>
      <c r="U410" s="64" t="str">
        <f t="shared" si="40"/>
        <v xml:space="preserve">    rbib_snow_leopard_network_2020a: "Snow Leopard Network. (2020a, Aug 1). *PAWS: Spatial Capture Recapture Data Analysis Part 1.* [Video]. YouTube. &lt;https://www.youtube.com/watch?v=aTbk-jWyMcU&gt;"</v>
      </c>
      <c r="V410" s="64"/>
    </row>
    <row r="411" spans="1:22" ht="15.75">
      <c r="A411" s="64"/>
      <c r="B411" s="77"/>
      <c r="C411" s="77"/>
      <c r="D411" s="77"/>
      <c r="E411" s="64" t="s">
        <v>1945</v>
      </c>
      <c r="F411" s="65" t="s">
        <v>2282</v>
      </c>
      <c r="G411" s="64" t="s">
        <v>2281</v>
      </c>
      <c r="H411" s="64" t="s">
        <v>2281</v>
      </c>
      <c r="I411" s="64" t="b">
        <v>1</v>
      </c>
      <c r="J411" s="66" t="s">
        <v>3962</v>
      </c>
      <c r="K411" s="66" t="s">
        <v>3960</v>
      </c>
      <c r="L411" s="64" t="s">
        <v>4302</v>
      </c>
      <c r="M411" s="64" t="s">
        <v>5681</v>
      </c>
      <c r="N411" s="65" t="str">
        <f t="shared" si="42"/>
        <v>[Snow Leopard Network. (2020b, Aug 2).&lt;i&gt;PAWS: Spatial Capture Recapture Data Analysis Part 2.&lt;/i&gt; [Video]. YouTube. &lt;a target="_blank" href="https://www.youtube.com/watch?v=IHVez1a_hqg&amp;t=2675s"&gt;{https://www.youtube.com/watch?v=IHVez1a_hqg&amp;t=2675s}]{#snow_leopard_network_2020b}&lt;br&gt;&lt;br&gt;</v>
      </c>
      <c r="O411" s="102" t="s">
        <v>6178</v>
      </c>
      <c r="P411" s="64" t="s">
        <v>2280</v>
      </c>
      <c r="Q411" s="64" t="str">
        <f t="shared" si="38"/>
        <v>{{ rtxt_snow_leopard_network_2020b }}</v>
      </c>
      <c r="R411" s="64" t="str">
        <f t="shared" si="39"/>
        <v>{{ rbib_snow_leopard_network_2020b }}</v>
      </c>
      <c r="S411" s="63" t="str">
        <f t="shared" si="43"/>
        <v>Snow Leopard Network. (2020b, Aug 2).&lt;i&gt;PAWS: Spatial Capture Recapture Data Analysis Part 2.&lt;/i&gt; [Video]. YouTube. &lt;a href="https://www.youtube.com/watch?v=IHVez1a_hqg&amp;t=2675s" target="_blank"&gt;https://www.youtube.com/watch?v=IHVez1a_hqg&amp;t=2675s&lt;/a&gt;&lt;span style="color:white"&gt;[.]{#snow_leopard_network_2020b}&lt;/span&gt;&lt;br&gt;&lt;br&gt;</v>
      </c>
      <c r="T411" s="64" t="str">
        <f t="shared" si="41"/>
        <v xml:space="preserve">    rtxt_snow_leopard_network_2020b: "&lt;a href=\"/08_references.html#snow_leopard_network_2020b\" target=\"_blank\"&gt;Snow Leopard Network, 2020b&lt;/a&gt;"</v>
      </c>
      <c r="U411" s="64" t="str">
        <f t="shared" si="40"/>
        <v xml:space="preserve">    rbib_snow_leopard_network_2020b: "Snow Leopard Network. (2020b, Aug 2).*PAWS: Spatial Capture Recapture Data Analysis Part 2.* [Video]. YouTube. &lt;https://www.youtube.com/watch?v=IHVez1a_hqg&amp;t=2675s&gt;"</v>
      </c>
      <c r="V411" s="64"/>
    </row>
    <row r="412" spans="1:22" ht="15.75">
      <c r="A412" s="64"/>
      <c r="B412" s="77"/>
      <c r="C412" s="77"/>
      <c r="D412" s="77"/>
      <c r="E412" s="64" t="s">
        <v>1904</v>
      </c>
      <c r="F412" s="65" t="s">
        <v>2279</v>
      </c>
      <c r="G412" s="65" t="s">
        <v>2278</v>
      </c>
      <c r="H412" s="65" t="s">
        <v>2278</v>
      </c>
      <c r="I412" s="64" t="b">
        <v>1</v>
      </c>
      <c r="J412" s="66" t="s">
        <v>2277</v>
      </c>
      <c r="K412" s="66" t="s">
        <v>3960</v>
      </c>
      <c r="L412" s="64" t="s">
        <v>4210</v>
      </c>
      <c r="M412" s="64" t="s">
        <v>5851</v>
      </c>
      <c r="N412" s="65" t="str">
        <f t="shared" si="42"/>
        <v>[Soberón, J., &amp; Llorente, J. (1993). The Use of Species Accumulation Functions for the Prediction of Species Richness. &lt;i&gt;Conservation Biology, 7&lt;/i&gt;(3), 480-488. &lt;a target="_blank" href="https://doi.org/10.1046/j.1523-1739.1993.07030480.x"&gt;{https://doi.org/10.1046/j.1523-1739.1993.07030480.x}]{#soberon_lorente_1993}&lt;br&gt;&lt;br&gt;</v>
      </c>
      <c r="O412" s="64" t="s">
        <v>2276</v>
      </c>
      <c r="P412" s="64" t="s">
        <v>984</v>
      </c>
      <c r="Q412" s="64" t="str">
        <f t="shared" si="38"/>
        <v>{{ rtxt_soberon_lorente_1993 }}</v>
      </c>
      <c r="R412" s="64" t="str">
        <f t="shared" si="39"/>
        <v>{{ rbib_soberon_lorente_1993 }}</v>
      </c>
      <c r="S412" s="63" t="str">
        <f t="shared" si="43"/>
        <v>Soberón, J., &amp; Llorente, J. (1993). The Use of Species Accumulation Functions for the Prediction of Species Richness. &lt;i&gt;Conservation Biology, 7&lt;/i&gt;(3), 480-488. &lt;a href="https://doi.org/10.1046/j.1523-1739.1993.07030480.x" target="_blank"&gt;https://doi.org/10.1046/j.1523-1739.1993.07030480.x&lt;/a&gt;&lt;span style="color:white"&gt;[.]{#soberon_lorente_1993}&lt;/span&gt;&lt;br&gt;&lt;br&gt;</v>
      </c>
      <c r="T412" s="64" t="str">
        <f t="shared" si="41"/>
        <v xml:space="preserve">    rtxt_soberon_lorente_1993: "&lt;a href=\"/08_references.html#soberon_lorente_1993\" target=\"_blank\"&gt;Soberón &amp; Llorente, 1993&lt;/a&gt;"</v>
      </c>
      <c r="U412" s="64" t="str">
        <f t="shared" si="40"/>
        <v xml:space="preserve">    rbib_soberon_lorente_1993: "Soberón, J., &amp; Llorente, J. (1993). The Use of Species Accumulation Functions for the Prediction of Species Richness. *Conservation Biology, 7*(3), 480-488. &lt;https://doi.org/10.1046/j.1523-1739.1993.07030480.x&gt;"</v>
      </c>
      <c r="V412" s="64"/>
    </row>
    <row r="413" spans="1:22" ht="15.75">
      <c r="A413" s="64"/>
      <c r="B413" s="77" t="b">
        <v>1</v>
      </c>
      <c r="C413" s="77" t="b">
        <v>0</v>
      </c>
      <c r="D413" s="77" t="b">
        <v>0</v>
      </c>
      <c r="E413" s="64" t="s">
        <v>1904</v>
      </c>
      <c r="F413" s="64" t="s">
        <v>2275</v>
      </c>
      <c r="G413" s="64" t="s">
        <v>2274</v>
      </c>
      <c r="H413" s="64" t="s">
        <v>2274</v>
      </c>
      <c r="I413" s="64" t="b">
        <v>1</v>
      </c>
      <c r="J413" s="66" t="s">
        <v>2273</v>
      </c>
      <c r="K413" s="66" t="s">
        <v>3960</v>
      </c>
      <c r="L413" s="64" t="s">
        <v>4211</v>
      </c>
      <c r="M413" s="64" t="s">
        <v>5903</v>
      </c>
      <c r="N413" s="65" t="str">
        <f t="shared" si="42"/>
        <v>[Sollmann, R. (2018). A gentle introduction to camera‐trap data analysis. &lt;i&gt;African Journal of Ecology,&lt;/i&gt; 56, 740-749. &lt;a target="_blank" href="https://doi.org/10.1111/aje.12557"&gt;{https://doi.org/10.1111/aje.12557}]{#sollmann_2018}&lt;br&gt;&lt;br&gt;</v>
      </c>
      <c r="O413" s="64" t="s">
        <v>2272</v>
      </c>
      <c r="P413" s="64" t="s">
        <v>984</v>
      </c>
      <c r="Q413" s="64" t="str">
        <f t="shared" si="38"/>
        <v>{{ rtxt_sollmann_2018 }}</v>
      </c>
      <c r="R413" s="64" t="str">
        <f t="shared" si="39"/>
        <v>{{ rbib_sollmann_2018 }}</v>
      </c>
      <c r="S413" s="63" t="str">
        <f t="shared" si="43"/>
        <v>Sollmann, R. (2018). A gentle introduction to camera‐trap data analysis. &lt;i&gt;African Journal of Ecology,&lt;/i&gt; 56, 740-749. &lt;a href="https://doi.org/10.1111/aje.12557" target="_blank"&gt;https://doi.org/10.1111/aje.12557&lt;/a&gt;&lt;span style="color:white"&gt;[.]{#sollmann_2018}&lt;/span&gt;&lt;br&gt;&lt;br&gt;</v>
      </c>
      <c r="T413" s="64" t="str">
        <f t="shared" si="41"/>
        <v xml:space="preserve">    rtxt_sollmann_2018: "&lt;a href=\"/08_references.html#sollmann_2018\" target=\"_blank\"&gt;Sollmann et al., 2018&lt;/a&gt;"</v>
      </c>
      <c r="U413" s="64" t="str">
        <f t="shared" si="40"/>
        <v xml:space="preserve">    rbib_sollmann_2018: "Sollmann, R. (2018). A gentle introduction to camera‐trap data analysis. *African Journal of Ecology,* 56, 740-749. &lt;https://doi.org/10.1111/aje.12557&gt;"</v>
      </c>
      <c r="V413" s="64"/>
    </row>
    <row r="414" spans="1:22" ht="15.75">
      <c r="A414" s="64"/>
      <c r="B414" s="77" t="b">
        <v>1</v>
      </c>
      <c r="C414" s="77" t="b">
        <v>0</v>
      </c>
      <c r="D414" s="77" t="b">
        <v>0</v>
      </c>
      <c r="E414" s="64" t="s">
        <v>1904</v>
      </c>
      <c r="F414" s="64" t="s">
        <v>2271</v>
      </c>
      <c r="G414" s="64" t="s">
        <v>2270</v>
      </c>
      <c r="H414" s="64" t="s">
        <v>2270</v>
      </c>
      <c r="I414" s="64" t="b">
        <v>1</v>
      </c>
      <c r="J414" s="66" t="s">
        <v>2269</v>
      </c>
      <c r="K414" s="66" t="s">
        <v>3960</v>
      </c>
      <c r="L414" s="64" t="s">
        <v>4212</v>
      </c>
      <c r="M414" s="64" t="s">
        <v>5819</v>
      </c>
      <c r="N414" s="65" t="str">
        <f t="shared" si="42"/>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href="https://doi.org/10.1016/j.biocon.2010.12.011"&gt;{https://doi.org/10.1016/j.biocon.2010.12.011}]{#sollmann_et_al_2011}&lt;br&gt;&lt;br&gt;</v>
      </c>
      <c r="O414" s="64" t="s">
        <v>2268</v>
      </c>
      <c r="P414" s="64" t="s">
        <v>984</v>
      </c>
      <c r="Q414" s="64" t="str">
        <f t="shared" si="38"/>
        <v>{{ rtxt_sollmann_et_al_2011 }}</v>
      </c>
      <c r="R414" s="64" t="str">
        <f t="shared" si="39"/>
        <v>{{ rbib_sollmann_et_al_2011 }}</v>
      </c>
      <c r="S414" s="63" t="str">
        <f t="shared" si="43"/>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target="_blank"&gt;https://doi.org/10.1016/j.biocon.2010.12.011&lt;/a&gt;&lt;span style="color:white"&gt;[.]{#sollmann_et_al_2011}&lt;/span&gt;&lt;br&gt;&lt;br&gt;</v>
      </c>
      <c r="T414" s="64" t="str">
        <f t="shared" si="41"/>
        <v xml:space="preserve">    rtxt_sollmann_et_al_2011: "&lt;a href=\"/08_references.html#sollmann_et_al_2011\" target=\"_blank\"&gt;Sollmann et al., 2011&lt;/a&gt;"</v>
      </c>
      <c r="U414" s="64" t="str">
        <f t="shared" si="40"/>
        <v xml:space="preserve">    rbib_sollmann_et_al_2011: "Sollmann,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v>
      </c>
      <c r="V414" s="64"/>
    </row>
    <row r="415" spans="1:22" ht="15.75">
      <c r="A415" s="64"/>
      <c r="B415" s="77" t="b">
        <v>1</v>
      </c>
      <c r="C415" s="77" t="b">
        <v>0</v>
      </c>
      <c r="D415" s="77" t="b">
        <v>0</v>
      </c>
      <c r="E415" s="64" t="s">
        <v>1904</v>
      </c>
      <c r="F415" s="64" t="s">
        <v>2267</v>
      </c>
      <c r="G415" s="64" t="s">
        <v>2266</v>
      </c>
      <c r="H415" s="64" t="s">
        <v>2266</v>
      </c>
      <c r="I415" s="64" t="b">
        <v>1</v>
      </c>
      <c r="J415" s="66" t="s">
        <v>2265</v>
      </c>
      <c r="K415" s="66" t="s">
        <v>3960</v>
      </c>
      <c r="L415" s="64" t="s">
        <v>4213</v>
      </c>
      <c r="M415" s="64" t="s">
        <v>5961</v>
      </c>
      <c r="N415" s="65" t="str">
        <f t="shared" si="42"/>
        <v>[Sollmann, R., Gardner, B., &amp; Belant, J. L. (2012). How does Spatial Study Design Influence Density Estimates from Spatial capture-recapture models? &lt;i&gt;PLoS One, 7&lt;/i&gt;, e34575. &lt;a target="_blank" href="https://doi.org/10.1371/journal.pone.0034575"&gt;{https://doi.org/10.1371/journal.pone.0034575}]{#sollmann_et_al_2012}&lt;br&gt;&lt;br&gt;</v>
      </c>
      <c r="O415" s="64" t="s">
        <v>2264</v>
      </c>
      <c r="P415" s="64" t="s">
        <v>984</v>
      </c>
      <c r="Q415" s="64" t="str">
        <f t="shared" si="38"/>
        <v>{{ rtxt_sollmann_et_al_2012 }}</v>
      </c>
      <c r="R415" s="64" t="str">
        <f t="shared" si="39"/>
        <v>{{ rbib_sollmann_et_al_2012 }}</v>
      </c>
      <c r="S415" s="63" t="str">
        <f t="shared" si="43"/>
        <v>Sollmann, R., Gardner, B., &amp; Belant, J. L. (2012). How does Spatial Study Design Influence Density Estimates from Spatial capture-recapture models? &lt;i&gt;PLoS One, 7&lt;/i&gt;, e34575. &lt;a href="https://doi.org/10.1371/journal.pone.0034575" target="_blank"&gt;https://doi.org/10.1371/journal.pone.0034575&lt;/a&gt;&lt;span style="color:white"&gt;[.]{#sollmann_et_al_2012}&lt;/span&gt;&lt;br&gt;&lt;br&gt;</v>
      </c>
      <c r="T415" s="64" t="str">
        <f t="shared" si="41"/>
        <v xml:space="preserve">    rtxt_sollmann_et_al_2012: "&lt;a href=\"/08_references.html#sollmann_et_al_2012\" target=\"_blank\"&gt;Sollmann et al., 2012&lt;/a&gt;"</v>
      </c>
      <c r="U415" s="64" t="str">
        <f t="shared" si="40"/>
        <v xml:space="preserve">    rbib_sollmann_et_al_2012: "Sollmann, R., Gardner, B., &amp; Belant, J. L. (2012). How does Spatial Study Design Influence Density Estimates from Spatial capture-recapture models? *PLoS One, 7*, e34575. &lt;https://doi.org/10.1371/journal.pone.0034575&gt;"</v>
      </c>
      <c r="V415" s="64"/>
    </row>
    <row r="416" spans="1:22" ht="15.75">
      <c r="A416" s="64"/>
      <c r="B416" s="77" t="b">
        <v>1</v>
      </c>
      <c r="C416" s="77" t="b">
        <v>0</v>
      </c>
      <c r="D416" s="77" t="b">
        <v>0</v>
      </c>
      <c r="E416" s="64" t="s">
        <v>1904</v>
      </c>
      <c r="F416" s="64" t="s">
        <v>2263</v>
      </c>
      <c r="G416" s="64" t="s">
        <v>2262</v>
      </c>
      <c r="H416" s="64" t="s">
        <v>2262</v>
      </c>
      <c r="I416" s="64" t="b">
        <v>1</v>
      </c>
      <c r="J416" s="66" t="s">
        <v>2261</v>
      </c>
      <c r="K416" s="66" t="s">
        <v>3960</v>
      </c>
      <c r="L416" s="64" t="s">
        <v>4214</v>
      </c>
      <c r="M416" s="64" t="s">
        <v>5879</v>
      </c>
      <c r="N416" s="65" t="str">
        <f t="shared" si="42"/>
        <v>[Sollmann,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href="https://doi.org/10.1111/1365-2664.12098"&gt;{https://doi.org/10.1111/1365-2664.12098}]{#sollmann_et_al_2013a}&lt;br&gt;&lt;br&gt;</v>
      </c>
      <c r="O416" s="64" t="s">
        <v>2260</v>
      </c>
      <c r="P416" s="64" t="s">
        <v>984</v>
      </c>
      <c r="Q416" s="64" t="str">
        <f t="shared" si="38"/>
        <v>{{ rtxt_sollmann_et_al_2013a }}</v>
      </c>
      <c r="R416" s="64" t="str">
        <f t="shared" si="39"/>
        <v>{{ rbib_sollmann_et_al_2013a }}</v>
      </c>
      <c r="S416" s="63" t="str">
        <f t="shared" si="43"/>
        <v>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target="_blank"&gt;https://doi.org/10.1111/1365-2664.12098&lt;/a&gt;&lt;span style="color:white"&gt;[.]{#sollmann_et_al_2013a}&lt;/span&gt;&lt;br&gt;&lt;br&gt;</v>
      </c>
      <c r="T416" s="64" t="str">
        <f t="shared" si="41"/>
        <v xml:space="preserve">    rtxt_sollmann_et_al_2013a: "&lt;a href=\"/08_references.html#sollmann_et_al_2013a\" target=\"_blank\"&gt;Sollmann et al., 2013a&lt;/a&gt;"</v>
      </c>
      <c r="U416" s="64" t="str">
        <f t="shared" si="40"/>
        <v xml:space="preserve">    rbib_sollmann_et_al_2013a: "Sollmann, R., Gardner, B., Chandler, R. B., Shindle, D. B., Onorato, D. P., Royle, J. A., O'Connell, A. F., &amp; Lukacs, P. (2013a). Using multiple data sources provides Density estimates for endangered Florida panther. *Journal of Applied Ecology, 50*(4), 961-968. &lt;https://doi.org/10.1111/1365-2664.12098&gt;"</v>
      </c>
      <c r="V416" s="64"/>
    </row>
    <row r="417" spans="1:22" ht="15.75">
      <c r="A417" s="64"/>
      <c r="B417" s="77" t="b">
        <v>1</v>
      </c>
      <c r="C417" s="77" t="b">
        <v>0</v>
      </c>
      <c r="D417" s="77" t="b">
        <v>0</v>
      </c>
      <c r="E417" s="64" t="s">
        <v>1904</v>
      </c>
      <c r="F417" s="64" t="s">
        <v>2259</v>
      </c>
      <c r="G417" s="64" t="s">
        <v>2258</v>
      </c>
      <c r="H417" s="64" t="s">
        <v>2258</v>
      </c>
      <c r="I417" s="64" t="b">
        <v>1</v>
      </c>
      <c r="J417" s="66" t="s">
        <v>2257</v>
      </c>
      <c r="K417" s="66" t="s">
        <v>3960</v>
      </c>
      <c r="L417" s="64" t="s">
        <v>4215</v>
      </c>
      <c r="M417" s="64" t="s">
        <v>5996</v>
      </c>
      <c r="N417" s="65" t="str">
        <f t="shared" si="42"/>
        <v>[Sollmann, R., Gardner, B., Parsons, A. W., Stocking, J. J., McClintock, B. T., Simons, T. R., Pollock, K. H., &amp; O'Connell, A. F. (2013b). A Spatial Mark-Resight Model Augmented with Telemetry Data. &lt;i&gt;Ecology, 94&lt;/i&gt;(3), 553-559. &lt;a target="_blank" href="https://doi.org/10.1890/12-1256.1"&gt;{https://doi.org/10.1890/12-1256.1}]{#sollmann_et_al_2013b}&lt;br&gt;&lt;br&gt;</v>
      </c>
      <c r="O417" s="64" t="s">
        <v>2256</v>
      </c>
      <c r="P417" s="64" t="s">
        <v>984</v>
      </c>
      <c r="Q417" s="64" t="str">
        <f t="shared" si="38"/>
        <v>{{ rtxt_sollmann_et_al_2013b }}</v>
      </c>
      <c r="R417" s="64" t="str">
        <f t="shared" si="39"/>
        <v>{{ rbib_sollmann_et_al_2013b }}</v>
      </c>
      <c r="S417" s="63" t="str">
        <f t="shared" si="43"/>
        <v>Sollmann, R., Gardner, B., Parsons, A. W., Stocking, J. J., McClintock, B. T., Simons, T. R., Pollock, K. H., &amp; O'Connell, A. F. (2013b). A Spatial Mark-Resight Model Augmented with Telemetry Data. &lt;i&gt;Ecology, 94&lt;/i&gt;(3), 553-559. &lt;a href="https://doi.org/10.1890/12-1256.1" target="_blank"&gt;https://doi.org/10.1890/12-1256.1&lt;/a&gt;&lt;span style="color:white"&gt;[.]{#sollmann_et_al_2013b}&lt;/span&gt;&lt;br&gt;&lt;br&gt;</v>
      </c>
      <c r="T417" s="64" t="str">
        <f t="shared" si="41"/>
        <v xml:space="preserve">    rtxt_sollmann_et_al_2013b: "&lt;a href=\"/08_references.html#sollmann_et_al_2013b\" target=\"_blank\"&gt;Sollmann et al., 2013b&lt;/a&gt;"</v>
      </c>
      <c r="U417" s="64" t="str">
        <f t="shared" si="40"/>
        <v xml:space="preserve">    rbib_sollmann_et_al_2013b: "Sollmann, R., Gardner, B., Parsons, A. W., Stocking, J. J., McClintock, B. T., Simons, T. R., Pollock, K. H., &amp; O'Connell, A. F. (2013b). A Spatial Mark-Resight Model Augmented with Telemetry Data. *Ecology, 94*(3), 553-559. &lt;https://doi.org/10.1890/12-1256.1&gt;"</v>
      </c>
      <c r="V417" s="64"/>
    </row>
    <row r="418" spans="1:22" ht="15.75">
      <c r="A418" s="64"/>
      <c r="B418" s="77" t="b">
        <v>1</v>
      </c>
      <c r="C418" s="77" t="b">
        <v>0</v>
      </c>
      <c r="D418" s="77" t="b">
        <v>0</v>
      </c>
      <c r="E418" s="64" t="s">
        <v>1904</v>
      </c>
      <c r="F418" s="64" t="s">
        <v>2255</v>
      </c>
      <c r="G418" s="64" t="s">
        <v>2254</v>
      </c>
      <c r="H418" s="64" t="s">
        <v>2254</v>
      </c>
      <c r="I418" s="64" t="b">
        <v>1</v>
      </c>
      <c r="J418" s="66" t="s">
        <v>2253</v>
      </c>
      <c r="K418" s="66" t="s">
        <v>3960</v>
      </c>
      <c r="L418" s="64" t="s">
        <v>4216</v>
      </c>
      <c r="M418" s="64" t="s">
        <v>5821</v>
      </c>
      <c r="N418" s="65" t="str">
        <f t="shared" si="42"/>
        <v>[Sollmann, R., Mohamed, A., Samejima, H., &amp; Wilting, A. (2013c). Risky Business or Simple Solution - Relative Abundance Indices from Camera-Trapping. &lt;i&gt;Biological Conservation, 159&lt;/i&gt;, 405-412. &lt;a target="_blank" href="https://doi.org/10.1016/j.biocon.2012.12.025"&gt;{https://doi.org/10.1016/j.biocon.2012.12.025}]{#sollmann_et_al_2013c}&lt;br&gt;&lt;br&gt;</v>
      </c>
      <c r="O418" s="64" t="s">
        <v>2252</v>
      </c>
      <c r="P418" s="64" t="s">
        <v>984</v>
      </c>
      <c r="Q418" s="64" t="str">
        <f t="shared" si="38"/>
        <v>{{ rtxt_sollmann_et_al_2013c }}</v>
      </c>
      <c r="R418" s="64" t="str">
        <f t="shared" si="39"/>
        <v>{{ rbib_sollmann_et_al_2013c }}</v>
      </c>
      <c r="S418" s="63" t="str">
        <f t="shared" si="43"/>
        <v>Sollmann, R., Mohamed, A., Samejima, H., &amp; Wilting, A. (2013c). Risky Business or Simple Solution - Relative Abundance Indices from Camera-Trapping. &lt;i&gt;Biological Conservation, 159&lt;/i&gt;, 405-412. &lt;a href="https://doi.org/10.1016/j.biocon.2012.12.025" target="_blank"&gt;https://doi.org/10.1016/j.biocon.2012.12.025&lt;/a&gt;&lt;span style="color:white"&gt;[.]{#sollmann_et_al_2013c}&lt;/span&gt;&lt;br&gt;&lt;br&gt;</v>
      </c>
      <c r="T418" s="64" t="str">
        <f t="shared" si="41"/>
        <v xml:space="preserve">    rtxt_sollmann_et_al_2013c: "&lt;a href=\"/08_references.html#sollmann_et_al_2013c\" target=\"_blank\"&gt;Sollmann et al., 2013c&lt;/a&gt;"</v>
      </c>
      <c r="U418" s="64" t="str">
        <f t="shared" si="40"/>
        <v xml:space="preserve">    rbib_sollmann_et_al_2013c: "Sollmann, R., Mohamed, A., Samejima, H., &amp; Wilting, A. (2013c). Risky Business or Simple Solution - Relative Abundance Indices from Camera-Trapping. *Biological Conservation, 159*, 405-412. &lt;https://doi.org/10.1016/j.biocon.2012.12.025&gt;"</v>
      </c>
      <c r="V418" s="64"/>
    </row>
    <row r="419" spans="1:22" ht="15.75">
      <c r="A419" s="64"/>
      <c r="B419" s="77"/>
      <c r="C419" s="77"/>
      <c r="D419" s="77"/>
      <c r="E419" s="64" t="s">
        <v>2246</v>
      </c>
      <c r="F419" s="64" t="s">
        <v>2251</v>
      </c>
      <c r="G419" s="64" t="s">
        <v>2250</v>
      </c>
      <c r="H419" s="64" t="s">
        <v>2249</v>
      </c>
      <c r="I419" s="64" t="b">
        <v>1</v>
      </c>
      <c r="J419" s="66" t="s">
        <v>2248</v>
      </c>
      <c r="K419" s="66" t="s">
        <v>3960</v>
      </c>
      <c r="L419" s="64" t="s">
        <v>4217</v>
      </c>
      <c r="M419" s="64" t="s">
        <v>5707</v>
      </c>
      <c r="N419" s="65" t="str">
        <f t="shared" si="42"/>
        <v>[Solymos, P. (2023). &lt;i&gt;Package ‘detect': Analyzing Wildlife Data with Detection Error.&lt;/i&gt; R package version 0.4-6. &lt;a target="_blank" href="https://cran.r-project.org/web/packages/detect/detect.pdf"&gt;{https://cran.r-project.org/web/packages/detect/detect.pdf}]{#solymos_2023}&lt;br&gt;&lt;br&gt;</v>
      </c>
      <c r="O419" s="64" t="s">
        <v>2247</v>
      </c>
      <c r="P419" s="64" t="s">
        <v>984</v>
      </c>
      <c r="Q419" s="64" t="str">
        <f t="shared" si="38"/>
        <v>{{ rtxt_solymos_2023 }}</v>
      </c>
      <c r="R419" s="64" t="str">
        <f t="shared" si="39"/>
        <v>{{ rbib_solymos_2023 }}</v>
      </c>
      <c r="S419" s="63" t="str">
        <f t="shared" si="43"/>
        <v>Solymos, P. (2023). &lt;i&gt;Package ‘detect': Analyzing Wildlife Data with Detection Error.&lt;/i&gt; R package version 0.4-6. &lt;a href="https://cran.r-project.org/web/packages/detect/detect.pdf" target="_blank"&gt;https://cran.r-project.org/web/packages/detect/detect.pdf&lt;/a&gt;&lt;span style="color:white"&gt;[.]{#solymos_2023}&lt;/span&gt;&lt;br&gt;&lt;br&gt;</v>
      </c>
      <c r="T419" s="64" t="str">
        <f t="shared" si="41"/>
        <v xml:space="preserve">    rtxt_solymos_2023: "&lt;a href=\"/08_references.html#solymos_2023\" target=\"_blank\"&gt;Solymos, 2024&lt;/a&gt;"</v>
      </c>
      <c r="U419" s="64" t="str">
        <f t="shared" si="40"/>
        <v xml:space="preserve">    rbib_solymos_2023: "Solymos, P. (2023). *Package ‘detect': Analyzing Wildlife Data with Detection Error.* R package version 0.4-6. &lt;https://cran.r-project.org/web/packages/detect/detect.pdf&gt;"</v>
      </c>
      <c r="V419" s="64"/>
    </row>
    <row r="420" spans="1:22" ht="15.75">
      <c r="A420" s="64"/>
      <c r="B420" s="77" t="b">
        <v>0</v>
      </c>
      <c r="C420" s="77" t="b">
        <v>0</v>
      </c>
      <c r="D420" s="77"/>
      <c r="E420" s="64" t="s">
        <v>2246</v>
      </c>
      <c r="F420" s="65" t="s">
        <v>2245</v>
      </c>
      <c r="G420" s="64" t="s">
        <v>2244</v>
      </c>
      <c r="H420" s="64" t="s">
        <v>2243</v>
      </c>
      <c r="I420" s="64" t="b">
        <v>1</v>
      </c>
      <c r="J420" s="66" t="s">
        <v>2242</v>
      </c>
      <c r="K420" s="66" t="s">
        <v>3960</v>
      </c>
      <c r="L420" s="64" t="s">
        <v>4218</v>
      </c>
      <c r="M420" s="64" t="s">
        <v>6050</v>
      </c>
      <c r="N420" s="65" t="str">
        <f t="shared" si="42"/>
        <v>[Solymos, P., Moreno M., &amp; Lele, S. R. (2024). &lt;i&gt;detect: Analyzing Wildlife Data with Detection Error&lt;/i&gt;. R package version 0.5-0, &lt;a target="_blank" href="https://github.com/psolymos/detect"&gt;{https://github.com/psolymos/detect}]{#solymos_et_al_2024}&lt;br&gt;&lt;br&gt;</v>
      </c>
      <c r="O420" s="64" t="s">
        <v>2241</v>
      </c>
      <c r="P420" s="64" t="s">
        <v>984</v>
      </c>
      <c r="Q420" s="64" t="str">
        <f t="shared" si="38"/>
        <v>{{ rtxt_solymos_et_al_2024 }}</v>
      </c>
      <c r="R420" s="64" t="str">
        <f t="shared" si="39"/>
        <v>{{ rbib_solymos_et_al_2024 }}</v>
      </c>
      <c r="S420" s="63" t="str">
        <f t="shared" si="43"/>
        <v>Solymos, P., Moreno M., &amp; Lele, S. R. (2024). &lt;i&gt;detect: Analyzing Wildlife Data with Detection Error&lt;/i&gt;. R package version 0.5-0, &lt;a href="https://github.com/psolymos/detect" target="_blank"&gt;https://github.com/psolymos/detect&lt;/a&gt;&lt;span style="color:white"&gt;[.]{#solymos_et_al_2024}&lt;/span&gt;&lt;br&gt;&lt;br&gt;</v>
      </c>
      <c r="T420" s="64" t="str">
        <f t="shared" si="41"/>
        <v xml:space="preserve">    rtxt_solymos_et_al_2024: "&lt;a href=\"/08_references.html#solymos_et_al_2024\" target=\"_blank\"&gt;Solymos et al., 2024&lt;/a&gt;"</v>
      </c>
      <c r="U420" s="64" t="str">
        <f t="shared" si="40"/>
        <v xml:space="preserve">    rbib_solymos_et_al_2024: "Solymos, P., Moreno M., &amp; Lele, S. R. (2024). *detect: Analyzing Wildlife Data with Detection Error*. R package version 0.5-0, &lt;https://github.com/psolymos/detect&gt;"</v>
      </c>
      <c r="V420" s="64"/>
    </row>
    <row r="421" spans="1:22" ht="15.75">
      <c r="A421" s="64"/>
      <c r="B421" s="77" t="b">
        <v>1</v>
      </c>
      <c r="C421" s="77" t="b">
        <v>0</v>
      </c>
      <c r="D421" s="77" t="b">
        <v>0</v>
      </c>
      <c r="E421" s="64" t="s">
        <v>1904</v>
      </c>
      <c r="F421" s="64" t="s">
        <v>2240</v>
      </c>
      <c r="G421" s="64" t="s">
        <v>2239</v>
      </c>
      <c r="H421" s="64" t="s">
        <v>2239</v>
      </c>
      <c r="I421" s="64" t="b">
        <v>1</v>
      </c>
      <c r="J421" s="66" t="s">
        <v>2238</v>
      </c>
      <c r="K421" s="66" t="s">
        <v>3960</v>
      </c>
      <c r="L421" s="64" t="s">
        <v>4219</v>
      </c>
      <c r="M421" s="64" t="s">
        <v>5950</v>
      </c>
      <c r="N421" s="65" t="str">
        <f t="shared" si="42"/>
        <v>[Soria-Díaz,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href="https://doi.org/10.1163/157075610X523251"&gt;{https://doi.org/10.1163/157075610X523251}]{#soria_diaz_et_al_2010}&lt;br&gt;&lt;br&gt;</v>
      </c>
      <c r="O421" s="64" t="s">
        <v>2237</v>
      </c>
      <c r="P421" s="64" t="s">
        <v>984</v>
      </c>
      <c r="Q421" s="64" t="str">
        <f t="shared" si="38"/>
        <v>{{ rtxt_soria_diaz_et_al_2010 }}</v>
      </c>
      <c r="R421" s="64" t="str">
        <f t="shared" si="39"/>
        <v>{{ rbib_soria_diaz_et_al_2010 }}</v>
      </c>
      <c r="S421" s="63" t="str">
        <f t="shared" si="43"/>
        <v>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target="_blank"&gt;https://doi.org/10.1163/157075610X523251&lt;/a&gt;&lt;span style="color:white"&gt;[.]{#soria_diaz_et_al_2010}&lt;/span&gt;&lt;br&gt;&lt;br&gt;</v>
      </c>
      <c r="T421" s="64" t="str">
        <f t="shared" si="41"/>
        <v xml:space="preserve">    rtxt_soria_diaz_et_al_2010: "&lt;a href=\"/08_references.html#soria_diaz_et_al_2010\" target=\"_blank\"&gt;Soria-Díaz et al., 2010&lt;/a&gt;"</v>
      </c>
      <c r="U421" s="64" t="str">
        <f t="shared" si="40"/>
        <v xml:space="preserve">    rbib_soria_diaz_et_al_2010: "Soria-Díaz, L., Monroy-Vilchis, O., Rodríguez-Soto, C., Zarco-González, M., &amp; Urios, V. (2010). Variation of Abundance and Density of *Puma concolor* in Zones of High and Low Concentration of Camera Traps in Central Mexico. *Animal Biology, 60*(4), 361-371. &lt;https://doi.org/10.1163/157075610X523251&gt;"</v>
      </c>
      <c r="V421" s="64"/>
    </row>
    <row r="422" spans="1:22" ht="15.75">
      <c r="A422" s="64"/>
      <c r="B422" s="77" t="b">
        <v>0</v>
      </c>
      <c r="C422" s="77" t="b">
        <v>0</v>
      </c>
      <c r="D422" s="77" t="s">
        <v>1993</v>
      </c>
      <c r="E422" s="64" t="s">
        <v>1904</v>
      </c>
      <c r="F422" s="64" t="s">
        <v>2236</v>
      </c>
      <c r="G422" s="64" t="s">
        <v>2235</v>
      </c>
      <c r="H422" s="64" t="s">
        <v>2235</v>
      </c>
      <c r="I422" s="64" t="b">
        <v>1</v>
      </c>
      <c r="J422" s="66" t="s">
        <v>2234</v>
      </c>
      <c r="K422" s="66" t="s">
        <v>3960</v>
      </c>
      <c r="L422" s="64" t="s">
        <v>4220</v>
      </c>
      <c r="M422" s="64" t="s">
        <v>5721</v>
      </c>
      <c r="N422" s="65" t="str">
        <f t="shared" si="42"/>
        <v>[Southwell,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href="https://doi.org/10.1002/eap.1950"&gt;{https://doi.org/10.1002/eap.1950}]{#southwell_et_al_2019}&lt;br&gt;&lt;br&gt;</v>
      </c>
      <c r="O422" s="64" t="s">
        <v>2233</v>
      </c>
      <c r="P422" s="64" t="s">
        <v>984</v>
      </c>
      <c r="Q422" s="64" t="str">
        <f t="shared" si="38"/>
        <v>{{ rtxt_southwell_et_al_2019 }}</v>
      </c>
      <c r="R422" s="64" t="str">
        <f t="shared" si="39"/>
        <v>{{ rbib_southwell_et_al_2019 }}</v>
      </c>
      <c r="S422" s="63" t="str">
        <f t="shared" si="43"/>
        <v>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target="_blank"&gt;https://doi.org/10.1002/eap.1950&lt;/a&gt;&lt;span style="color:white"&gt;[.]{#southwell_et_al_2019}&lt;/span&gt;&lt;br&gt;&lt;br&gt;</v>
      </c>
      <c r="T422" s="64" t="str">
        <f t="shared" si="41"/>
        <v xml:space="preserve">    rtxt_southwell_et_al_2019: "&lt;a href=\"/08_references.html#southwell_et_al_2019\" target=\"_blank\"&gt;Southwell et al., 2019&lt;/a&gt;"</v>
      </c>
      <c r="U422" s="64" t="str">
        <f t="shared" si="40"/>
        <v xml:space="preserve">    rbib_southwell_et_al_2019: "Southwell, D. M., Einoder, L. D., Lahoz‐Monfort, J. J., Fisher, A., Gillespie, G. R., &amp; Wintle, B. A. (2019). Spatially explicit power analysis for detecting occupancy trends for multiple species. *Ecological Applications, 29*, e01950. &lt;https://doi.org/10.1002/eap.1950&gt;"</v>
      </c>
      <c r="V422" s="64"/>
    </row>
    <row r="423" spans="1:22" ht="15.75">
      <c r="A423" s="64"/>
      <c r="B423" s="77"/>
      <c r="C423" s="77"/>
      <c r="D423" s="77"/>
      <c r="E423" s="64" t="s">
        <v>1904</v>
      </c>
      <c r="F423" s="64" t="s">
        <v>2232</v>
      </c>
      <c r="G423" s="65" t="s">
        <v>2231</v>
      </c>
      <c r="H423" s="65" t="s">
        <v>2231</v>
      </c>
      <c r="I423" s="64" t="b">
        <v>1</v>
      </c>
      <c r="J423" s="66" t="s">
        <v>2230</v>
      </c>
      <c r="K423" s="66" t="s">
        <v>3960</v>
      </c>
      <c r="L423" s="64" t="s">
        <v>4221</v>
      </c>
      <c r="M423" s="64" t="s">
        <v>5982</v>
      </c>
      <c r="N423" s="65" t="str">
        <f t="shared" si="42"/>
        <v>[Spencer, W. D. (2012). Home ranges and the value of spatial information. &lt;i&gt;Journal of Mammalogy, 93&lt;/i&gt;(4), 929-947. &lt;a target="_blank" href="https://doi.org/10.1644/12-MAMM-S-061.1"&gt;{https://doi.org/10.1644/12-MAMM-S-061.1}]{#spencer_2012}&lt;br&gt;&lt;br&gt;</v>
      </c>
      <c r="O423" s="64" t="s">
        <v>2229</v>
      </c>
      <c r="P423" s="64" t="s">
        <v>984</v>
      </c>
      <c r="Q423" s="64" t="str">
        <f t="shared" si="38"/>
        <v>{{ rtxt_spencer_2012 }}</v>
      </c>
      <c r="R423" s="64" t="str">
        <f t="shared" si="39"/>
        <v>{{ rbib_spencer_2012 }}</v>
      </c>
      <c r="S423" s="63" t="str">
        <f t="shared" si="43"/>
        <v>Spencer, W. D. (2012). Home ranges and the value of spatial information. &lt;i&gt;Journal of Mammalogy, 93&lt;/i&gt;(4), 929-947. &lt;a href="https://doi.org/10.1644/12-MAMM-S-061.1" target="_blank"&gt;https://doi.org/10.1644/12-MAMM-S-061.1&lt;/a&gt;&lt;span style="color:white"&gt;[.]{#spencer_2012}&lt;/span&gt;&lt;br&gt;&lt;br&gt;</v>
      </c>
      <c r="T423" s="64" t="str">
        <f t="shared" si="41"/>
        <v xml:space="preserve">    rtxt_spencer_2012: "&lt;a href=\"/08_references.html#spencer_2012\" target=\"_blank\"&gt;Spencer, 2012&lt;/a&gt;"</v>
      </c>
      <c r="U423" s="64" t="str">
        <f t="shared" si="40"/>
        <v xml:space="preserve">    rbib_spencer_2012: "Spencer, W. D. (2012). Home ranges and the value of spatial information. *Journal of Mammalogy, 93*(4), 929-947. &lt;https://doi.org/10.1644/12-MAMM-S-061.1&gt;"</v>
      </c>
      <c r="V423" s="64"/>
    </row>
    <row r="424" spans="1:22" ht="15.75">
      <c r="A424" s="64"/>
      <c r="B424" s="77"/>
      <c r="C424" s="77"/>
      <c r="D424" s="77"/>
      <c r="E424" s="64" t="s">
        <v>1904</v>
      </c>
      <c r="F424" s="64" t="s">
        <v>2228</v>
      </c>
      <c r="G424" s="64" t="s">
        <v>2227</v>
      </c>
      <c r="H424" s="64" t="s">
        <v>2227</v>
      </c>
      <c r="I424" s="64" t="b">
        <v>1</v>
      </c>
      <c r="J424" s="66" t="s">
        <v>2226</v>
      </c>
      <c r="K424" s="66" t="s">
        <v>3960</v>
      </c>
      <c r="L424" s="64" t="s">
        <v>4222</v>
      </c>
      <c r="M424" s="64" t="s">
        <v>5815</v>
      </c>
      <c r="N424" s="65" t="str">
        <f t="shared" si="42"/>
        <v>[Stanton, L. A., Sullivan, M. S., &amp; Fazio, J. M. (2015). A standardized ethogram for the felidae: A tool for behavioral researchers. &lt;i&gt;Applied Animal Behaviour Science, 173&lt;/i&gt;, 3-16. &lt;a target="_blank" href="https://doi.org/10.1016/j.applanim.2015.04.001"&gt;{https://doi.org/10.1016/j.applanim.2015.04.001}]{#stanton_et_al_2015}&lt;br&gt;&lt;br&gt;</v>
      </c>
      <c r="O424" s="64" t="s">
        <v>2225</v>
      </c>
      <c r="P424" s="64" t="s">
        <v>984</v>
      </c>
      <c r="Q424" s="64" t="str">
        <f t="shared" si="38"/>
        <v>{{ rtxt_stanton_et_al_2015 }}</v>
      </c>
      <c r="R424" s="64" t="str">
        <f t="shared" si="39"/>
        <v>{{ rbib_stanton_et_al_2015 }}</v>
      </c>
      <c r="S424" s="63" t="str">
        <f t="shared" si="43"/>
        <v>Stanton, L. A., Sullivan, M. S., &amp; Fazio, J. M. (2015). A standardized ethogram for the felidae: A tool for behavioral researchers. &lt;i&gt;Applied Animal Behaviour Science, 173&lt;/i&gt;, 3-16. &lt;a href="https://doi.org/10.1016/j.applanim.2015.04.001" target="_blank"&gt;https://doi.org/10.1016/j.applanim.2015.04.001&lt;/a&gt;&lt;span style="color:white"&gt;[.]{#stanton_et_al_2015}&lt;/span&gt;&lt;br&gt;&lt;br&gt;</v>
      </c>
      <c r="T424" s="64" t="str">
        <f t="shared" si="41"/>
        <v xml:space="preserve">    rtxt_stanton_et_al_2015: "&lt;a href=\"/08_references.html#stanton_et_al_2015\" target=\"_blank\"&gt;Stanton et al., 2015&lt;/a&gt;"</v>
      </c>
      <c r="U424" s="64" t="str">
        <f t="shared" si="40"/>
        <v xml:space="preserve">    rbib_stanton_et_al_2015: "Stanton, L. A., Sullivan, M. S., &amp; Fazio, J. M. (2015). A standardized ethogram for the felidae: A tool for behavioral researchers. *Applied Animal Behaviour Science, 173*, 3-16. &lt;https://doi.org/10.1016/j.applanim.2015.04.001&gt;"</v>
      </c>
      <c r="V424" s="64"/>
    </row>
    <row r="425" spans="1:22" ht="15.75">
      <c r="A425" s="64"/>
      <c r="B425" s="77" t="b">
        <v>1</v>
      </c>
      <c r="C425" s="77" t="b">
        <v>1</v>
      </c>
      <c r="D425" s="77" t="b">
        <v>0</v>
      </c>
      <c r="E425" s="64" t="s">
        <v>1904</v>
      </c>
      <c r="F425" s="64" t="s">
        <v>2219</v>
      </c>
      <c r="G425" s="64" t="s">
        <v>2218</v>
      </c>
      <c r="H425" s="64" t="s">
        <v>2218</v>
      </c>
      <c r="I425" s="64" t="b">
        <v>1</v>
      </c>
      <c r="J425" s="66" t="s">
        <v>2217</v>
      </c>
      <c r="K425" s="66" t="s">
        <v>3960</v>
      </c>
      <c r="L425" s="64" t="s">
        <v>4223</v>
      </c>
      <c r="M425" s="64" t="s">
        <v>5748</v>
      </c>
      <c r="N425" s="65" t="str">
        <f t="shared" si="42"/>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href="https://doi.org/10.1002/fee.l448"&gt;{https://doi.org/10.1002/fee.l448}]{#steenweg_et_al_2017}&lt;br&gt;&lt;br&gt;</v>
      </c>
      <c r="O425" s="64" t="s">
        <v>2216</v>
      </c>
      <c r="P425" s="64" t="s">
        <v>984</v>
      </c>
      <c r="Q425" s="64" t="str">
        <f t="shared" si="38"/>
        <v>{{ rtxt_steenweg_et_al_2017 }}</v>
      </c>
      <c r="R425" s="64" t="str">
        <f t="shared" si="39"/>
        <v>{{ rbib_steenweg_et_al_2017 }}</v>
      </c>
      <c r="S425" s="63" t="str">
        <f t="shared" si="43"/>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href="https://doi.org/10.1002/fee.l448" target="_blank"&gt;https://doi.org/10.1002/fee.l448&lt;/a&gt;&lt;span style="color:white"&gt;[.]{#steenweg_et_al_2017}&lt;/span&gt;&lt;br&gt;&lt;br&gt;</v>
      </c>
      <c r="T425" s="64" t="str">
        <f t="shared" si="41"/>
        <v xml:space="preserve">    rtxt_steenweg_et_al_2017: "&lt;a href=\"/08_references.html#steenweg_et_al_2017\" target=\"_blank\"&gt;Steenweg et al., 2017&lt;/a&gt;"</v>
      </c>
      <c r="U425" s="64" t="str">
        <f t="shared" si="40"/>
        <v xml:space="preserve">    rbib_steenweg_et_al_2017: "Steenweg,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v>
      </c>
      <c r="V425" s="64"/>
    </row>
    <row r="426" spans="1:22" ht="15.75">
      <c r="A426" s="64"/>
      <c r="B426" s="77" t="b">
        <v>1</v>
      </c>
      <c r="C426" s="77" t="b">
        <v>0</v>
      </c>
      <c r="D426" s="77" t="b">
        <v>0</v>
      </c>
      <c r="E426" s="64" t="s">
        <v>1904</v>
      </c>
      <c r="F426" s="64" t="s">
        <v>2211</v>
      </c>
      <c r="G426" s="64" t="s">
        <v>2210</v>
      </c>
      <c r="H426" s="64" t="s">
        <v>2210</v>
      </c>
      <c r="I426" s="64" t="b">
        <v>1</v>
      </c>
      <c r="J426" s="66" t="s">
        <v>2209</v>
      </c>
      <c r="K426" s="66" t="s">
        <v>3960</v>
      </c>
      <c r="L426" s="64" t="s">
        <v>4224</v>
      </c>
      <c r="M426" s="64" t="s">
        <v>5740</v>
      </c>
      <c r="N426" s="65" t="str">
        <f t="shared" si="42"/>
        <v>[Steenweg,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href="https://doi.org/10.1002/ecs2.2639"&gt;{https://doi.org/10.1002/ecs2.2639}]{#steenweg_et_al_2019}&lt;br&gt;&lt;br&gt;</v>
      </c>
      <c r="O426" s="64" t="s">
        <v>2208</v>
      </c>
      <c r="P426" s="64" t="s">
        <v>984</v>
      </c>
      <c r="Q426" s="64" t="str">
        <f t="shared" si="38"/>
        <v>{{ rtxt_steenweg_et_al_2019 }}</v>
      </c>
      <c r="R426" s="64" t="str">
        <f t="shared" si="39"/>
        <v>{{ rbib_steenweg_et_al_2019 }}</v>
      </c>
      <c r="S426" s="63" t="str">
        <f t="shared" si="43"/>
        <v>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target="_blank"&gt;https://doi.org/10.1002/ecs2.2639&lt;/a&gt;&lt;span style="color:white"&gt;[.]{#steenweg_et_al_2019}&lt;/span&gt;&lt;br&gt;&lt;br&gt;</v>
      </c>
      <c r="T426" s="64" t="str">
        <f t="shared" si="41"/>
        <v xml:space="preserve">    rtxt_steenweg_et_al_2019: "&lt;a href=\"/08_references.html#steenweg_et_al_2019\" target=\"_blank\"&gt;Steenweg et al., 2019&lt;/a&gt;"</v>
      </c>
      <c r="U426" s="64" t="str">
        <f t="shared" si="40"/>
        <v xml:space="preserve">    rbib_steenweg_et_al_2019: "Steenweg, R., Hebblewhite, M., Whittington, J., &amp; Mckelvey, K. (2019). Species‐specific Differences in Detection and Occupancy Probabilities Help Drive Ability to Detect Trends in Occupancy. *Ecosphere, 10*(4), Article e02639. &lt;https://doi.org/10.1002/ecs2.2639&gt;"</v>
      </c>
      <c r="V426" s="64"/>
    </row>
    <row r="427" spans="1:22" ht="15.75">
      <c r="A427" s="64"/>
      <c r="B427" s="77" t="b">
        <v>1</v>
      </c>
      <c r="C427" s="77" t="b">
        <v>0</v>
      </c>
      <c r="D427" s="77" t="b">
        <v>0</v>
      </c>
      <c r="E427" s="64" t="s">
        <v>1904</v>
      </c>
      <c r="F427" s="64" t="s">
        <v>2215</v>
      </c>
      <c r="G427" s="64" t="s">
        <v>2214</v>
      </c>
      <c r="H427" s="64" t="s">
        <v>2214</v>
      </c>
      <c r="I427" s="64" t="b">
        <v>1</v>
      </c>
      <c r="J427" s="66" t="s">
        <v>2213</v>
      </c>
      <c r="K427" s="66" t="s">
        <v>3960</v>
      </c>
      <c r="L427" s="64" t="s">
        <v>4225</v>
      </c>
      <c r="M427" s="64" t="s">
        <v>5746</v>
      </c>
      <c r="N427" s="65" t="str">
        <f t="shared" si="42"/>
        <v>[Steenweg, R., Hebblewhite, M., Whittington, J., Lukacs, P., &amp; McKelvey, K. (2018). Sampling scales define occupancy and underlying occupancy-abundance relationships in animals. &lt;i&gt;Ecology&lt;i&gt;, &lt;i&gt;99&lt;/i&gt;(1), 172-183. &lt;a target="_blank" href="https://doi.org/10.1002/ecy.2054"&gt;{https://doi.org/10.1002/ecy.2054}]{#steenweg_et_al_2018}&lt;br&gt;&lt;br&gt;</v>
      </c>
      <c r="O427" s="64" t="s">
        <v>2212</v>
      </c>
      <c r="P427" s="64" t="s">
        <v>984</v>
      </c>
      <c r="Q427" s="64" t="str">
        <f t="shared" si="38"/>
        <v>{{ rtxt_steenweg_et_al_2018 }}</v>
      </c>
      <c r="R427" s="64" t="str">
        <f t="shared" si="39"/>
        <v>{{ rbib_steenweg_et_al_2018 }}</v>
      </c>
      <c r="S427" s="63" t="str">
        <f t="shared" si="43"/>
        <v>Steenweg, R., Hebblewhite, M., Whittington, J., Lukacs, P., &amp; McKelvey, K. (2018). Sampling scales define occupancy and underlying occupancy-abundance relationships in animals. &lt;i&gt;Ecology&lt;i&gt;, &lt;i&gt;99&lt;/i&gt;(1), 172-183. &lt;a href="https://doi.org/10.1002/ecy.2054" target="_blank"&gt;https://doi.org/10.1002/ecy.2054&lt;/a&gt;&lt;span style="color:white"&gt;[.]{#steenweg_et_al_2018}&lt;/span&gt;&lt;br&gt;&lt;br&gt;</v>
      </c>
      <c r="T427" s="64" t="str">
        <f t="shared" si="41"/>
        <v xml:space="preserve">    rtxt_steenweg_et_al_2018: "&lt;a href=\"/08_references.html#steenweg_et_al_2018\" target=\"_blank\"&gt;Steenweg et al., 2018&lt;/a&gt;"</v>
      </c>
      <c r="U427" s="64" t="str">
        <f t="shared" si="40"/>
        <v xml:space="preserve">    rbib_steenweg_et_al_2018: "Steenweg, R., Hebblewhite, M., Whittington, J., Lukacs, P., &amp; McKelvey, K. (2018). Sampling scales define occupancy and underlying occupancy-abundance relationships in animals. *Ecology, 99*(1), 172-183. &lt;https://doi.org/10.1002/ecy.2054&gt;"</v>
      </c>
      <c r="V427" s="64"/>
    </row>
    <row r="428" spans="1:22" ht="15.75">
      <c r="A428" s="64"/>
      <c r="B428" s="77" t="b">
        <v>1</v>
      </c>
      <c r="C428" s="77" t="b">
        <v>1</v>
      </c>
      <c r="D428" s="77" t="b">
        <v>0</v>
      </c>
      <c r="E428" s="64" t="s">
        <v>1904</v>
      </c>
      <c r="F428" s="64" t="s">
        <v>2224</v>
      </c>
      <c r="G428" s="64" t="s">
        <v>2223</v>
      </c>
      <c r="H428" s="64" t="s">
        <v>2222</v>
      </c>
      <c r="I428" s="64" t="b">
        <v>1</v>
      </c>
      <c r="J428" s="66" t="s">
        <v>2221</v>
      </c>
      <c r="K428" s="66" t="s">
        <v>3960</v>
      </c>
      <c r="L428" s="64" t="s">
        <v>4226</v>
      </c>
      <c r="M428" s="64" t="s">
        <v>5686</v>
      </c>
      <c r="N428" s="65" t="str">
        <f t="shared" si="42"/>
        <v>[Steenweg,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href="http://parkscanadahistory.com/wildlife/steenweg-2015.pdf"&gt;{http://parkscanadahistory.com/wildlife/steenweg-2015.pdf}]{#steenweg_et_al_2015}&lt;br&gt;&lt;br&gt;</v>
      </c>
      <c r="O428" s="64" t="s">
        <v>2220</v>
      </c>
      <c r="P428" s="64" t="s">
        <v>984</v>
      </c>
      <c r="Q428" s="64" t="str">
        <f t="shared" si="38"/>
        <v>{{ rtxt_steenweg_et_al_2015 }}</v>
      </c>
      <c r="R428" s="64" t="str">
        <f t="shared" si="39"/>
        <v>{{ rbib_steenweg_et_al_2015 }}</v>
      </c>
      <c r="S428" s="63" t="str">
        <f t="shared" si="43"/>
        <v>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target="_blank"&gt;http://parkscanadahistory.com/wildlife/steenweg-2015.pdf&lt;/a&gt;&lt;span style="color:white"&gt;[.]{#steenweg_et_al_2015}&lt;/span&gt;&lt;br&gt;&lt;br&gt;</v>
      </c>
      <c r="T428" s="64" t="str">
        <f t="shared" si="41"/>
        <v xml:space="preserve">    rtxt_steenweg_et_al_2015: "&lt;a href=\"/08_references.html#steenweg_et_al_2015\" target=\"_blank\"&gt;Steenweg et al., 2015&lt;/a&gt;"</v>
      </c>
      <c r="U428" s="64" t="str">
        <f t="shared" si="40"/>
        <v xml:space="preserve">    rbib_steenweg_et_al_2015: "Steenweg, R., Whittington, J., &amp; Hebblewhite, M. (2015). *Canadian Rockies remote camera multi-species occupancy project: Examining trends in carnivore populations and their prey*. University of Montana. &lt;http://parkscanadahistory.com/wildlife/steenweg-2015.pdf&gt;"</v>
      </c>
      <c r="V428" s="64"/>
    </row>
    <row r="429" spans="1:22" ht="15.75">
      <c r="A429" s="64"/>
      <c r="B429" s="77" t="b">
        <v>1</v>
      </c>
      <c r="C429" s="77" t="b">
        <v>0</v>
      </c>
      <c r="D429" s="77" t="b">
        <v>0</v>
      </c>
      <c r="E429" s="64" t="s">
        <v>1904</v>
      </c>
      <c r="F429" s="64" t="s">
        <v>2207</v>
      </c>
      <c r="G429" s="64" t="s">
        <v>2206</v>
      </c>
      <c r="H429" s="64" t="s">
        <v>2206</v>
      </c>
      <c r="I429" s="64" t="b">
        <v>1</v>
      </c>
      <c r="J429" s="66" t="s">
        <v>2205</v>
      </c>
      <c r="K429" s="66" t="s">
        <v>3960</v>
      </c>
      <c r="L429" s="64" t="s">
        <v>4227</v>
      </c>
      <c r="M429" s="64" t="s">
        <v>5863</v>
      </c>
      <c r="N429" s="65" t="str">
        <f t="shared" si="42"/>
        <v>[Steinbeiser,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href="https://doi.org/10.1093/jmammal/gyy175"&gt;{https://doi.org/10.1093/jmammal/gyy175}]{#steinbeiser_et_al_2019}&lt;br&gt;&lt;br&gt;</v>
      </c>
      <c r="O429" s="64" t="s">
        <v>2204</v>
      </c>
      <c r="P429" s="64" t="s">
        <v>984</v>
      </c>
      <c r="Q429" s="64" t="str">
        <f t="shared" si="38"/>
        <v>{{ rtxt_steinbeiser_et_al_2019 }}</v>
      </c>
      <c r="R429" s="64" t="str">
        <f t="shared" si="39"/>
        <v>{{ rbib_steinbeiser_et_al_2019 }}</v>
      </c>
      <c r="S429" s="63" t="str">
        <f t="shared" si="43"/>
        <v>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target="_blank"&gt;https://doi.org/10.1093/jmammal/gyy175&lt;/a&gt;&lt;span style="color:white"&gt;[.]{#steinbeiser_et_al_2019}&lt;/span&gt;&lt;br&gt;&lt;br&gt;</v>
      </c>
      <c r="T429" s="64" t="str">
        <f t="shared" si="41"/>
        <v xml:space="preserve">    rtxt_steinbeiser_et_al_2019: "&lt;a href=\"/08_references.html#steinbeiser_et_al_2019\" target=\"_blank\"&gt;Steinbeiser et al., 2019&lt;/a&gt;"</v>
      </c>
      <c r="U429" s="64" t="str">
        <f t="shared" si="40"/>
        <v xml:space="preserve">    rbib_steinbeiser_et_al_2019: "Steinbeiser, C. M., Kioko, J., Maresi, A., Kaitilia, R., &amp; Kiffner, C. (2019). Relative Abundance and Activity Patterns Explain Method-Related Differences in Mammalian Species Richness Estimates. *Journal of Mammalogy, 100*(1), 192-201. &lt;https://doi.org/10.1093/jmammal/gyy175&gt;"</v>
      </c>
      <c r="V429" s="64"/>
    </row>
    <row r="430" spans="1:22" ht="15.75">
      <c r="A430" s="64"/>
      <c r="B430" s="77"/>
      <c r="C430" s="77"/>
      <c r="D430" s="77"/>
      <c r="E430" s="64" t="s">
        <v>1904</v>
      </c>
      <c r="F430" s="64" t="s">
        <v>2203</v>
      </c>
      <c r="G430" s="64" t="s">
        <v>2202</v>
      </c>
      <c r="H430" s="64" t="s">
        <v>2202</v>
      </c>
      <c r="I430" s="64" t="b">
        <v>1</v>
      </c>
      <c r="J430" s="66" t="s">
        <v>2201</v>
      </c>
      <c r="K430" s="66" t="s">
        <v>3960</v>
      </c>
      <c r="L430" s="64" t="s">
        <v>4228</v>
      </c>
      <c r="M430" s="64" t="s">
        <v>5737</v>
      </c>
      <c r="N430" s="65" t="str">
        <f t="shared" si="42"/>
        <v>[Stewart, F. E. C., Fisher, J. T., Burton, A. C., &amp; Volpe, J. P. (2018). Species occurrence data reflect the magnitude of animal movements better than the proximity of animal space use. &lt;i&gt;Ecosphere, 9&lt;/i&gt;(2), e02112. &lt;a target="_blank" href="https://doi.org/10.1002/ecs2.2112"&gt;{https://doi.org/10.1002/ecs2.2112}]{#stewart_et_al_2018}&lt;br&gt;&lt;br&gt;</v>
      </c>
      <c r="O430" s="64" t="s">
        <v>2200</v>
      </c>
      <c r="P430" s="64" t="s">
        <v>984</v>
      </c>
      <c r="Q430" s="64" t="str">
        <f t="shared" si="38"/>
        <v>{{ rtxt_stewart_et_al_2018 }}</v>
      </c>
      <c r="R430" s="64" t="str">
        <f t="shared" si="39"/>
        <v>{{ rbib_stewart_et_al_2018 }}</v>
      </c>
      <c r="S430" s="63" t="str">
        <f t="shared" si="43"/>
        <v>Stewart, F. E. C., Fisher, J. T., Burton, A. C., &amp; Volpe, J. P. (2018). Species occurrence data reflect the magnitude of animal movements better than the proximity of animal space use. &lt;i&gt;Ecosphere, 9&lt;/i&gt;(2), e02112. &lt;a href="https://doi.org/10.1002/ecs2.2112" target="_blank"&gt;https://doi.org/10.1002/ecs2.2112&lt;/a&gt;&lt;span style="color:white"&gt;[.]{#stewart_et_al_2018}&lt;/span&gt;&lt;br&gt;&lt;br&gt;</v>
      </c>
      <c r="T430" s="64" t="str">
        <f t="shared" si="41"/>
        <v xml:space="preserve">    rtxt_stewart_et_al_2018: "&lt;a href=\"/08_references.html#stewart_et_al_2018\" target=\"_blank\"&gt;Stewart et al., 2018&lt;/a&gt;"</v>
      </c>
      <c r="U430" s="64" t="str">
        <f t="shared" si="40"/>
        <v xml:space="preserve">    rbib_stewart_et_al_2018: "Stewart, F. E. C., Fisher, J. T., Burton, A. C., &amp; Volpe, J. P. (2018). Species occurrence data reflect the magnitude of animal movements better than the proximity of animal space use. *Ecosphere, 9*(2), e02112. &lt;https://doi.org/10.1002/ecs2.2112&gt;"</v>
      </c>
      <c r="V430" s="64"/>
    </row>
    <row r="431" spans="1:22" ht="15.75">
      <c r="A431" s="64"/>
      <c r="B431" s="77"/>
      <c r="C431" s="77"/>
      <c r="D431" s="77"/>
      <c r="E431" s="64" t="s">
        <v>1904</v>
      </c>
      <c r="F431" s="64" t="s">
        <v>2195</v>
      </c>
      <c r="G431" s="64" t="s">
        <v>2194</v>
      </c>
      <c r="H431" s="64" t="s">
        <v>2194</v>
      </c>
      <c r="I431" s="64" t="b">
        <v>1</v>
      </c>
      <c r="J431" s="66" t="s">
        <v>2193</v>
      </c>
      <c r="K431" s="66" t="s">
        <v>3960</v>
      </c>
      <c r="L431" s="64" t="s">
        <v>4229</v>
      </c>
      <c r="M431" s="64" t="s">
        <v>5749</v>
      </c>
      <c r="N431" s="65" t="str">
        <f t="shared" si="42"/>
        <v>[Stewart, F. E. C., Volpe, J. P., &amp; Fisher, J. T. (2019b). The Debate About Bait: A Red Herring in Wildlife Research. &lt;i&gt;The Journal of Wildlife Management, 83&lt;/i&gt;(4), 985-992. &lt;a target="_blank" href="https://doi.org/10.1002/jwmg.21657"&gt;{https://doi.org/10.1002/jwmg.21657}]{#stewart_et_al_2019b}&lt;br&gt;&lt;br&gt;</v>
      </c>
      <c r="O431" s="64" t="s">
        <v>2192</v>
      </c>
      <c r="P431" s="64" t="s">
        <v>984</v>
      </c>
      <c r="Q431" s="64" t="str">
        <f t="shared" si="38"/>
        <v>{{ rtxt_stewart_et_al_2019b }}</v>
      </c>
      <c r="R431" s="64" t="str">
        <f t="shared" si="39"/>
        <v>{{ rbib_stewart_et_al_2019b }}</v>
      </c>
      <c r="S431" s="63" t="str">
        <f t="shared" si="43"/>
        <v>Stewart, F. E. C., Volpe, J. P., &amp; Fisher, J. T. (2019b). The Debate About Bait: A Red Herring in Wildlife Research. &lt;i&gt;The Journal of Wildlife Management, 83&lt;/i&gt;(4), 985-992. &lt;a href="https://doi.org/10.1002/jwmg.21657" target="_blank"&gt;https://doi.org/10.1002/jwmg.21657&lt;/a&gt;&lt;span style="color:white"&gt;[.]{#stewart_et_al_2019b}&lt;/span&gt;&lt;br&gt;&lt;br&gt;</v>
      </c>
      <c r="T431" s="64" t="str">
        <f t="shared" si="41"/>
        <v xml:space="preserve">    rtxt_stewart_et_al_2019b: "&lt;a href=\"/08_references.html#stewart_et_al_2019b\" target=\"_blank\"&gt;Stewart et al., 2019b&lt;/a&gt;"</v>
      </c>
      <c r="U431" s="64" t="str">
        <f t="shared" si="40"/>
        <v xml:space="preserve">    rbib_stewart_et_al_2019b: "Stewart, F. E. C., Volpe, J. P., &amp; Fisher, J. T. (2019b). The Debate About Bait: A Red Herring in Wildlife Research. *The Journal of Wildlife Management, 83*(4), 985-992. &lt;https://doi.org/10.1002/jwmg.21657&gt;"</v>
      </c>
      <c r="V431" s="64"/>
    </row>
    <row r="432" spans="1:22" ht="15.75">
      <c r="A432" s="64"/>
      <c r="B432" s="77"/>
      <c r="C432" s="77"/>
      <c r="D432" s="77"/>
      <c r="E432" s="64" t="s">
        <v>1904</v>
      </c>
      <c r="F432" s="64" t="s">
        <v>2199</v>
      </c>
      <c r="G432" s="64" t="s">
        <v>2198</v>
      </c>
      <c r="H432" s="64" t="s">
        <v>2198</v>
      </c>
      <c r="I432" s="64" t="b">
        <v>1</v>
      </c>
      <c r="J432" s="66" t="s">
        <v>2197</v>
      </c>
      <c r="K432" s="66" t="s">
        <v>3960</v>
      </c>
      <c r="L432" s="64" t="s">
        <v>4230</v>
      </c>
      <c r="M432" s="64" t="s">
        <v>5823</v>
      </c>
      <c r="N432" s="65" t="str">
        <f t="shared" si="42"/>
        <v>[Stewart,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href="https://doi.org/10.1016/j.biocon.2019.108252"&gt;{https://doi.org/10.1016/j.biocon.2019.108252}]{#stewart_et_al_2019a}&lt;br&gt;&lt;br&gt;</v>
      </c>
      <c r="O432" s="64" t="s">
        <v>2196</v>
      </c>
      <c r="P432" s="64" t="s">
        <v>984</v>
      </c>
      <c r="Q432" s="64" t="str">
        <f t="shared" si="38"/>
        <v>{{ rtxt_stewart_et_al_2019a }}</v>
      </c>
      <c r="R432" s="64" t="str">
        <f t="shared" si="39"/>
        <v>{{ rbib_stewart_et_al_2019a }}</v>
      </c>
      <c r="S432" s="63" t="str">
        <f t="shared" si="43"/>
        <v>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target="_blank"&gt;https://doi.org/10.1016/j.biocon.2019.108252&lt;/a&gt;&lt;span style="color:white"&gt;[.]{#stewart_et_al_2019a}&lt;/span&gt;&lt;br&gt;&lt;br&gt;</v>
      </c>
      <c r="T432" s="64" t="str">
        <f t="shared" si="41"/>
        <v xml:space="preserve">    rtxt_stewart_et_al_2019a: "&lt;a href=\"/08_references.html#stewart_et_al_2019a\" target=\"_blank\"&gt;Stewart et al., 2019a&lt;/a&gt;"</v>
      </c>
      <c r="U432" s="64" t="str">
        <f t="shared" si="40"/>
        <v xml:space="preserve">    rbib_stewart_et_al_2019a: "Stewart, F. E. C., Volpe, J. P., Eaton, B. R., Hood, G. A., Vujnovic, D., &amp; Fisher, J. T. (2019b). Protected areas alone rarely predict mammalian biodiversity across spatial scales in an Albertan working landscape. *Biological Conservation, 240*, 108252. &lt;https://doi.org/10.1016/j.biocon.2019.108252&gt;"</v>
      </c>
      <c r="V432" s="64"/>
    </row>
    <row r="433" spans="1:22" ht="15.75">
      <c r="A433" s="64"/>
      <c r="B433" s="77" t="b">
        <v>1</v>
      </c>
      <c r="C433" s="77" t="b">
        <v>0</v>
      </c>
      <c r="D433" s="77" t="b">
        <v>0</v>
      </c>
      <c r="E433" s="64" t="s">
        <v>1904</v>
      </c>
      <c r="F433" s="64" t="s">
        <v>2191</v>
      </c>
      <c r="G433" s="64" t="s">
        <v>2190</v>
      </c>
      <c r="H433" s="64" t="s">
        <v>2190</v>
      </c>
      <c r="I433" s="64" t="b">
        <v>1</v>
      </c>
      <c r="J433" s="66" t="s">
        <v>2189</v>
      </c>
      <c r="K433" s="66" t="s">
        <v>3960</v>
      </c>
      <c r="L433" s="64" t="s">
        <v>4231</v>
      </c>
      <c r="M433" s="64" t="s">
        <v>5853</v>
      </c>
      <c r="N433" s="65" t="str">
        <f t="shared" si="42"/>
        <v>[Stokeld,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href="https://doi.org/10.1071/WR15083"&gt;{https://doi.org/10.1071/WR15083}]{#stokeld_et_al_2016}&lt;br&gt;&lt;br&gt;</v>
      </c>
      <c r="O433" s="64" t="s">
        <v>2188</v>
      </c>
      <c r="P433" s="64" t="s">
        <v>984</v>
      </c>
      <c r="Q433" s="64" t="str">
        <f t="shared" si="38"/>
        <v>{{ rtxt_stokeld_et_al_2016 }}</v>
      </c>
      <c r="R433" s="64" t="str">
        <f t="shared" si="39"/>
        <v>{{ rbib_stokeld_et_al_2016 }}</v>
      </c>
      <c r="S433" s="63" t="str">
        <f t="shared" si="43"/>
        <v>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target="_blank"&gt;https://doi.org/10.1071/WR15083&lt;/a&gt;&lt;span style="color:white"&gt;[.]{#stokeld_et_al_2016}&lt;/span&gt;&lt;br&gt;&lt;br&gt;</v>
      </c>
      <c r="T433" s="64" t="str">
        <f t="shared" si="41"/>
        <v xml:space="preserve">    rtxt_stokeld_et_al_2016: "&lt;a href=\"/08_references.html#stokeld_et_al_2016\" target=\"_blank\"&gt;Stokeld et al., 2016&lt;/a&gt;"</v>
      </c>
      <c r="U433" s="64" t="str">
        <f t="shared" si="40"/>
        <v xml:space="preserve">    rbib_stokeld_et_al_2016: "Stokeld,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v>
      </c>
      <c r="V433" s="64"/>
    </row>
    <row r="434" spans="1:22" ht="15.75">
      <c r="A434" s="64"/>
      <c r="B434" s="77"/>
      <c r="C434" s="77"/>
      <c r="D434" s="77"/>
      <c r="E434" s="64" t="s">
        <v>1904</v>
      </c>
      <c r="F434" s="65" t="s">
        <v>2187</v>
      </c>
      <c r="G434" s="64" t="s">
        <v>2186</v>
      </c>
      <c r="H434" s="64" t="s">
        <v>2186</v>
      </c>
      <c r="I434" s="64" t="b">
        <v>1</v>
      </c>
      <c r="J434" s="66" t="s">
        <v>2185</v>
      </c>
      <c r="K434" s="66" t="s">
        <v>3960</v>
      </c>
      <c r="L434" s="64" t="s">
        <v>4232</v>
      </c>
      <c r="M434" s="64" t="s">
        <v>6039</v>
      </c>
      <c r="N434" s="65" t="str">
        <f t="shared" si="42"/>
        <v>[Strimas-Mackey,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}]{#strimasmackey_et_al_2023}&lt;br&gt;&lt;br&gt;</v>
      </c>
      <c r="O434" s="64" t="s">
        <v>2184</v>
      </c>
      <c r="P434" s="64" t="s">
        <v>984</v>
      </c>
      <c r="Q434" s="64" t="str">
        <f t="shared" si="38"/>
        <v>{{ rtxt_strimasmackey_et_al_2023 }}</v>
      </c>
      <c r="R434" s="64" t="str">
        <f t="shared" si="39"/>
        <v>{{ rbib_strimasmackey_et_al_2023 }}</v>
      </c>
      <c r="S434" s="63" t="str">
        <f t="shared" si="43"/>
        <v>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&lt;/a&gt;&lt;span style="color:white"&gt;[.]{#strimasmackey_et_al_2023}&lt;/span&gt;&lt;br&gt;&lt;br&gt;</v>
      </c>
      <c r="T434" s="64" t="str">
        <f t="shared" si="41"/>
        <v xml:space="preserve">    rtxt_strimasmackey_et_al_2023: "&lt;a href=\"/08_references.html#strimasmackey_et_al_2023\" target=\"_blank\"&gt;Strimas-Mackey et al., 2023&lt;/a&gt;"</v>
      </c>
      <c r="U434" s="64" t="str">
        <f t="shared" si="40"/>
        <v xml:space="preserve">    rbib_strimasmackey_et_al_2023: "Strimas-Mackey, M., Hochachka, W. M., Ruiz-Gutierrez, V., Robinson, O. J., Miller, E. T., Auer, T., Kelling, S., Fink, D., &amp; Johnston, A. (2023). *Best Practices for Using eBird Data. Version 2.0*. Cornell Lab of Ornithology, Ithaca, New York. &lt;https://ebird.github.io/ebird-best-practices&gt;; &lt;https://doi.org/10.5281/zenodo.3620739&gt;"</v>
      </c>
      <c r="V434" s="64" t="s">
        <v>2183</v>
      </c>
    </row>
    <row r="435" spans="1:22" ht="15.75">
      <c r="A435" s="64"/>
      <c r="B435" s="77" t="b">
        <v>0</v>
      </c>
      <c r="C435" s="77" t="b">
        <v>0</v>
      </c>
      <c r="D435" s="77"/>
      <c r="E435" s="64" t="s">
        <v>1945</v>
      </c>
      <c r="F435" s="64" t="s">
        <v>2182</v>
      </c>
      <c r="G435" s="64" t="s">
        <v>2181</v>
      </c>
      <c r="H435" s="64" t="s">
        <v>2181</v>
      </c>
      <c r="I435" s="64" t="b">
        <v>1</v>
      </c>
      <c r="J435" s="66" t="s">
        <v>2180</v>
      </c>
      <c r="K435" s="66" t="s">
        <v>3960</v>
      </c>
      <c r="L435" s="64" t="s">
        <v>4233</v>
      </c>
      <c r="M435" s="64" t="s">
        <v>6151</v>
      </c>
      <c r="N435" s="65" t="str">
        <f t="shared" si="42"/>
        <v>[Styring, A. (2020a, May 4). &lt;i&gt;Field Ecology - Diversity Metrics in R.&lt;/i&gt; [Video]. YouTube. &lt;a target="_blank" href="https://www.youtube.com/watch?v=KBByV3kR3IA"&gt;{https://www.youtube.com/watch?v=KBByV3kR3IA}]{#styring_2020a}&lt;br&gt;&lt;br&gt;</v>
      </c>
      <c r="O435" s="64" t="s">
        <v>2178</v>
      </c>
      <c r="P435" s="64" t="s">
        <v>2179</v>
      </c>
      <c r="Q435" s="64" t="str">
        <f t="shared" si="38"/>
        <v>{{ rtxt_styring_2020a }}</v>
      </c>
      <c r="R435" s="64" t="str">
        <f t="shared" si="39"/>
        <v>{{ rbib_styring_2020a }}</v>
      </c>
      <c r="S435" s="63" t="str">
        <f t="shared" si="43"/>
        <v>Styring, A. (2020a, May 4). &lt;i&gt;Field Ecology - Diversity Metrics in R.&lt;/i&gt; [Video]. YouTube. &lt;a href="https://www.youtube.com/watch?v=KBByV3kR3IA" target="_blank"&gt;https://www.youtube.com/watch?v=KBByV3kR3IA&lt;/a&gt;&lt;span style="color:white"&gt;[.]{#styring_2020a}&lt;/span&gt;&lt;br&gt;&lt;br&gt;</v>
      </c>
      <c r="T435" s="64" t="str">
        <f t="shared" si="41"/>
        <v xml:space="preserve">    rtxt_styring_2020a: "&lt;a href=\"/08_references.html#styring_2020a\" target=\"_blank\"&gt;Styring, 2020a&lt;/a&gt;"</v>
      </c>
      <c r="U435" s="64" t="str">
        <f t="shared" si="40"/>
        <v xml:space="preserve">    rbib_styring_2020a: "Styring, A. (2020a, May 4). *Field Ecology - Diversity Metrics in R.* [Video]. YouTube. &lt;https://www.youtube.com/watch?v=KBByV3kR3IA&gt;"</v>
      </c>
      <c r="V435" s="64"/>
    </row>
    <row r="436" spans="1:22" ht="15.75">
      <c r="A436" s="64"/>
      <c r="B436" s="77" t="b">
        <v>0</v>
      </c>
      <c r="C436" s="77" t="b">
        <v>0</v>
      </c>
      <c r="D436" s="77"/>
      <c r="E436" s="64" t="s">
        <v>1945</v>
      </c>
      <c r="F436" s="64" t="s">
        <v>2177</v>
      </c>
      <c r="G436" s="64" t="s">
        <v>2176</v>
      </c>
      <c r="H436" s="64" t="s">
        <v>2176</v>
      </c>
      <c r="I436" s="64" t="b">
        <v>1</v>
      </c>
      <c r="J436" s="66" t="s">
        <v>3970</v>
      </c>
      <c r="K436" s="66" t="s">
        <v>3960</v>
      </c>
      <c r="L436" s="64" t="s">
        <v>4234</v>
      </c>
      <c r="M436" s="64" t="s">
        <v>6135</v>
      </c>
      <c r="N436" s="65" t="str">
        <f t="shared" si="42"/>
        <v>[Styring, A. (2020b, Jun 22). &lt;i&gt;Generating a species accumulation plot in excel for BBS data.&lt;/i&gt; [Video]. YouTube. &lt;a target="_blank" href="https://www.youtube.com/watch?reload=9&amp;app=desktop&amp;v=OEWdPm3zg9I"&gt;{https://www.youtube.com/watch?reload=9&amp;app=desktop&amp;v=OEWdPm3zg9I}]{#styring_2020b}&lt;br&gt;&lt;br&gt;</v>
      </c>
      <c r="O436" s="64" t="s">
        <v>2174</v>
      </c>
      <c r="P436" s="64" t="s">
        <v>2175</v>
      </c>
      <c r="Q436" s="64" t="str">
        <f t="shared" si="38"/>
        <v>{{ rtxt_styring_2020b }}</v>
      </c>
      <c r="R436" s="64" t="str">
        <f t="shared" si="39"/>
        <v>{{ rbib_styring_2020b }}</v>
      </c>
      <c r="S436" s="63" t="str">
        <f t="shared" si="43"/>
        <v>Styring, A. (2020b, Jun 22). &lt;i&gt;Generating a species accumulation plot in excel for BBS data.&lt;/i&gt; [Video]. YouTube. &lt;a href="https://www.youtube.com/watch?reload=9&amp;app=desktop&amp;v=OEWdPm3zg9I" target="_blank"&gt;https://www.youtube.com/watch?reload=9&amp;app=desktop&amp;v=OEWdPm3zg9I&lt;/a&gt;&lt;span style="color:white"&gt;[.]{#styring_2020b}&lt;/span&gt;&lt;br&gt;&lt;br&gt;</v>
      </c>
      <c r="T436" s="64" t="str">
        <f t="shared" si="41"/>
        <v xml:space="preserve">    rtxt_styring_2020b: "&lt;a href=\"/08_references.html#styring_2020b\" target=\"_blank\"&gt;Styring, 2020b&lt;/a&gt;"</v>
      </c>
      <c r="U436" s="64" t="str">
        <f t="shared" si="40"/>
        <v xml:space="preserve">    rbib_styring_2020b: "Styring, A. (2020b, Jun 22). *Generating a species accumulation plot in excel for BBS data.* [Video]. YouTube. &lt;https://www.youtube.com/watch?reload=9&amp;app=desktop&amp;v=OEWdPm3zg9I&gt;"</v>
      </c>
      <c r="V436" s="64"/>
    </row>
    <row r="437" spans="1:22" ht="15.75">
      <c r="A437" s="64"/>
      <c r="B437" s="77" t="b">
        <v>0</v>
      </c>
      <c r="C437" s="77" t="b">
        <v>0</v>
      </c>
      <c r="D437" s="77" t="b">
        <v>1</v>
      </c>
      <c r="E437" s="64" t="s">
        <v>1904</v>
      </c>
      <c r="F437" s="64" t="s">
        <v>2173</v>
      </c>
      <c r="G437" s="64" t="s">
        <v>2172</v>
      </c>
      <c r="H437" s="64" t="s">
        <v>2172</v>
      </c>
      <c r="I437" s="64" t="b">
        <v>1</v>
      </c>
      <c r="J437" s="66" t="s">
        <v>2171</v>
      </c>
      <c r="K437" s="66" t="s">
        <v>3960</v>
      </c>
      <c r="L437" s="64" t="s">
        <v>4235</v>
      </c>
      <c r="M437" s="64" t="s">
        <v>5794</v>
      </c>
      <c r="N437" s="65" t="str">
        <f t="shared" si="42"/>
        <v>[Suárez-Tangil, B. D., &amp; Rodríguez, A. (2017). Detection of Iberian terrestrial mammals employing olfactory, visual and auditory attractants. &lt;i&gt;European Journal of Wildlife Research, 63&lt;/i&gt;(6). &lt;a target="_blank" href="https://doi.org/10.1007/s10344-017-1150-1"&gt;{https://doi.org/10.1007/s10344-017-1150-1}]{#suarez_tangil_et_al_2017}&lt;br&gt;&lt;br&gt;</v>
      </c>
      <c r="O437" s="64" t="s">
        <v>2170</v>
      </c>
      <c r="P437" s="64" t="s">
        <v>984</v>
      </c>
      <c r="Q437" s="64" t="str">
        <f t="shared" si="38"/>
        <v>{{ rtxt_suarez_tangil_et_al_2017 }}</v>
      </c>
      <c r="R437" s="64" t="str">
        <f t="shared" si="39"/>
        <v>{{ rbib_suarez_tangil_et_al_2017 }}</v>
      </c>
      <c r="S437" s="63" t="str">
        <f t="shared" si="43"/>
        <v>Suárez-Tangil, B. D., &amp; Rodríguez, A. (2017). Detection of Iberian terrestrial mammals employing olfactory, visual and auditory attractants. &lt;i&gt;European Journal of Wildlife Research, 63&lt;/i&gt;(6). &lt;a href="https://doi.org/10.1007/s10344-017-1150-1" target="_blank"&gt;https://doi.org/10.1007/s10344-017-1150-1&lt;/a&gt;&lt;span style="color:white"&gt;[.]{#suarez_tangil_et_al_2017}&lt;/span&gt;&lt;br&gt;&lt;br&gt;</v>
      </c>
      <c r="T437" s="64" t="str">
        <f t="shared" si="41"/>
        <v xml:space="preserve">    rtxt_suarez_tangil_et_al_2017: "&lt;a href=\"/08_references.html#suarez_tangil_et_al_2017\" target=\"_blank\"&gt;Suárez-Tangil et al., 2017&lt;/a&gt;"</v>
      </c>
      <c r="U437" s="64" t="str">
        <f t="shared" si="40"/>
        <v xml:space="preserve">    rbib_suarez_tangil_et_al_2017: "Suárez-Tangil, B. D., &amp; Rodríguez, A. (2017). Detection of Iberian terrestrial mammals employing olfactory, visual and auditory attractants. *European Journal of Wildlife Research, 63*(6). &lt;https://doi.org/10.1007/s10344-017-1150-1&gt;"</v>
      </c>
      <c r="V437" s="64"/>
    </row>
    <row r="438" spans="1:22" ht="15.75">
      <c r="A438" s="64"/>
      <c r="B438" s="77" t="b">
        <v>1</v>
      </c>
      <c r="C438" s="77" t="b">
        <v>0</v>
      </c>
      <c r="D438" s="77" t="b">
        <v>0</v>
      </c>
      <c r="E438" s="64" t="s">
        <v>1904</v>
      </c>
      <c r="F438" s="64" t="s">
        <v>2169</v>
      </c>
      <c r="G438" s="64" t="s">
        <v>2168</v>
      </c>
      <c r="H438" s="64" t="s">
        <v>2167</v>
      </c>
      <c r="I438" s="64" t="b">
        <v>1</v>
      </c>
      <c r="J438" s="66" t="s">
        <v>2166</v>
      </c>
      <c r="K438" s="66" t="s">
        <v>3960</v>
      </c>
      <c r="L438" s="64" t="s">
        <v>4236</v>
      </c>
      <c r="M438" s="64" t="s">
        <v>5964</v>
      </c>
      <c r="N438" s="65" t="str">
        <f t="shared" si="42"/>
        <v>[Sun, C. C., Fuller, A. K., &amp; Royle., J. A. (2014). Trap Configuration and Spacing Influences Parameter Estimates in Spatial Capture-Recapture Models. &lt;i&gt;PLoS One, 9&lt;/i&gt;(2): e88025. &lt;a target="_blank" href="https://doi.org/10.1371/journal.pone.0088025"&gt;{https://doi.org/10.1371/journal.pone.0088025}]{#sun_et_al_2014}&lt;br&gt;&lt;br&gt;</v>
      </c>
      <c r="O438" s="64" t="s">
        <v>2165</v>
      </c>
      <c r="P438" s="64" t="s">
        <v>984</v>
      </c>
      <c r="Q438" s="64" t="str">
        <f t="shared" si="38"/>
        <v>{{ rtxt_sun_et_al_2014 }}</v>
      </c>
      <c r="R438" s="64" t="str">
        <f t="shared" si="39"/>
        <v>{{ rbib_sun_et_al_2014 }}</v>
      </c>
      <c r="S438" s="63" t="str">
        <f t="shared" si="43"/>
        <v>Sun, C. C., Fuller, A. K., &amp; Royle., J. A. (2014). Trap Configuration and Spacing Influences Parameter Estimates in Spatial Capture-Recapture Models. &lt;i&gt;PLoS One, 9&lt;/i&gt;(2): e88025. &lt;a href="https://doi.org/10.1371/journal.pone.0088025" target="_blank"&gt;https://doi.org/10.1371/journal.pone.0088025&lt;/a&gt;&lt;span style="color:white"&gt;[.]{#sun_et_al_2014}&lt;/span&gt;&lt;br&gt;&lt;br&gt;</v>
      </c>
      <c r="T438" s="64" t="str">
        <f t="shared" si="41"/>
        <v xml:space="preserve">    rtxt_sun_et_al_2014: "&lt;a href=\"/08_references.html#sun_et_al_2014\" target=\"_blank\"&gt;Sun et al., 2014&lt;/a&gt;"</v>
      </c>
      <c r="U438" s="64" t="str">
        <f t="shared" si="40"/>
        <v xml:space="preserve">    rbib_sun_et_al_2014: "Sun, C. C., Fuller, A. K., &amp; Royle., J. A. (2014). Trap Configuration and Spacing Influences Parameter Estimates in Spatial Capture-Recapture Models. *PLoS One, 9*(2): e88025. &lt;https://doi.org/10.1371/journal.pone.0088025&gt;"</v>
      </c>
      <c r="V438" s="64"/>
    </row>
    <row r="439" spans="1:22" ht="15.75">
      <c r="A439" s="64"/>
      <c r="B439" s="77" t="b">
        <v>1</v>
      </c>
      <c r="C439" s="77" t="b">
        <v>1</v>
      </c>
      <c r="D439" s="77" t="b">
        <v>0</v>
      </c>
      <c r="E439" s="64" t="s">
        <v>1904</v>
      </c>
      <c r="F439" s="64" t="s">
        <v>2164</v>
      </c>
      <c r="G439" s="64" t="s">
        <v>2163</v>
      </c>
      <c r="H439" s="64" t="s">
        <v>2163</v>
      </c>
      <c r="I439" s="64" t="b">
        <v>1</v>
      </c>
      <c r="J439" s="66" t="s">
        <v>2162</v>
      </c>
      <c r="K439" s="66" t="s">
        <v>3960</v>
      </c>
      <c r="L439" s="64" t="s">
        <v>4237</v>
      </c>
      <c r="M439" s="64" t="s">
        <v>5760</v>
      </c>
      <c r="N439" s="65" t="str">
        <f t="shared" si="42"/>
        <v>[Sun,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href="https://doi.org/10.1002/rse2.222"&gt;{https://doi.org/10.1002/rse2.222}]{#sun_et_al_2021}&lt;br&gt;&lt;br&gt;</v>
      </c>
      <c r="O439" s="64" t="s">
        <v>2161</v>
      </c>
      <c r="P439" s="64" t="s">
        <v>984</v>
      </c>
      <c r="Q439" s="64" t="str">
        <f t="shared" si="38"/>
        <v>{{ rtxt_sun_et_al_2021 }}</v>
      </c>
      <c r="R439" s="64" t="str">
        <f t="shared" si="39"/>
        <v>{{ rbib_sun_et_al_2021 }}</v>
      </c>
      <c r="S439" s="63" t="str">
        <f t="shared" si="43"/>
        <v>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target="_blank"&gt;https://doi.org/10.1002/rse2.222&lt;/a&gt;&lt;span style="color:white"&gt;[.]{#sun_et_al_2021}&lt;/span&gt;&lt;br&gt;&lt;br&gt;</v>
      </c>
      <c r="T439" s="64" t="str">
        <f t="shared" si="41"/>
        <v xml:space="preserve">    rtxt_sun_et_al_2021: "&lt;a href=\"/08_references.html#sun_et_al_2021\" target=\"_blank\"&gt;Sun et al., 2021&lt;/a&gt;"</v>
      </c>
      <c r="U439" s="64" t="str">
        <f t="shared" si="40"/>
        <v xml:space="preserve">    rbib_sun_et_al_2021: "Sun,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v>
      </c>
      <c r="V439" s="64"/>
    </row>
    <row r="440" spans="1:22" ht="15.75">
      <c r="A440" s="64"/>
      <c r="B440" s="77" t="b">
        <v>1</v>
      </c>
      <c r="C440" s="77" t="b">
        <v>0</v>
      </c>
      <c r="D440" s="77" t="b">
        <v>0</v>
      </c>
      <c r="E440" s="64" t="s">
        <v>1939</v>
      </c>
      <c r="F440" s="64" t="s">
        <v>2160</v>
      </c>
      <c r="G440" s="64" t="s">
        <v>2159</v>
      </c>
      <c r="H440" s="64" t="s">
        <v>2159</v>
      </c>
      <c r="I440" s="64" t="b">
        <v>1</v>
      </c>
      <c r="J440" s="66" t="s">
        <v>2158</v>
      </c>
      <c r="K440" s="66" t="s">
        <v>3960</v>
      </c>
      <c r="L440" s="64" t="s">
        <v>4238</v>
      </c>
      <c r="M440" s="64" t="s">
        <v>5834</v>
      </c>
      <c r="N440" s="65" t="str">
        <f t="shared" si="42"/>
        <v>[Sun,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href="https://doi.org/10.1016/j.gecco.2022.e02268"&gt;{https://doi.org/10.1016/j.gecco.2022.e02268}]{#sun_et_al_2022}&lt;br&gt;&lt;br&gt;</v>
      </c>
      <c r="O440" s="64" t="s">
        <v>2157</v>
      </c>
      <c r="P440" s="64" t="s">
        <v>984</v>
      </c>
      <c r="Q440" s="64" t="str">
        <f t="shared" si="38"/>
        <v>{{ rtxt_sun_et_al_2022 }}</v>
      </c>
      <c r="R440" s="64" t="str">
        <f t="shared" si="39"/>
        <v>{{ rbib_sun_et_al_2022 }}</v>
      </c>
      <c r="S440" s="63" t="str">
        <f t="shared" si="43"/>
        <v>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target="_blank"&gt;https://doi.org/10.1016/j.gecco.2022.e02268&lt;/a&gt;&lt;span style="color:white"&gt;[.]{#sun_et_al_2022}&lt;/span&gt;&lt;br&gt;&lt;br&gt;</v>
      </c>
      <c r="T440" s="64" t="str">
        <f t="shared" si="41"/>
        <v xml:space="preserve">    rtxt_sun_et_al_2022: "&lt;a href=\"/08_references.html#sun_et_al_2022\" target=\"_blank\"&gt;Sun et al., 2022&lt;/a&gt;"</v>
      </c>
      <c r="U440" s="64" t="str">
        <f t="shared" si="40"/>
        <v xml:space="preserve">    rbib_sun_et_al_2022: "Sun, C., Burgar, J. M., Fisher, J. T., &amp; Burton, A. C. (2022). A Cautionary Tale Comparing Spatial Count and Partial Identity Models for Estimating Densities of Threatened and Unmarked Populations. *Global Ecology and Conservation, 38*, e02268. &lt;https://doi.org/10.1016/j.gecco.2022.e02268&gt;"</v>
      </c>
      <c r="V440" s="64"/>
    </row>
    <row r="441" spans="1:22" ht="15.75">
      <c r="A441" s="64"/>
      <c r="B441" s="77"/>
      <c r="C441" s="77"/>
      <c r="D441" s="77"/>
      <c r="E441" s="64" t="s">
        <v>1904</v>
      </c>
      <c r="F441" s="65" t="s">
        <v>2156</v>
      </c>
      <c r="G441" s="65" t="s">
        <v>2155</v>
      </c>
      <c r="H441" s="64" t="s">
        <v>2154</v>
      </c>
      <c r="I441" s="64" t="b">
        <v>1</v>
      </c>
      <c r="J441" s="66" t="s">
        <v>2153</v>
      </c>
      <c r="K441" s="66" t="s">
        <v>3960</v>
      </c>
      <c r="L441" s="64" t="s">
        <v>4239</v>
      </c>
      <c r="M441" s="64" t="s">
        <v>5915</v>
      </c>
      <c r="N441" s="65" t="str">
        <f t="shared" si="42"/>
        <v>[Sutherland, C., Royle, J. A., &amp; Linden, D. W. (2019). oSCR: A spatial capture-recapture R package for inference about spatial ecological processes. &lt;i&gt;Ecography, 42&lt;/i&gt;(9), 1459-1469. &lt;a target="_blank" href="https://doi.org/10.1111/ecog.04551"&gt;{https://doi.org/10.1111/ecog.04551}]{#sutherland_et_al_2019}&lt;br&gt;&lt;br&gt;</v>
      </c>
      <c r="O441" s="64" t="s">
        <v>2152</v>
      </c>
      <c r="P441" s="64" t="s">
        <v>984</v>
      </c>
      <c r="Q441" s="64" t="str">
        <f t="shared" si="38"/>
        <v>{{ rtxt_sutherland_et_al_2019 }}</v>
      </c>
      <c r="R441" s="64" t="str">
        <f t="shared" si="39"/>
        <v>{{ rbib_sutherland_et_al_2019 }}</v>
      </c>
      <c r="S441" s="63" t="str">
        <f t="shared" si="43"/>
        <v>Sutherland, C., Royle, J. A., &amp; Linden, D. W. (2019). oSCR: A spatial capture-recapture R package for inference about spatial ecological processes. &lt;i&gt;Ecography, 42&lt;/i&gt;(9), 1459-1469. &lt;a href="https://doi.org/10.1111/ecog.04551" target="_blank"&gt;https://doi.org/10.1111/ecog.04551&lt;/a&gt;&lt;span style="color:white"&gt;[.]{#sutherland_et_al_2019}&lt;/span&gt;&lt;br&gt;&lt;br&gt;</v>
      </c>
      <c r="T441" s="64" t="str">
        <f t="shared" si="41"/>
        <v xml:space="preserve">    rtxt_sutherland_et_al_2019: "&lt;a href=\"/08_references.html#sutherland_et_al_2019\" target=\"_blank\"&gt;Sutherland et al., 2019&lt;/a&gt;"</v>
      </c>
      <c r="U441" s="64" t="str">
        <f t="shared" si="40"/>
        <v xml:space="preserve">    rbib_sutherland_et_al_2019: "Sutherland, C., Royle, J. A., &amp; Linden, D. W. (2019). oSCR: A spatial capture-recapture R package for inference about spatial ecological processes. *Ecography, 42*(9), 1459-1469. &lt;https://doi.org/10.1111/ecog.04551&gt;"</v>
      </c>
      <c r="V441" s="64"/>
    </row>
    <row r="442" spans="1:22" ht="15.75">
      <c r="A442" s="64"/>
      <c r="B442" s="77" t="b">
        <v>1</v>
      </c>
      <c r="C442" s="77" t="b">
        <v>1</v>
      </c>
      <c r="D442" s="77" t="b">
        <v>0</v>
      </c>
      <c r="E442" s="64" t="s">
        <v>1904</v>
      </c>
      <c r="F442" s="64" t="s">
        <v>2151</v>
      </c>
      <c r="G442" s="64" t="s">
        <v>2150</v>
      </c>
      <c r="H442" s="64" t="s">
        <v>2150</v>
      </c>
      <c r="I442" s="64" t="b">
        <v>1</v>
      </c>
      <c r="J442" s="66" t="s">
        <v>2149</v>
      </c>
      <c r="K442" s="66" t="s">
        <v>3960</v>
      </c>
      <c r="L442" s="64" t="s">
        <v>4240</v>
      </c>
      <c r="M442" s="64" t="s">
        <v>6130</v>
      </c>
      <c r="N442" s="65" t="str">
        <f t="shared" si="42"/>
        <v>[Suwanrat,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href="https://www.sciencedirect.com/science/article/pii/S2351989415000116"&gt;{https://www.sciencedirect.com/science/article/pii/S2351989415000116}]{#suwanrat_et_al_2015}&lt;br&gt;&lt;br&gt;</v>
      </c>
      <c r="O442" s="64" t="s">
        <v>2148</v>
      </c>
      <c r="P442" s="64" t="s">
        <v>984</v>
      </c>
      <c r="Q442" s="64" t="str">
        <f t="shared" si="38"/>
        <v>{{ rtxt_suwanrat_et_al_2015 }}</v>
      </c>
      <c r="R442" s="64" t="str">
        <f t="shared" si="39"/>
        <v>{{ rbib_suwanrat_et_al_2015 }}</v>
      </c>
      <c r="S442" s="63" t="str">
        <f t="shared" si="43"/>
        <v>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target="_blank"&gt;https://www.sciencedirect.com/science/article/pii/S2351989415000116&lt;/a&gt;&lt;span style="color:white"&gt;[.]{#suwanrat_et_al_2015}&lt;/span&gt;&lt;br&gt;&lt;br&gt;</v>
      </c>
      <c r="T442" s="64" t="str">
        <f t="shared" si="41"/>
        <v xml:space="preserve">    rtxt_suwanrat_et_al_2015: "&lt;a href=\"/08_references.html#suwanrat_et_al_2015\" target=\"_blank\"&gt;Suwanrat et al., 2015&lt;/a&gt;"</v>
      </c>
      <c r="U442" s="64" t="str">
        <f t="shared" si="40"/>
        <v xml:space="preserve">    rbib_suwanrat_et_al_2015: "Suwanrat,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v>
      </c>
      <c r="V442" s="64"/>
    </row>
    <row r="443" spans="1:22" ht="15.75">
      <c r="A443" s="64"/>
      <c r="B443" s="77" t="b">
        <v>1</v>
      </c>
      <c r="C443" s="77" t="b">
        <v>0</v>
      </c>
      <c r="D443" s="77" t="b">
        <v>0</v>
      </c>
      <c r="E443" s="64" t="s">
        <v>1904</v>
      </c>
      <c r="F443" s="64" t="s">
        <v>2147</v>
      </c>
      <c r="G443" s="64" t="s">
        <v>2146</v>
      </c>
      <c r="H443" s="64" t="s">
        <v>2146</v>
      </c>
      <c r="I443" s="64" t="b">
        <v>1</v>
      </c>
      <c r="J443" s="66" t="s">
        <v>2145</v>
      </c>
      <c r="K443" s="66" t="s">
        <v>3960</v>
      </c>
      <c r="L443" s="64" t="s">
        <v>4241</v>
      </c>
      <c r="M443" s="64" t="s">
        <v>5893</v>
      </c>
      <c r="N443" s="65" t="str">
        <f t="shared" si="42"/>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href="https://doi.org/10.1111/2041-210x.13120"&gt;{https://doi.org/10.1111/2041-210x.13120}]{#tabak_et_al_2018}&lt;br&gt;&lt;br&gt;</v>
      </c>
      <c r="O443" s="64" t="s">
        <v>2144</v>
      </c>
      <c r="P443" s="64" t="s">
        <v>984</v>
      </c>
      <c r="Q443" s="64" t="str">
        <f t="shared" si="38"/>
        <v>{{ rtxt_tabak_et_al_2018 }}</v>
      </c>
      <c r="R443" s="64" t="str">
        <f t="shared" si="39"/>
        <v>{{ rbib_tabak_et_al_2018 }}</v>
      </c>
      <c r="S443" s="63" t="str">
        <f t="shared" si="43"/>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target="_blank"&gt;https://doi.org/10.1111/2041-210x.13120&lt;/a&gt;&lt;span style="color:white"&gt;[.]{#tabak_et_al_2018}&lt;/span&gt;&lt;br&gt;&lt;br&gt;</v>
      </c>
      <c r="T443" s="64" t="str">
        <f t="shared" si="41"/>
        <v xml:space="preserve">    rtxt_tabak_et_al_2018: "&lt;a href=\"/08_references.html#tabak_et_al_2018\" target=\"_blank\"&gt;Tabak et al., 2018&lt;/a&gt;"</v>
      </c>
      <c r="U443" s="64" t="str">
        <f t="shared" si="40"/>
        <v xml:space="preserve">    rbib_tabak_et_al_2018: "Tabak,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v>
      </c>
      <c r="V443" s="64"/>
    </row>
    <row r="444" spans="1:22" ht="15.75">
      <c r="A444" s="64"/>
      <c r="B444" s="77"/>
      <c r="C444" s="77"/>
      <c r="D444" s="77" t="s">
        <v>1993</v>
      </c>
      <c r="E444" s="64" t="s">
        <v>1904</v>
      </c>
      <c r="F444" s="64" t="s">
        <v>2143</v>
      </c>
      <c r="G444" s="64" t="s">
        <v>2142</v>
      </c>
      <c r="H444" s="64" t="s">
        <v>2141</v>
      </c>
      <c r="I444" s="64" t="b">
        <v>1</v>
      </c>
      <c r="J444" s="66" t="s">
        <v>2140</v>
      </c>
      <c r="K444" s="66" t="s">
        <v>3960</v>
      </c>
      <c r="L444" s="64" t="s">
        <v>4242</v>
      </c>
      <c r="M444" s="64" t="s">
        <v>5846</v>
      </c>
      <c r="N444" s="65" t="str">
        <f t="shared" si="42"/>
        <v>[Tanwar, K. S., Sadhu, A., &amp; Jhala, Y. V. (2021). Camera trap placement for evaluating species richness, abundance, and activity. &lt;i&gt;Scientific Reports, 11&lt;/i&gt;(1), 23050. &lt;a target="_blank" href="https://doi.org/10.1038/s41598-021-02459-w"&gt;{https://doi.org/10.1038/s41598-021-02459-w}]{#tanwar_et_al_2021}&lt;br&gt;&lt;br&gt;</v>
      </c>
      <c r="O444" s="64" t="s">
        <v>2139</v>
      </c>
      <c r="P444" s="64" t="s">
        <v>984</v>
      </c>
      <c r="Q444" s="64" t="str">
        <f t="shared" si="38"/>
        <v>{{ rtxt_tanwar_et_al_2021 }}</v>
      </c>
      <c r="R444" s="64" t="str">
        <f t="shared" si="39"/>
        <v>{{ rbib_tanwar_et_al_2021 }}</v>
      </c>
      <c r="S444" s="63" t="str">
        <f t="shared" si="43"/>
        <v>Tanwar, K. S., Sadhu, A., &amp; Jhala, Y. V. (2021). Camera trap placement for evaluating species richness, abundance, and activity. &lt;i&gt;Scientific Reports, 11&lt;/i&gt;(1), 23050. &lt;a href="https://doi.org/10.1038/s41598-021-02459-w" target="_blank"&gt;https://doi.org/10.1038/s41598-021-02459-w&lt;/a&gt;&lt;span style="color:white"&gt;[.]{#tanwar_et_al_2021}&lt;/span&gt;&lt;br&gt;&lt;br&gt;</v>
      </c>
      <c r="T444" s="64" t="str">
        <f t="shared" si="41"/>
        <v xml:space="preserve">    rtxt_tanwar_et_al_2021: "&lt;a href=\"/08_references.html#tanwar_et_al_2021\" target=\"_blank\"&gt;Tanwar et al., 2021&lt;/a&gt;"</v>
      </c>
      <c r="U444" s="64" t="str">
        <f t="shared" si="40"/>
        <v xml:space="preserve">    rbib_tanwar_et_al_2021: "Tanwar, K. S., Sadhu, A., &amp; Jhala, Y. V. (2021). Camera trap placement for evaluating species richness, abundance, and activity. *Scientific Reports, 11*(1), 23050. &lt;https://doi.org/10.1038/s41598-021-02459-w&gt;"</v>
      </c>
      <c r="V444" s="64"/>
    </row>
    <row r="445" spans="1:22" ht="15.75">
      <c r="A445" s="64"/>
      <c r="B445" s="77" t="b">
        <v>1</v>
      </c>
      <c r="C445" s="77" t="b">
        <v>0</v>
      </c>
      <c r="D445" s="77" t="b">
        <v>0</v>
      </c>
      <c r="E445" s="64" t="s">
        <v>1950</v>
      </c>
      <c r="F445" s="64" t="s">
        <v>1949</v>
      </c>
      <c r="G445" s="64" t="s">
        <v>1948</v>
      </c>
      <c r="H445" s="64" t="s">
        <v>1948</v>
      </c>
      <c r="I445" s="64" t="b">
        <v>1</v>
      </c>
      <c r="J445" s="66" t="s">
        <v>1947</v>
      </c>
      <c r="K445" s="66" t="s">
        <v>3960</v>
      </c>
      <c r="L445" s="64" t="s">
        <v>4243</v>
      </c>
      <c r="M445" s="64" t="s">
        <v>6131</v>
      </c>
      <c r="N445" s="65" t="str">
        <f t="shared" si="42"/>
        <v>[The WILDLABS Partnership (2021). &lt;i&gt;How do I get started with Megadetector?&lt;/i&gt; Siyu Y. &lt;a target="_blank" href="https://www.wildlabs.net/event/how-do-i-get-started-megadetector"&gt;{https://www.wildlabs.net/event/how-do-i-get-started-megadetector}]{#wildlabs_2021}&lt;br&gt;&lt;br&gt;</v>
      </c>
      <c r="O445" s="64" t="s">
        <v>1946</v>
      </c>
      <c r="P445" s="64" t="s">
        <v>984</v>
      </c>
      <c r="Q445" s="64" t="str">
        <f t="shared" si="38"/>
        <v>{{ rtxt_wildlabs_2021 }}</v>
      </c>
      <c r="R445" s="64" t="str">
        <f t="shared" si="39"/>
        <v>{{ rbib_wildlabs_2021 }}</v>
      </c>
      <c r="S445" s="63" t="str">
        <f t="shared" si="43"/>
        <v>The WILDLABS Partnership (2021). &lt;i&gt;How do I get started with Megadetector?&lt;/i&gt; Siyu Y. &lt;a href="https://www.wildlabs.net/event/how-do-i-get-started-megadetector" target="_blank"&gt;https://www.wildlabs.net/event/how-do-i-get-started-megadetector&lt;/a&gt;&lt;span style="color:white"&gt;[.]{#wildlabs_2021}&lt;/span&gt;&lt;br&gt;&lt;br&gt;</v>
      </c>
      <c r="T445" s="64" t="str">
        <f t="shared" si="41"/>
        <v xml:space="preserve">    rtxt_wildlabs_2021: "&lt;a href=\"/08_references.html#wildlabs_2021\" target=\"_blank\"&gt;The WILDLABS Partnership, 2021&lt;/a&gt;"</v>
      </c>
      <c r="U445" s="64" t="str">
        <f t="shared" si="40"/>
        <v xml:space="preserve">    rbib_wildlabs_2021: "The WILDLABS Partnership (2021). *How do I get started with Megadetector?* Siyu Y. &lt;https://www.wildlabs.net/event/how-do-i-get-started-megadetector&gt;"</v>
      </c>
      <c r="V445" s="64"/>
    </row>
    <row r="446" spans="1:22" ht="15.75">
      <c r="A446" s="64"/>
      <c r="B446" s="77"/>
      <c r="C446" s="77"/>
      <c r="D446" s="77"/>
      <c r="E446" s="64" t="s">
        <v>1945</v>
      </c>
      <c r="F446" s="64" t="s">
        <v>1944</v>
      </c>
      <c r="G446" s="64" t="s">
        <v>1943</v>
      </c>
      <c r="H446" s="64" t="s">
        <v>1943</v>
      </c>
      <c r="I446" s="64" t="b">
        <v>1</v>
      </c>
      <c r="J446" s="66" t="s">
        <v>1942</v>
      </c>
      <c r="K446" s="66" t="s">
        <v>3960</v>
      </c>
      <c r="L446" s="64" t="s">
        <v>4244</v>
      </c>
      <c r="M446" s="64" t="s">
        <v>6149</v>
      </c>
      <c r="N446" s="65" t="str">
        <f t="shared" si="42"/>
        <v>[The Wildlife Degree (2022, Feb 3). &lt;i&gt;Rarefied Species Accumulation Curves (the simple way) tutorial.&lt;/i&gt; [Video]. YouTube. &lt;a target="_blank" href="https://www.youtube.com/watch?v=h3MLWK9IJ4A"&gt;{https://www.youtube.com/watch?v=h3MLWK9IJ4A}]{#wildlifedegree_2022}&lt;br&gt;&lt;br&gt;</v>
      </c>
      <c r="O446" s="64" t="s">
        <v>1940</v>
      </c>
      <c r="P446" s="64" t="s">
        <v>1941</v>
      </c>
      <c r="Q446" s="64" t="str">
        <f t="shared" si="38"/>
        <v>{{ rtxt_wildlifedegree_2022 }}</v>
      </c>
      <c r="R446" s="64" t="str">
        <f t="shared" si="39"/>
        <v>{{ rbib_wildlifedegree_2022 }}</v>
      </c>
      <c r="S446" s="63" t="str">
        <f t="shared" si="43"/>
        <v>The Wildlife Degree (2022, Feb 3). &lt;i&gt;Rarefied Species Accumulation Curves (the simple way) tutorial.&lt;/i&gt; [Video]. YouTube. &lt;a href="https://www.youtube.com/watch?v=h3MLWK9IJ4A" target="_blank"&gt;https://www.youtube.com/watch?v=h3MLWK9IJ4A&lt;/a&gt;&lt;span style="color:white"&gt;[.]{#wildlifedegree_2022}&lt;/span&gt;&lt;br&gt;&lt;br&gt;</v>
      </c>
      <c r="T446" s="64" t="str">
        <f t="shared" si="41"/>
        <v xml:space="preserve">    rtxt_wildlifedegree_2022: "&lt;a href=\"/08_references.html#wildlifedegree_2022\" target=\"_blank\"&gt;The Wildlife Degree (2022)&lt;/a&gt;"</v>
      </c>
      <c r="U446" s="64" t="str">
        <f t="shared" si="40"/>
        <v xml:space="preserve">    rbib_wildlifedegree_2022: "The Wildlife Degree (2022, Feb 3). *Rarefied Species Accumulation Curves (the simple way) tutorial.* [Video]. YouTube. &lt;https://www.youtube.com/watch?v=h3MLWK9IJ4A&gt;"</v>
      </c>
      <c r="V446" s="64"/>
    </row>
    <row r="447" spans="1:22" ht="15.75">
      <c r="A447" s="64"/>
      <c r="B447" s="77"/>
      <c r="C447" s="77"/>
      <c r="D447" s="77"/>
      <c r="E447" s="64" t="s">
        <v>2138</v>
      </c>
      <c r="F447" s="64" t="s">
        <v>2137</v>
      </c>
      <c r="G447" s="64" t="s">
        <v>2136</v>
      </c>
      <c r="H447" s="64" t="s">
        <v>2136</v>
      </c>
      <c r="I447" s="64" t="b">
        <v>1</v>
      </c>
      <c r="J447" s="66" t="s">
        <v>2135</v>
      </c>
      <c r="K447" s="66" t="s">
        <v>3960</v>
      </c>
      <c r="L447" s="64" t="s">
        <v>4245</v>
      </c>
      <c r="M447" s="64" t="s">
        <v>6075</v>
      </c>
      <c r="N447" s="65" t="str">
        <f t="shared" si="42"/>
        <v>[Thompson, P. R. (2024) &lt;i&gt;Zone of Influence Effect Size and Buffer Distance Calculator&lt;/i&gt;. University of Alberta, Canada. &lt;a target="_blank" href="https://pthompson234.shinyapps.io/calculate-zoi/"&gt;{https://pthompson234.shinyapps.io/calculate-zoi/}]{#thompson_2024}&lt;br&gt;&lt;br&gt;</v>
      </c>
      <c r="O447" s="64" t="s">
        <v>2134</v>
      </c>
      <c r="P447" s="64" t="s">
        <v>984</v>
      </c>
      <c r="Q447" s="64" t="str">
        <f t="shared" si="38"/>
        <v>{{ rtxt_thompson_2024 }}</v>
      </c>
      <c r="R447" s="64" t="str">
        <f t="shared" si="39"/>
        <v>{{ rbib_thompson_2024 }}</v>
      </c>
      <c r="S447" s="63" t="str">
        <f t="shared" si="43"/>
        <v>Thompson, P. R. (2024) &lt;i&gt;Zone of Influence Effect Size and Buffer Distance Calculator&lt;/i&gt;. University of Alberta, Canada. &lt;a href="https://pthompson234.shinyapps.io/calculate-zoi/" target="_blank"&gt;https://pthompson234.shinyapps.io/calculate-zoi/&lt;/a&gt;&lt;span style="color:white"&gt;[.]{#thompson_2024}&lt;/span&gt;&lt;br&gt;&lt;br&gt;</v>
      </c>
      <c r="T447" s="64" t="str">
        <f t="shared" si="41"/>
        <v xml:space="preserve">    rtxt_thompson_2024: "&lt;a href=\"/08_references.html#thompson_2024\" target=\"_blank\"&gt;Thompson, 2024&lt;/a&gt;"</v>
      </c>
      <c r="U447" s="64" t="str">
        <f t="shared" si="40"/>
        <v xml:space="preserve">    rbib_thompson_2024: "Thompson, P. R. (2024) *Zone of Influence Effect Size and Buffer Distance Calculator*. University of Alberta, Canada. &lt;https://pthompson234.shinyapps.io/calculate-zoi/&gt;"</v>
      </c>
      <c r="V447" s="64"/>
    </row>
    <row r="448" spans="1:22" ht="15.75">
      <c r="A448" s="64"/>
      <c r="B448" s="77"/>
      <c r="C448" s="77"/>
      <c r="D448" s="77"/>
      <c r="E448" s="64"/>
      <c r="F448" s="64" t="s">
        <v>2133</v>
      </c>
      <c r="G448" s="64" t="s">
        <v>2132</v>
      </c>
      <c r="H448" s="64" t="s">
        <v>2131</v>
      </c>
      <c r="I448" s="64" t="b">
        <v>1</v>
      </c>
      <c r="J448" s="66" t="s">
        <v>2130</v>
      </c>
      <c r="K448" s="66" t="s">
        <v>3960</v>
      </c>
      <c r="L448" s="64" t="s">
        <v>4246</v>
      </c>
      <c r="M448" s="64" t="s">
        <v>5812</v>
      </c>
      <c r="N448" s="65" t="str">
        <f t="shared" si="42"/>
        <v>[Thompson,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href="https://doi.org/10.1016/B978-0126889604/50003-4"&gt;{https://doi.org/10.1016/B978-0126889604/50003-4}]{#thompson_et_al_1998}&lt;br&gt;&lt;br&gt;</v>
      </c>
      <c r="O448" s="64" t="s">
        <v>2129</v>
      </c>
      <c r="P448" s="64" t="s">
        <v>984</v>
      </c>
      <c r="Q448" s="64" t="str">
        <f t="shared" si="38"/>
        <v>{{ rtxt_thompson_et_al_1998 }}</v>
      </c>
      <c r="R448" s="64" t="str">
        <f t="shared" si="39"/>
        <v>{{ rbib_thompson_et_al_1998 }}</v>
      </c>
      <c r="S448" s="63" t="str">
        <f t="shared" si="43"/>
        <v>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target="_blank"&gt;https://doi.org/10.1016/B978-0126889604/50003-4&lt;/a&gt;&lt;span style="color:white"&gt;[.]{#thompson_et_al_1998}&lt;/span&gt;&lt;br&gt;&lt;br&gt;</v>
      </c>
      <c r="T448" s="64" t="str">
        <f t="shared" si="41"/>
        <v xml:space="preserve">    rtxt_thompson_et_al_1998: "&lt;a href=\"/08_references.html#thompson_et_al_1998\" target=\"_blank\"&gt;Thompson et al., 1998&lt;/a&gt;"</v>
      </c>
      <c r="U448" s="64" t="str">
        <f t="shared" si="40"/>
        <v xml:space="preserve">    rbib_thompson_et_al_1998: "Thompson, W. L., White, G. C., &amp; Gowan, C. (1998). “Chapter 3 - Enumeration Methods.” In *Monitoring Vertebrate Populations*, edited by Thompson, W. L., White, G. C., &amp; Gowan, C., 75-121. San Diego: Academic Press. &lt;https://doi.org/10.1016/B978-0126889604/50003-4&gt;"</v>
      </c>
      <c r="V448" s="64"/>
    </row>
    <row r="449" spans="1:22" ht="15.75">
      <c r="A449" s="64"/>
      <c r="B449" s="77" t="b">
        <v>1</v>
      </c>
      <c r="C449" s="77" t="b">
        <v>0</v>
      </c>
      <c r="D449" s="77" t="b">
        <v>0</v>
      </c>
      <c r="E449" s="64" t="s">
        <v>1904</v>
      </c>
      <c r="F449" s="64" t="s">
        <v>2128</v>
      </c>
      <c r="G449" s="64" t="s">
        <v>2127</v>
      </c>
      <c r="H449" s="64" t="s">
        <v>2127</v>
      </c>
      <c r="I449" s="64" t="b">
        <v>1</v>
      </c>
      <c r="J449" s="66" t="s">
        <v>2126</v>
      </c>
      <c r="K449" s="66" t="s">
        <v>3960</v>
      </c>
      <c r="L449" s="64" t="s">
        <v>4247</v>
      </c>
      <c r="M449" s="64" t="s">
        <v>6025</v>
      </c>
      <c r="N449" s="65" t="str">
        <f t="shared" si="42"/>
        <v>[Thorn, M., Scott, D. M., Green, M., Bateman, P. W., &amp; Cameron, E. Z. (2009). Estimating Brown Hyaena Occupancy using Baited Camera Traps. &lt;i&gt;South African Journal of Wildlife Research, 39&lt;/i&gt;(1), 1-10. &lt;a target="_blank" href="https://doi.org/10.3957/056.039.0101"&gt;{https://doi.org/10.3957/056.039.0101}]{#thorn_et_al_2009}&lt;br&gt;&lt;br&gt;</v>
      </c>
      <c r="O449" s="64" t="s">
        <v>2125</v>
      </c>
      <c r="P449" s="64" t="s">
        <v>984</v>
      </c>
      <c r="Q449" s="64" t="str">
        <f t="shared" si="38"/>
        <v>{{ rtxt_thorn_et_al_2009 }}</v>
      </c>
      <c r="R449" s="64" t="str">
        <f t="shared" si="39"/>
        <v>{{ rbib_thorn_et_al_2009 }}</v>
      </c>
      <c r="S449" s="63" t="str">
        <f t="shared" si="43"/>
        <v>Thorn, M., Scott, D. M., Green, M., Bateman, P. W., &amp; Cameron, E. Z. (2009). Estimating Brown Hyaena Occupancy using Baited Camera Traps. &lt;i&gt;South African Journal of Wildlife Research, 39&lt;/i&gt;(1), 1-10. &lt;a href="https://doi.org/10.3957/056.039.0101" target="_blank"&gt;https://doi.org/10.3957/056.039.0101&lt;/a&gt;&lt;span style="color:white"&gt;[.]{#thorn_et_al_2009}&lt;/span&gt;&lt;br&gt;&lt;br&gt;</v>
      </c>
      <c r="T449" s="64" t="str">
        <f t="shared" si="41"/>
        <v xml:space="preserve">    rtxt_thorn_et_al_2009: "&lt;a href=\"/08_references.html#thorn_et_al_2009\" target=\"_blank\"&gt;Thorn et al., 2009&lt;/a&gt;"</v>
      </c>
      <c r="U449" s="64" t="str">
        <f t="shared" si="40"/>
        <v xml:space="preserve">    rbib_thorn_et_al_2009: "Thorn, M., Scott, D. M., Green, M., Bateman, P. W., &amp; Cameron, E. Z. (2009). Estimating Brown Hyaena Occupancy using Baited Camera Traps. *South African Journal of Wildlife Research, 39*(1), 1-10. &lt;https://doi.org/10.3957/056.039.0101&gt;"</v>
      </c>
      <c r="V449" s="64"/>
    </row>
    <row r="450" spans="1:22" ht="15.75">
      <c r="A450" s="64"/>
      <c r="B450" s="77" t="b">
        <v>0</v>
      </c>
      <c r="C450" s="77" t="b">
        <v>1</v>
      </c>
      <c r="D450" s="77" t="b">
        <v>0</v>
      </c>
      <c r="E450" s="64" t="s">
        <v>1904</v>
      </c>
      <c r="F450" s="64" t="s">
        <v>2124</v>
      </c>
      <c r="G450" s="64" t="s">
        <v>2123</v>
      </c>
      <c r="H450" s="64" t="s">
        <v>2122</v>
      </c>
      <c r="I450" s="64" t="b">
        <v>1</v>
      </c>
      <c r="J450" s="66" t="s">
        <v>2121</v>
      </c>
      <c r="K450" s="66" t="s">
        <v>3960</v>
      </c>
      <c r="L450" s="64" t="s">
        <v>4248</v>
      </c>
      <c r="M450" s="64" t="s">
        <v>5756</v>
      </c>
      <c r="N450" s="65" t="str">
        <f t="shared" si="42"/>
        <v>[Tigner, J., Bayne, E. M., &amp; Boutin, S. (2014). Black bear use of seismic lines in Northern Canada. &lt;i&gt;Journal of Wildlife Management, 78&lt;/i&gt;(2), 282-292. &lt;a target="_blank" href="https://doi.org/10.1002/jwmg.664"&gt;{https://doi.org/10.1002/jwmg.664}]{#tigner_et_al_2014}&lt;br&gt;&lt;br&gt;</v>
      </c>
      <c r="O450" s="64" t="s">
        <v>2120</v>
      </c>
      <c r="P450" s="64" t="s">
        <v>984</v>
      </c>
      <c r="Q450" s="64" t="str">
        <f t="shared" ref="Q450:Q501" si="44">"{{ rtxt_"&amp;F450&amp;" }}"</f>
        <v>{{ rtxt_tigner_et_al_2014 }}</v>
      </c>
      <c r="R450" s="64" t="str">
        <f t="shared" ref="R450:R501" si="45">"{{ rbib_"&amp;F450&amp;" }}"</f>
        <v>{{ rbib_tigner_et_al_2014 }}</v>
      </c>
      <c r="S450" s="63" t="str">
        <f t="shared" si="43"/>
        <v>Tigner, J., Bayne, E. M., &amp; Boutin, S. (2014). Black bear use of seismic lines in Northern Canada. &lt;i&gt;Journal of Wildlife Management, 78&lt;/i&gt;(2), 282-292. &lt;a href="https://doi.org/10.1002/jwmg.664" target="_blank"&gt;https://doi.org/10.1002/jwmg.664&lt;/a&gt;&lt;span style="color:white"&gt;[.]{#tigner_et_al_2014}&lt;/span&gt;&lt;br&gt;&lt;br&gt;</v>
      </c>
      <c r="T450" s="64" t="str">
        <f t="shared" si="41"/>
        <v xml:space="preserve">    rtxt_tigner_et_al_2014: "&lt;a href=\"/08_references.html#tigner_et_al_2014\" target=\"_blank\"&gt;Tigner et al., 2014&lt;/a&gt;"</v>
      </c>
      <c r="U450" s="64" t="str">
        <f t="shared" ref="U450:U501" si="46">"    rbib_"&amp;F450&amp;": "&amp;""""&amp;J450&amp;""""</f>
        <v xml:space="preserve">    rbib_tigner_et_al_2014: "Tigner, J., Bayne, E. M., &amp; Boutin, S. (2014). Black bear use of seismic lines in Northern Canada. *Journal of Wildlife Management, 78* (2), 282-292. &lt;https://doi.org/10.1002/jwmg.664&gt;"</v>
      </c>
      <c r="V450" s="64"/>
    </row>
    <row r="451" spans="1:22" ht="15.75">
      <c r="A451" s="64"/>
      <c r="B451" s="77"/>
      <c r="C451" s="77"/>
      <c r="D451" s="77"/>
      <c r="E451" s="64" t="s">
        <v>1945</v>
      </c>
      <c r="F451" s="64" t="s">
        <v>2119</v>
      </c>
      <c r="G451" s="64" t="s">
        <v>2118</v>
      </c>
      <c r="H451" s="64" t="s">
        <v>2118</v>
      </c>
      <c r="I451" s="64" t="b">
        <v>1</v>
      </c>
      <c r="J451" s="66" t="s">
        <v>2117</v>
      </c>
      <c r="K451" s="66" t="s">
        <v>3960</v>
      </c>
      <c r="L451" s="64" t="s">
        <v>4249</v>
      </c>
      <c r="M451" s="64" t="s">
        <v>6171</v>
      </c>
      <c r="N451" s="65" t="str">
        <f t="shared" si="42"/>
        <v>[TileStats (2021, Apr 18). &lt;i&gt;Zero-inflated Poisson (ZIP) regression.&lt;/i&gt; [Video]. YouTube. &lt;a target="_blank" href="https://www.youtube.com/watch?v=ztNQvAabgtU"&gt;{https://www.youtube.com/watch?v=ztNQvAabgtU}]{#tilestats_2021}&lt;br&gt;&lt;br&gt;</v>
      </c>
      <c r="O451" s="64" t="s">
        <v>2115</v>
      </c>
      <c r="P451" s="64" t="s">
        <v>2116</v>
      </c>
      <c r="Q451" s="64" t="str">
        <f t="shared" si="44"/>
        <v>{{ rtxt_tilestats_2021 }}</v>
      </c>
      <c r="R451" s="64" t="str">
        <f t="shared" si="45"/>
        <v>{{ rbib_tilestats_2021 }}</v>
      </c>
      <c r="S451" s="63" t="str">
        <f t="shared" si="43"/>
        <v>TileStats (2021, Apr 18). &lt;i&gt;Zero-inflated Poisson (ZIP) regression.&lt;/i&gt; [Video]. YouTube. &lt;a href="https://www.youtube.com/watch?v=ztNQvAabgtU" target="_blank"&gt;https://www.youtube.com/watch?v=ztNQvAabgtU&lt;/a&gt;&lt;span style="color:white"&gt;[.]{#tilestats_2021}&lt;/span&gt;&lt;br&gt;&lt;br&gt;</v>
      </c>
      <c r="T451" s="64" t="str">
        <f t="shared" ref="T451:T501" si="47">"    rtxt_"&amp;F451&amp;": "&amp;""""&amp;"&lt;a href=\"&amp;""""&amp;"/08_references.html#"&amp;F451&amp;"\"&amp;""""&amp;" target=\"&amp;""""&amp;"_blank\"&amp;""""&amp;"&gt;"&amp;G451&amp;"&lt;/a&gt;"&amp;""""</f>
        <v xml:space="preserve">    rtxt_tilestats_2021: "&lt;a href=\"/08_references.html#tilestats_2021\" target=\"_blank\"&gt;TileStats, 2021&lt;/a&gt;"</v>
      </c>
      <c r="U451" s="64" t="str">
        <f t="shared" si="46"/>
        <v xml:space="preserve">    rbib_tilestats_2021: "TileStats (2021, Apr 18). *Zero-inflated Poisson (ZIP) regression.* [Video]. YouTube. &lt;https://www.youtube.com/watch?v=ztNQvAabgtU&gt;"</v>
      </c>
      <c r="V451" s="64"/>
    </row>
    <row r="452" spans="1:22" ht="15.75">
      <c r="A452" s="64"/>
      <c r="B452" s="77" t="b">
        <v>1</v>
      </c>
      <c r="C452" s="77" t="b">
        <v>0</v>
      </c>
      <c r="D452" s="77" t="b">
        <v>1</v>
      </c>
      <c r="E452" s="64" t="s">
        <v>1904</v>
      </c>
      <c r="F452" s="64" t="s">
        <v>2110</v>
      </c>
      <c r="G452" s="64" t="s">
        <v>2109</v>
      </c>
      <c r="H452" s="64" t="s">
        <v>2109</v>
      </c>
      <c r="I452" s="64" t="b">
        <v>1</v>
      </c>
      <c r="J452" s="66" t="s">
        <v>2108</v>
      </c>
      <c r="K452" s="66" t="s">
        <v>3960</v>
      </c>
      <c r="L452" s="64" t="s">
        <v>4250</v>
      </c>
      <c r="M452" s="64" t="s">
        <v>5820</v>
      </c>
      <c r="N452" s="65" t="str">
        <f t="shared" si="42"/>
        <v>[Tobler,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href="https://doi.org/10.1016/j.biocon.2012.12.009"&gt;{https://doi.org/10.1016/j.biocon.2012.12.009}]{#tobler_powell_2013}&lt;br&gt;&lt;br&gt;</v>
      </c>
      <c r="O452" s="64" t="s">
        <v>2107</v>
      </c>
      <c r="P452" s="64" t="s">
        <v>984</v>
      </c>
      <c r="Q452" s="64" t="str">
        <f t="shared" si="44"/>
        <v>{{ rtxt_tobler_powell_2013 }}</v>
      </c>
      <c r="R452" s="64" t="str">
        <f t="shared" si="45"/>
        <v>{{ rbib_tobler_powell_2013 }}</v>
      </c>
      <c r="S452" s="63" t="str">
        <f t="shared" si="43"/>
        <v>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target="_blank"&gt;https://doi.org/10.1016/j.biocon.2012.12.009&lt;/a&gt;&lt;span style="color:white"&gt;[.]{#tobler_powell_2013}&lt;/span&gt;&lt;br&gt;&lt;br&gt;</v>
      </c>
      <c r="T452" s="64" t="str">
        <f t="shared" si="47"/>
        <v xml:space="preserve">    rtxt_tobler_powell_2013: "&lt;a href=\"/08_references.html#tobler_powell_2013\" target=\"_blank\"&gt;Tobler &amp; Powell, 2013&lt;/a&gt;"</v>
      </c>
      <c r="U452" s="64" t="str">
        <f t="shared" si="46"/>
        <v xml:space="preserve">    rbib_tobler_powell_2013: "Tobler, M. W. &amp; Powell, G. V. N. (2013). Estimating jaguar densities with camera traps: problems with current designs and recommendations for future studies. *Biological Conservation, 159*, 109-118. &lt;https://doi.org/10.1016/j.biocon.2012.12.009&gt;"</v>
      </c>
      <c r="V452" s="64"/>
    </row>
    <row r="453" spans="1:22" ht="15.75">
      <c r="A453" s="64"/>
      <c r="B453" s="77" t="b">
        <v>1</v>
      </c>
      <c r="C453" s="77" t="b">
        <v>1</v>
      </c>
      <c r="D453" s="77" t="b">
        <v>1</v>
      </c>
      <c r="E453" s="64" t="s">
        <v>1904</v>
      </c>
      <c r="F453" s="64" t="s">
        <v>2114</v>
      </c>
      <c r="G453" s="64" t="s">
        <v>2113</v>
      </c>
      <c r="H453" s="64" t="s">
        <v>2113</v>
      </c>
      <c r="I453" s="64" t="b">
        <v>1</v>
      </c>
      <c r="J453" s="66" t="s">
        <v>2112</v>
      </c>
      <c r="K453" s="66" t="s">
        <v>3960</v>
      </c>
      <c r="L453" s="64" t="s">
        <v>4251</v>
      </c>
      <c r="M453" s="64" t="s">
        <v>5927</v>
      </c>
      <c r="N453" s="65" t="str">
        <f t="shared" ref="N453:N501" si="48">"["&amp;L453&amp;"]{#"&amp;F453&amp;"}&lt;br&gt;&lt;br&gt;"</f>
        <v>[Tobler,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href="https://doi.org/10.1111/j.1469-1795.2008.00169.x"&gt;{https://doi.org/10.1111/j.1469-1795.2008.00169.x}]{#tobler_et_al_2008}&lt;br&gt;&lt;br&gt;</v>
      </c>
      <c r="O453" s="64" t="s">
        <v>2111</v>
      </c>
      <c r="P453" s="64" t="s">
        <v>984</v>
      </c>
      <c r="Q453" s="64" t="str">
        <f t="shared" si="44"/>
        <v>{{ rtxt_tobler_et_al_2008 }}</v>
      </c>
      <c r="R453" s="64" t="str">
        <f t="shared" si="45"/>
        <v>{{ rbib_tobler_et_al_2008 }}</v>
      </c>
      <c r="S453" s="63" t="str">
        <f t="shared" si="43"/>
        <v>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target="_blank"&gt;https://doi.org/10.1111/j.1469-1795.2008.00169.x&lt;/a&gt;&lt;span style="color:white"&gt;[.]{#tobler_et_al_2008}&lt;/span&gt;&lt;br&gt;&lt;br&gt;</v>
      </c>
      <c r="T453" s="64" t="str">
        <f t="shared" si="47"/>
        <v xml:space="preserve">    rtxt_tobler_et_al_2008: "&lt;a href=\"/08_references.html#tobler_et_al_2008\" target=\"_blank\"&gt;Tobler et al., 2008&lt;/a&gt;"</v>
      </c>
      <c r="U453" s="64" t="str">
        <f t="shared" si="46"/>
        <v xml:space="preserve">    rbib_tobler_et_al_2008: "Tobler, M. W., Pitman, R. L., Mares, R. &amp; Powell, G. (2008). An Evaluation of Camera Traps for Inventorying Large- and Medium-Sized Terrestrial Rainforest Mammals. *Animal Conservation, 11*, 169-178. &lt;https://doi.org/10.1111/j.1469-1795.2008.00169.x&gt;"</v>
      </c>
      <c r="V453" s="64"/>
    </row>
    <row r="454" spans="1:22" ht="15.75">
      <c r="A454" s="64"/>
      <c r="B454" s="77" t="b">
        <v>0</v>
      </c>
      <c r="C454" s="77" t="b">
        <v>0</v>
      </c>
      <c r="D454" s="77" t="s">
        <v>1993</v>
      </c>
      <c r="E454" s="64" t="s">
        <v>1904</v>
      </c>
      <c r="F454" s="64" t="s">
        <v>2106</v>
      </c>
      <c r="G454" s="64" t="s">
        <v>2105</v>
      </c>
      <c r="H454" s="64" t="s">
        <v>2105</v>
      </c>
      <c r="I454" s="64" t="b">
        <v>1</v>
      </c>
      <c r="J454" s="66" t="s">
        <v>2104</v>
      </c>
      <c r="K454" s="66" t="s">
        <v>3960</v>
      </c>
      <c r="L454" s="64" t="s">
        <v>4252</v>
      </c>
      <c r="M454" s="64" t="s">
        <v>5734</v>
      </c>
      <c r="N454" s="65" t="str">
        <f t="shared" si="48"/>
        <v>[Tourani, M. (2022). A review of spatial capture-recapture: Ecological insights, limitations, and prospects. &lt;i&gt;Ecology and Evolution, 12&lt;/i&gt;, e8468. &lt;a target="_blank" href="https://doi.org/10.1002/ece3.8468"&gt;{https://doi.org/10.1002/ece3.8468}]{#tourani_2022}&lt;br&gt;&lt;br&gt;</v>
      </c>
      <c r="O454" s="64" t="s">
        <v>2103</v>
      </c>
      <c r="P454" s="64" t="s">
        <v>984</v>
      </c>
      <c r="Q454" s="64" t="str">
        <f t="shared" si="44"/>
        <v>{{ rtxt_tourani_2022 }}</v>
      </c>
      <c r="R454" s="64" t="str">
        <f t="shared" si="45"/>
        <v>{{ rbib_tourani_2022 }}</v>
      </c>
      <c r="S454" s="63" t="str">
        <f t="shared" si="43"/>
        <v>Tourani, M. (2022). A review of spatial capture-recapture: Ecological insights, limitations, and prospects. &lt;i&gt;Ecology and Evolution, 12&lt;/i&gt;, e8468. &lt;a href="https://doi.org/10.1002/ece3.8468" target="_blank"&gt;https://doi.org/10.1002/ece3.8468&lt;/a&gt;&lt;span style="color:white"&gt;[.]{#tourani_2022}&lt;/span&gt;&lt;br&gt;&lt;br&gt;</v>
      </c>
      <c r="T454" s="64" t="str">
        <f t="shared" si="47"/>
        <v xml:space="preserve">    rtxt_tourani_2022: "&lt;a href=\"/08_references.html#tourani_2022\" target=\"_blank\"&gt;Tourani, 2022&lt;/a&gt;"</v>
      </c>
      <c r="U454" s="64" t="str">
        <f t="shared" si="46"/>
        <v xml:space="preserve">    rbib_tourani_2022: "Tourani, M. (2022). A review of spatial capture-recapture: Ecological insights, limitations, and prospects. *Ecology and Evolution, 12*, e8468. &lt;https://doi.org/10.1002/ece3.8468&gt;"</v>
      </c>
      <c r="V454" s="64"/>
    </row>
    <row r="455" spans="1:22" ht="15.75">
      <c r="A455" s="64"/>
      <c r="B455" s="77" t="b">
        <v>0</v>
      </c>
      <c r="C455" s="77" t="b">
        <v>0</v>
      </c>
      <c r="D455" s="77"/>
      <c r="E455" s="64" t="s">
        <v>1904</v>
      </c>
      <c r="F455" s="64" t="s">
        <v>2102</v>
      </c>
      <c r="G455" s="64" t="s">
        <v>2101</v>
      </c>
      <c r="H455" s="64" t="s">
        <v>2101</v>
      </c>
      <c r="I455" s="64" t="b">
        <v>1</v>
      </c>
      <c r="J455" s="66" t="s">
        <v>2100</v>
      </c>
      <c r="K455" s="66" t="s">
        <v>3960</v>
      </c>
      <c r="L455" s="64" t="s">
        <v>4253</v>
      </c>
      <c r="M455" s="64" t="s">
        <v>5945</v>
      </c>
      <c r="N455" s="65" t="str">
        <f t="shared" si="48"/>
        <v>[Tourani, M., Brøste, E. N., Bakken, S., Odden, J., Bischof, R., &amp; Hayward, M. (2020). Sooner, closer, or longer: Detectability of mesocarnivores at camera traps. &lt;i&gt;Journal of Zoology, 312&lt;/i&gt;(4), 259-270. &lt;a target="_blank" href="https://doi.org/10.1111/jzo.12828"&gt;{https://doi.org/10.1111/jzo.12828}]{#tourani_et_al_2020}&lt;br&gt;&lt;br&gt;</v>
      </c>
      <c r="O455" s="64" t="s">
        <v>2099</v>
      </c>
      <c r="P455" s="64" t="s">
        <v>984</v>
      </c>
      <c r="Q455" s="64" t="str">
        <f t="shared" si="44"/>
        <v>{{ rtxt_tourani_et_al_2020 }}</v>
      </c>
      <c r="R455" s="64" t="str">
        <f t="shared" si="45"/>
        <v>{{ rbib_tourani_et_al_2020 }}</v>
      </c>
      <c r="S455" s="63" t="str">
        <f t="shared" si="43"/>
        <v>Tourani, M., Brøste, E. N., Bakken, S., Odden, J., Bischof, R., &amp; Hayward, M. (2020). Sooner, closer, or longer: Detectability of mesocarnivores at camera traps. &lt;i&gt;Journal of Zoology, 312&lt;/i&gt;(4), 259-270. &lt;a href="https://doi.org/10.1111/jzo.12828" target="_blank"&gt;https://doi.org/10.1111/jzo.12828&lt;/a&gt;&lt;span style="color:white"&gt;[.]{#tourani_et_al_2020}&lt;/span&gt;&lt;br&gt;&lt;br&gt;</v>
      </c>
      <c r="T455" s="64" t="str">
        <f t="shared" si="47"/>
        <v xml:space="preserve">    rtxt_tourani_et_al_2020: "&lt;a href=\"/08_references.html#tourani_et_al_2020\" target=\"_blank\"&gt;Tourani et al., 2020&lt;/a&gt;"</v>
      </c>
      <c r="U455" s="64" t="str">
        <f t="shared" si="46"/>
        <v xml:space="preserve">    rbib_tourani_et_al_2020: "Tourani, M., Brøste, E. N., Bakken, S., Odden, J., Bischof, R., &amp; Hayward, M. (2020). Sooner, closer, or longer: Detectability of mesocarnivores at camera traps. *Journal of Zoology, 312*(4), 259-270. &lt;https://doi.org/10.1111/jzo.12828&gt;"</v>
      </c>
      <c r="V455" s="64"/>
    </row>
    <row r="456" spans="1:22" ht="15.75">
      <c r="A456" s="64"/>
      <c r="B456" s="77" t="b">
        <v>0</v>
      </c>
      <c r="C456" s="77" t="b">
        <v>0</v>
      </c>
      <c r="D456" s="77" t="s">
        <v>1993</v>
      </c>
      <c r="E456" s="64" t="s">
        <v>1904</v>
      </c>
      <c r="F456" s="64" t="s">
        <v>2098</v>
      </c>
      <c r="G456" s="64" t="s">
        <v>2097</v>
      </c>
      <c r="H456" s="64" t="s">
        <v>2097</v>
      </c>
      <c r="I456" s="64" t="b">
        <v>1</v>
      </c>
      <c r="J456" s="66" t="s">
        <v>2096</v>
      </c>
      <c r="K456" s="66" t="s">
        <v>3960</v>
      </c>
      <c r="L456" s="64" t="s">
        <v>4254</v>
      </c>
      <c r="M456" s="64" t="s">
        <v>6124</v>
      </c>
      <c r="N456" s="65" t="str">
        <f t="shared" si="48"/>
        <v>[Trolliet,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href="https://www.researchgate.net/publication/266381944_Use_of_camera_traps_for_wildlife_studies_A_review"&gt;{https://www.researchgate.net/publication/266381944_Use_of_camera_traps_for_wildlife_studies_A_review}]{#trolliet_et_al_2014}&lt;br&gt;&lt;br&gt;</v>
      </c>
      <c r="O456" s="64" t="s">
        <v>2095</v>
      </c>
      <c r="P456" s="64" t="s">
        <v>984</v>
      </c>
      <c r="Q456" s="64" t="str">
        <f t="shared" si="44"/>
        <v>{{ rtxt_trolliet_et_al_2014 }}</v>
      </c>
      <c r="R456" s="64" t="str">
        <f t="shared" si="45"/>
        <v>{{ rbib_trolliet_et_al_2014 }}</v>
      </c>
      <c r="S456" s="63" t="str">
        <f t="shared" si="43"/>
        <v>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target="_blank"&gt;https://www.researchgate.net/publication/266381944_Use_of_camera_traps_for_wildlife_studies_A_review&lt;/a&gt;&lt;span style="color:white"&gt;[.]{#trolliet_et_al_2014}&lt;/span&gt;&lt;br&gt;&lt;br&gt;</v>
      </c>
      <c r="T456" s="64" t="str">
        <f t="shared" si="47"/>
        <v xml:space="preserve">    rtxt_trolliet_et_al_2014: "&lt;a href=\"/08_references.html#trolliet_et_al_2014\" target=\"_blank\"&gt;Trolliet et al., 2014&lt;/a&gt;"</v>
      </c>
      <c r="U456" s="64" t="str">
        <f t="shared" si="46"/>
        <v xml:space="preserve">    rbib_trolliet_et_al_2014: "Trolliet, F., Huynen, M., Vermeulen, C., &amp; Hambuckers, A. (2014). Use of Camera Traps for Wildlife Studies. A Review. *Biotechnology, Agronomy and Society and Environment 18*(3), 446-54. &lt;https://www.researchgate.net/publication/266381944_Use_of_camera_traps_for_wildlife_studies_A_review&gt;"</v>
      </c>
      <c r="V456" s="64"/>
    </row>
    <row r="457" spans="1:22" ht="15.75">
      <c r="A457" s="64"/>
      <c r="B457" s="77" t="b">
        <v>0</v>
      </c>
      <c r="C457" s="77" t="b">
        <v>1</v>
      </c>
      <c r="D457" s="77" t="b">
        <v>0</v>
      </c>
      <c r="E457" s="64" t="s">
        <v>1904</v>
      </c>
      <c r="F457" s="64" t="s">
        <v>2094</v>
      </c>
      <c r="G457" s="64" t="s">
        <v>2093</v>
      </c>
      <c r="H457" s="64" t="s">
        <v>2093</v>
      </c>
      <c r="I457" s="64" t="b">
        <v>1</v>
      </c>
      <c r="J457" s="66" t="s">
        <v>2092</v>
      </c>
      <c r="K457" s="66" t="s">
        <v>3960</v>
      </c>
      <c r="L457" s="64" t="s">
        <v>4255</v>
      </c>
      <c r="M457" s="64" t="s">
        <v>5790</v>
      </c>
      <c r="N457" s="65" t="str">
        <f t="shared" si="48"/>
        <v>[Tschumi,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href="https://doi.org/10.1007/s00442-018-4242-z"&gt;{https://doi.org/10.1007/s00442-018-4242-z}]{#tschumi_et_al_2018}&lt;br&gt;&lt;br&gt;</v>
      </c>
      <c r="O457" s="64" t="s">
        <v>2091</v>
      </c>
      <c r="P457" s="64" t="s">
        <v>984</v>
      </c>
      <c r="Q457" s="64" t="str">
        <f t="shared" si="44"/>
        <v>{{ rtxt_tschumi_et_al_2018 }}</v>
      </c>
      <c r="R457" s="64" t="str">
        <f t="shared" si="45"/>
        <v>{{ rbib_tschumi_et_al_2018 }}</v>
      </c>
      <c r="S457" s="63" t="str">
        <f t="shared" si="43"/>
        <v>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target="_blank"&gt;https://doi.org/10.1007/s00442-018-4242-z&lt;/a&gt;&lt;span style="color:white"&gt;[.]{#tschumi_et_al_2018}&lt;/span&gt;&lt;br&gt;&lt;br&gt;</v>
      </c>
      <c r="T457" s="64" t="str">
        <f t="shared" si="47"/>
        <v xml:space="preserve">    rtxt_tschumi_et_al_2018: "&lt;a href=\"/08_references.html#tschumi_et_al_2018\" target=\"_blank\"&gt;Tschumi et al., 2018&lt;/a&gt;"</v>
      </c>
      <c r="U457" s="64" t="str">
        <f t="shared" si="46"/>
        <v xml:space="preserve">    rbib_tschumi_et_al_2018: "Tschumi, M., Ekroos, J., Hjort, C., Smith, H. G., &amp; Birkhofer, K. (2018). Rodents, not birds, dominate predation-related ecosystem services and disservices in vertebrate communities of agricultural landscapes. *Oecologia, 188* (3), 863-873. &lt;https://doi.org/10.1007/s00442-018-4242-z&gt;"</v>
      </c>
      <c r="V457" s="64"/>
    </row>
    <row r="458" spans="1:22" ht="15.75">
      <c r="A458" s="64"/>
      <c r="B458" s="77"/>
      <c r="C458" s="77"/>
      <c r="D458" s="77"/>
      <c r="E458" s="64" t="s">
        <v>1945</v>
      </c>
      <c r="F458" s="64" t="s">
        <v>2090</v>
      </c>
      <c r="G458" s="64" t="s">
        <v>2089</v>
      </c>
      <c r="H458" s="64" t="s">
        <v>2089</v>
      </c>
      <c r="I458" s="64" t="b">
        <v>1</v>
      </c>
      <c r="J458" s="66" t="s">
        <v>2088</v>
      </c>
      <c r="K458" s="66" t="s">
        <v>3960</v>
      </c>
      <c r="L458" s="64" t="s">
        <v>4256</v>
      </c>
      <c r="M458" s="64" t="s">
        <v>6164</v>
      </c>
      <c r="N458" s="65" t="str">
        <f t="shared" si="48"/>
        <v>[Turlapaty, A. (2014, Jun 15). &lt;i&gt;Probability of Detection: Eg 01.&lt;/i&gt; [Video]. YouTube. &lt;a target="_blank" href="https://www.youtube.com/watch?v=WBgWOQBlNoI"&gt;{https://www.youtube.com/watch?v=WBgWOQBlNoI}]{#turlapaty_2014}&lt;br&gt;&lt;br&gt;</v>
      </c>
      <c r="O458" s="64" t="s">
        <v>2086</v>
      </c>
      <c r="P458" s="64" t="s">
        <v>2087</v>
      </c>
      <c r="Q458" s="64" t="str">
        <f t="shared" si="44"/>
        <v>{{ rtxt_turlapaty_2014 }}</v>
      </c>
      <c r="R458" s="64" t="str">
        <f t="shared" si="45"/>
        <v>{{ rbib_turlapaty_2014 }}</v>
      </c>
      <c r="S458" s="63" t="str">
        <f t="shared" si="43"/>
        <v>Turlapaty, A. (2014, Jun 15). &lt;i&gt;Probability of Detection: Eg 01.&lt;/i&gt; [Video]. YouTube. &lt;a href="https://www.youtube.com/watch?v=WBgWOQBlNoI" target="_blank"&gt;https://www.youtube.com/watch?v=WBgWOQBlNoI&lt;/a&gt;&lt;span style="color:white"&gt;[.]{#turlapaty_2014}&lt;/span&gt;&lt;br&gt;&lt;br&gt;</v>
      </c>
      <c r="T458" s="64" t="str">
        <f t="shared" si="47"/>
        <v xml:space="preserve">    rtxt_turlapaty_2014: "&lt;a href=\"/08_references.html#turlapaty_2014\" target=\"_blank\"&gt;Turlapaty, 2014&lt;/a&gt;"</v>
      </c>
      <c r="U458" s="64" t="str">
        <f t="shared" si="46"/>
        <v xml:space="preserve">    rbib_turlapaty_2014: "Turlapaty, A. (2014, Jun 15). *Probability of Detection: Eg 01.* [Video]. YouTube. &lt;https://www.youtube.com/watch?v=WBgWOQBlNoI&gt;"</v>
      </c>
      <c r="V458" s="64"/>
    </row>
    <row r="459" spans="1:22" ht="15.75">
      <c r="A459" s="64"/>
      <c r="B459" s="77" t="b">
        <v>1</v>
      </c>
      <c r="C459" s="77" t="b">
        <v>0</v>
      </c>
      <c r="D459" s="77" t="b">
        <v>0</v>
      </c>
      <c r="E459" s="64" t="s">
        <v>1904</v>
      </c>
      <c r="F459" s="64" t="s">
        <v>2085</v>
      </c>
      <c r="G459" s="64" t="s">
        <v>2084</v>
      </c>
      <c r="H459" s="64" t="s">
        <v>2084</v>
      </c>
      <c r="I459" s="64" t="b">
        <v>1</v>
      </c>
      <c r="J459" s="66" t="s">
        <v>2083</v>
      </c>
      <c r="K459" s="66" t="s">
        <v>3960</v>
      </c>
      <c r="L459" s="64" t="s">
        <v>4257</v>
      </c>
      <c r="M459" s="64" t="s">
        <v>5745</v>
      </c>
      <c r="N459" s="65" t="str">
        <f t="shared" si="48"/>
        <v>[Twining,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href="https://doi.org/10.1002/ecs2.4165"&gt;{https://doi.org/10.1002/ecs2.4165}]{#twining_et_al_2022}&lt;br&gt;&lt;br&gt;</v>
      </c>
      <c r="O459" s="64" t="s">
        <v>2082</v>
      </c>
      <c r="P459" s="64" t="s">
        <v>984</v>
      </c>
      <c r="Q459" s="64" t="str">
        <f t="shared" si="44"/>
        <v>{{ rtxt_twining_et_al_2022 }}</v>
      </c>
      <c r="R459" s="64" t="str">
        <f t="shared" si="45"/>
        <v>{{ rbib_twining_et_al_2022 }}</v>
      </c>
      <c r="S459" s="63" t="str">
        <f t="shared" si="43"/>
        <v>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target="_blank"&gt;https://doi.org/10.1002/ecs2.4165&lt;/a&gt;&lt;span style="color:white"&gt;[.]{#twining_et_al_2022}&lt;/span&gt;&lt;br&gt;&lt;br&gt;</v>
      </c>
      <c r="T459" s="64" t="str">
        <f t="shared" si="47"/>
        <v xml:space="preserve">    rtxt_twining_et_al_2022: "&lt;a href=\"/08_references.html#twining_et_al_2022\" target=\"_blank\"&gt;Twining et al., 2022&lt;/a&gt;"</v>
      </c>
      <c r="U459" s="64" t="str">
        <f t="shared" si="46"/>
        <v xml:space="preserve">    rbib_twining_et_al_2022: "Twining, J. P., McFarlane, C., O'Meara, D., O'Reilly, C., Reyne, M., Montgomery, W. I., Helyar, S., Tosh, D. G., &amp; Augustine, B. C. (2022) A Comparison of Density Estimation Methods for Monitoring Marked and Unmarked Animal Populations. *Ecosphere, 13*(10), e4165. &lt;https://doi.org/10.1002/ecs2.4165&gt;"</v>
      </c>
      <c r="V459" s="64"/>
    </row>
    <row r="460" spans="1:22" ht="15.75">
      <c r="A460" s="64"/>
      <c r="B460" s="77"/>
      <c r="C460" s="77"/>
      <c r="D460" s="77"/>
      <c r="E460" s="64" t="s">
        <v>1950</v>
      </c>
      <c r="F460" s="64" t="s">
        <v>2081</v>
      </c>
      <c r="G460" s="64" t="s">
        <v>2080</v>
      </c>
      <c r="H460" s="64" t="s">
        <v>2080</v>
      </c>
      <c r="I460" s="64" t="b">
        <v>1</v>
      </c>
      <c r="J460" s="65" t="s">
        <v>2079</v>
      </c>
      <c r="K460" s="66" t="s">
        <v>3960</v>
      </c>
      <c r="L460" s="64" t="s">
        <v>4258</v>
      </c>
      <c r="M460" s="64" t="s">
        <v>6085</v>
      </c>
      <c r="N460" s="65" t="str">
        <f t="shared" si="48"/>
        <v>[University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u_capetown_2017}&lt;br&gt;&lt;br&gt;</v>
      </c>
      <c r="O460" s="64" t="s">
        <v>2078</v>
      </c>
      <c r="P460" s="64" t="s">
        <v>984</v>
      </c>
      <c r="Q460" s="64" t="str">
        <f t="shared" si="44"/>
        <v>{{ rtxt_u_capetown_2017 }}</v>
      </c>
      <c r="R460" s="64" t="str">
        <f t="shared" si="45"/>
        <v>{{ rbib_u_capetown_2017 }}</v>
      </c>
      <c r="S460" s="63" t="str">
        <f t="shared" si="43"/>
        <v>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style="color:white"&gt;[.]{#u_capetown_2017}&lt;/span&gt;&lt;br&gt;&lt;br&gt;</v>
      </c>
      <c r="T460" s="64" t="str">
        <f t="shared" si="47"/>
        <v xml:space="preserve">    rtxt_u_capetown_2017: "&lt;a href=\"/08_references.html#u_capetown_2017\" target=\"_blank\"&gt;University of Cape Town, 2017&lt;/a&gt;"</v>
      </c>
      <c r="U460" s="64" t="str">
        <f t="shared" si="46"/>
        <v xml:space="preserve">    rbib_u_capetown_2017: "University of Cape Town. (2017). *SEEC Toolbox seminars.* [Powerpoint]. &lt;https://science.uct.ac.za/sites/default/files/content_migration/science_uct_ac_za/708/files/SEEC%2520Stats%2520Toolbox%2520-%2520Spatial%2520capture%2520recapture%2520slides.pdf&gt;"</v>
      </c>
      <c r="V460" s="64"/>
    </row>
    <row r="461" spans="1:22" ht="15.75">
      <c r="A461" s="64"/>
      <c r="B461" s="77"/>
      <c r="C461" s="77"/>
      <c r="D461" s="77"/>
      <c r="E461" s="64" t="s">
        <v>1950</v>
      </c>
      <c r="F461" s="64" t="s">
        <v>2077</v>
      </c>
      <c r="G461" s="64" t="s">
        <v>2076</v>
      </c>
      <c r="H461" s="64" t="s">
        <v>2076</v>
      </c>
      <c r="I461" s="64" t="b">
        <v>1</v>
      </c>
      <c r="J461" s="65" t="s">
        <v>2075</v>
      </c>
      <c r="K461" s="66" t="s">
        <v>3960</v>
      </c>
      <c r="L461" s="64" t="s">
        <v>4259</v>
      </c>
      <c r="M461" s="64" t="s">
        <v>6081</v>
      </c>
      <c r="N461" s="65" t="str">
        <f t="shared" si="48"/>
        <v>[University of Cape Town. (2024a). &lt;i&gt;SEEC Toolbox seminars&lt;/i&gt; &lt;a target="_blank" href="https://science.uct.ac.za/seec/stats-toolbox-seminars"&gt;{https://science.uct.ac.za/seec/stats-toolbox-seminars}]{#u_capetown_2024a}&lt;br&gt;&lt;br&gt;</v>
      </c>
      <c r="O461" s="64" t="s">
        <v>2074</v>
      </c>
      <c r="P461" s="64" t="s">
        <v>984</v>
      </c>
      <c r="Q461" s="64" t="str">
        <f t="shared" si="44"/>
        <v>{{ rtxt_u_capetown_2024a }}</v>
      </c>
      <c r="R461" s="64" t="str">
        <f t="shared" si="45"/>
        <v>{{ rbib_u_capetown_2024a }}</v>
      </c>
      <c r="S461" s="63" t="str">
        <f t="shared" si="43"/>
        <v>University of Cape Town. (2024a). &lt;i&gt;SEEC Toolbox seminars&lt;/i&gt; &lt;a href="https://science.uct.ac.za/seec/stats-toolbox-seminars" target="_blank"&gt;https://science.uct.ac.za/seec/stats-toolbox-seminars&lt;/a&gt;&lt;span style="color:white"&gt;[.]{#u_capetown_2024a}&lt;/span&gt;&lt;br&gt;&lt;br&gt;</v>
      </c>
      <c r="T461" s="64" t="str">
        <f t="shared" si="47"/>
        <v xml:space="preserve">    rtxt_u_capetown_2024a: "&lt;a href=\"/08_references.html#u_capetown_2024a\" target=\"_blank\"&gt;University of Cape Town, 2024a&lt;/a&gt;"</v>
      </c>
      <c r="U461" s="64" t="str">
        <f t="shared" si="46"/>
        <v xml:space="preserve">    rbib_u_capetown_2024a: "University of Cape Town. (2024a). *SEEC Toolbox seminars* &lt;https://science.uct.ac.za/seec/stats-toolbox-seminars&gt;"</v>
      </c>
      <c r="V461" s="64"/>
    </row>
    <row r="462" spans="1:22" ht="15.75">
      <c r="A462" s="64"/>
      <c r="B462" s="77"/>
      <c r="C462" s="77"/>
      <c r="D462" s="77"/>
      <c r="E462" s="64" t="s">
        <v>1950</v>
      </c>
      <c r="F462" s="64" t="s">
        <v>2073</v>
      </c>
      <c r="G462" s="64" t="s">
        <v>2072</v>
      </c>
      <c r="H462" s="64" t="s">
        <v>2072</v>
      </c>
      <c r="I462" s="64" t="b">
        <v>1</v>
      </c>
      <c r="J462" s="65" t="s">
        <v>2071</v>
      </c>
      <c r="K462" s="66" t="s">
        <v>3960</v>
      </c>
      <c r="L462" s="64" t="s">
        <v>4260</v>
      </c>
      <c r="M462" s="64" t="s">
        <v>6083</v>
      </c>
      <c r="N462" s="65" t="str">
        <f t="shared" si="48"/>
        <v>[University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u_capetown_2024b}&lt;br&gt;&lt;br&gt;</v>
      </c>
      <c r="O462" s="64" t="s">
        <v>2070</v>
      </c>
      <c r="P462" s="64" t="s">
        <v>984</v>
      </c>
      <c r="Q462" s="64" t="str">
        <f t="shared" si="44"/>
        <v>{{ rtxt_u_capetown_2024b }}</v>
      </c>
      <c r="R462" s="64" t="str">
        <f t="shared" si="45"/>
        <v>{{ rbib_u_capetown_2024b }}</v>
      </c>
      <c r="S462" s="63" t="str">
        <f t="shared" si="43"/>
        <v>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style="color:white"&gt;[.]{#u_capetown_2024b}&lt;/span&gt;&lt;br&gt;&lt;br&gt;</v>
      </c>
      <c r="T462" s="64" t="str">
        <f t="shared" si="47"/>
        <v xml:space="preserve">    rtxt_u_capetown_2024b: "&lt;a href=\"/08_references.html#u_capetown_2024b\" target=\"_blank\"&gt;University of Cape Town, 2024b&lt;/a&gt;"</v>
      </c>
      <c r="U462" s="64" t="str">
        <f t="shared" si="46"/>
        <v xml:space="preserve">    rbib_u_capetown_2024b: "University of Cape Town. (2024b). *SEEC Toolbox seminars - Spatial Capture-Recapture (SCR) models.* &lt;https://science.uct.ac.za/seec/stats-toolbox-seminars-spatial-and-species-distribution-toolboxes/spatial-capture-recapture-scr-modelling&gt;"</v>
      </c>
      <c r="V462" s="64"/>
    </row>
    <row r="463" spans="1:22" ht="15.75">
      <c r="A463" s="64"/>
      <c r="B463" s="77"/>
      <c r="C463" s="77"/>
      <c r="D463" s="77"/>
      <c r="E463" s="64" t="s">
        <v>1950</v>
      </c>
      <c r="F463" s="64" t="s">
        <v>2069</v>
      </c>
      <c r="G463" s="64" t="s">
        <v>2068</v>
      </c>
      <c r="H463" s="64" t="s">
        <v>2068</v>
      </c>
      <c r="I463" s="64" t="b">
        <v>1</v>
      </c>
      <c r="J463" s="65" t="s">
        <v>2067</v>
      </c>
      <c r="K463" s="66" t="s">
        <v>3960</v>
      </c>
      <c r="L463" s="64" t="s">
        <v>4261</v>
      </c>
      <c r="M463" s="64" t="s">
        <v>6084</v>
      </c>
      <c r="N463" s="65" t="str">
        <f t="shared" si="48"/>
        <v>[University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u_capetown_2024c}&lt;br&gt;&lt;br&gt;</v>
      </c>
      <c r="O463" s="64" t="s">
        <v>2066</v>
      </c>
      <c r="P463" s="64" t="s">
        <v>984</v>
      </c>
      <c r="Q463" s="64" t="str">
        <f t="shared" si="44"/>
        <v>{{ rtxt_u_capetown_2024c }}</v>
      </c>
      <c r="R463" s="64" t="str">
        <f t="shared" si="45"/>
        <v>{{ rbib_u_capetown_2024c }}</v>
      </c>
      <c r="S463" s="63" t="str">
        <f t="shared" si="43"/>
        <v>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style="color:white"&gt;[.]{#u_capetown_2024c}&lt;/span&gt;&lt;br&gt;&lt;br&gt;</v>
      </c>
      <c r="T463" s="64" t="str">
        <f t="shared" si="47"/>
        <v xml:space="preserve">    rtxt_u_capetown_2024c: "&lt;a href=\"/08_references.html#u_capetown_2024c\" target=\"_blank\"&gt;University of Cape Town, 2024c&lt;/a&gt;"</v>
      </c>
      <c r="U463" s="64" t="str">
        <f t="shared" si="46"/>
        <v xml:space="preserve">    rbib_u_capetown_2024c: "University of Cape Town. (2024c). *Species Distribution Modelling.* &lt;https://science.uct.ac.za/seec/stats-toolbox-seminars-spatial-and-species-distribution-toolboxes/species-distribution-modelling&gt;"</v>
      </c>
      <c r="V463" s="64"/>
    </row>
    <row r="464" spans="1:22" ht="15.75">
      <c r="A464" s="64"/>
      <c r="B464" s="77"/>
      <c r="C464" s="77"/>
      <c r="D464" s="77"/>
      <c r="E464" s="64" t="s">
        <v>1950</v>
      </c>
      <c r="F464" s="64" t="s">
        <v>2065</v>
      </c>
      <c r="G464" s="64" t="s">
        <v>2064</v>
      </c>
      <c r="H464" s="64" t="s">
        <v>2064</v>
      </c>
      <c r="I464" s="64" t="b">
        <v>1</v>
      </c>
      <c r="J464" s="65" t="s">
        <v>2063</v>
      </c>
      <c r="K464" s="66" t="s">
        <v>3960</v>
      </c>
      <c r="L464" s="64" t="s">
        <v>4262</v>
      </c>
      <c r="M464" s="64" t="s">
        <v>6082</v>
      </c>
      <c r="N464" s="65" t="str">
        <f t="shared" si="48"/>
        <v>[University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u_capetown_2024d}&lt;br&gt;&lt;br&gt;</v>
      </c>
      <c r="O464" s="64" t="s">
        <v>2062</v>
      </c>
      <c r="P464" s="64" t="s">
        <v>984</v>
      </c>
      <c r="Q464" s="64" t="str">
        <f t="shared" si="44"/>
        <v>{{ rtxt_u_capetown_2024d }}</v>
      </c>
      <c r="R464" s="64" t="str">
        <f t="shared" si="45"/>
        <v>{{ rbib_u_capetown_2024d }}</v>
      </c>
      <c r="S464" s="63" t="str">
        <f t="shared" si="43"/>
        <v>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style="color:white"&gt;[.]{#u_capetown_2024d}&lt;/span&gt;&lt;br&gt;&lt;br&gt;</v>
      </c>
      <c r="T464" s="64" t="str">
        <f t="shared" si="47"/>
        <v xml:space="preserve">    rtxt_u_capetown_2024d: "&lt;a href=\"/08_references.html#u_capetown_2024d\" target=\"_blank\"&gt;University of Cape Town, 2024d&lt;/a&gt;"</v>
      </c>
      <c r="U464" s="64" t="str">
        <f t="shared" si="46"/>
        <v xml:space="preserve">    rbib_u_capetown_2024d: "University of Cape Town. (2024d). *Single-season occupancy models using a Bayesian approach.* &lt;https://science.uct.ac.za/seec/stats-toolbox-seminars-spatial-and-species-distribution-toolboxes/single-season-occupancy-models-using-bayesian-approach&gt;"</v>
      </c>
      <c r="V464" s="64"/>
    </row>
    <row r="465" spans="1:22" ht="15.75">
      <c r="A465" s="64"/>
      <c r="B465" s="77" t="b">
        <v>0</v>
      </c>
      <c r="C465" s="77" t="b">
        <v>0</v>
      </c>
      <c r="D465" s="77" t="s">
        <v>1993</v>
      </c>
      <c r="E465" s="64" t="s">
        <v>984</v>
      </c>
      <c r="F465" s="64" t="s">
        <v>2061</v>
      </c>
      <c r="G465" s="64" t="s">
        <v>2060</v>
      </c>
      <c r="H465" s="64" t="s">
        <v>2060</v>
      </c>
      <c r="I465" s="64" t="b">
        <v>1</v>
      </c>
      <c r="J465" s="66" t="s">
        <v>2059</v>
      </c>
      <c r="K465" s="66" t="s">
        <v>3960</v>
      </c>
      <c r="L465" s="64" t="s">
        <v>4263</v>
      </c>
      <c r="M465" s="64" t="s">
        <v>6126</v>
      </c>
      <c r="N465" s="65" t="str">
        <f t="shared" si="48"/>
        <v>[Van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href="https://www.researchgate.net/publication/339271024_Expedition_Field_Techniques_Camera_Trapping"&gt;{https://www.researchgate.net/publication/339271024_Expedition_Field_Techniques_Camera_Trapping}]{#van_berkel_2014}&lt;br&gt;&lt;br&gt;</v>
      </c>
      <c r="O465" s="64" t="s">
        <v>2058</v>
      </c>
      <c r="P465" s="64" t="s">
        <v>984</v>
      </c>
      <c r="Q465" s="64" t="str">
        <f t="shared" si="44"/>
        <v>{{ rtxt_van_berkel_2014 }}</v>
      </c>
      <c r="R465" s="64" t="str">
        <f t="shared" si="45"/>
        <v>{{ rbib_van_berkel_2014 }}</v>
      </c>
      <c r="S465" s="63" t="str">
        <f t="shared" ref="S465:S500" si="49">M465&amp;IF(O465&lt;&gt;"-",(" &lt;a href="&amp;""""&amp;O465&amp;""""&amp;" target="&amp;""""&amp;"_blank"&amp;""""&amp;"&gt;"&amp;O465&amp;"&lt;/a&gt;&lt;span style="&amp;""""&amp;"color:white"&amp;""""&amp;"&gt;[.]{#"&amp;F465&amp;"}&lt;/span&gt;&lt;br&gt;&lt;br&gt;"),"")</f>
        <v>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target="_blank"&gt;https://www.researchgate.net/publication/339271024_Expedition_Field_Techniques_Camera_Trapping&lt;/a&gt;&lt;span style="color:white"&gt;[.]{#van_berkel_2014}&lt;/span&gt;&lt;br&gt;&lt;br&gt;</v>
      </c>
      <c r="T465" s="64" t="str">
        <f t="shared" si="47"/>
        <v xml:space="preserve">    rtxt_van_berkel_2014: "&lt;a href=\"/08_references.html#van_berkel_2014\" target=\"_blank\"&gt;Van Berkel, 2014&lt;/a&gt;"</v>
      </c>
      <c r="U465" s="64" t="str">
        <f t="shared" si="46"/>
        <v xml:space="preserve">    rbib_van_berkel_2014: "Van Berkel, T. (2014). *Camera trapping for wildlife conservation: Expedition field techniques*. Geography Outdoors. &lt;https://www.researchgate.net/publication/339271024_Expedition_Field_Techniques_Camera_Trapping&gt;"</v>
      </c>
      <c r="V465" s="64"/>
    </row>
    <row r="466" spans="1:22" ht="15.75">
      <c r="A466" s="64"/>
      <c r="B466" s="77" t="b">
        <v>0</v>
      </c>
      <c r="C466" s="77" t="b">
        <v>0</v>
      </c>
      <c r="D466" s="77" t="b">
        <v>1</v>
      </c>
      <c r="E466" s="64" t="s">
        <v>1904</v>
      </c>
      <c r="F466" s="64" t="s">
        <v>2057</v>
      </c>
      <c r="G466" s="64" t="s">
        <v>2056</v>
      </c>
      <c r="H466" s="64" t="s">
        <v>2056</v>
      </c>
      <c r="I466" s="64" t="b">
        <v>1</v>
      </c>
      <c r="J466" s="66" t="s">
        <v>2055</v>
      </c>
      <c r="K466" s="66" t="s">
        <v>3960</v>
      </c>
      <c r="L466" s="64" t="s">
        <v>4264</v>
      </c>
      <c r="M466" s="64" t="s">
        <v>6024</v>
      </c>
      <c r="N466" s="65" t="str">
        <f t="shared" si="48"/>
        <v>[Van Dooren, T. J. M. (2016). Pollinator species richness: Are the declines slowing down? &lt;i&gt;Nature Conservation, 15&lt;/i&gt;, 11-22. &lt;a target="_blank" href="https://doi.org/10.3897/natureconservation.15.9616"&gt;{https://doi.org/10.3897/natureconservation.15.9616}]{#vandooren_2016}&lt;br&gt;&lt;br&gt;</v>
      </c>
      <c r="O466" s="64" t="s">
        <v>2054</v>
      </c>
      <c r="P466" s="64" t="s">
        <v>984</v>
      </c>
      <c r="Q466" s="64" t="str">
        <f t="shared" si="44"/>
        <v>{{ rtxt_vandooren_2016 }}</v>
      </c>
      <c r="R466" s="64" t="str">
        <f t="shared" si="45"/>
        <v>{{ rbib_vandooren_2016 }}</v>
      </c>
      <c r="S466" s="63" t="str">
        <f t="shared" si="49"/>
        <v>Van Dooren, T. J. M. (2016). Pollinator species richness: Are the declines slowing down? &lt;i&gt;Nature Conservation, 15&lt;/i&gt;, 11-22. &lt;a href="https://doi.org/10.3897/natureconservation.15.9616" target="_blank"&gt;https://doi.org/10.3897/natureconservation.15.9616&lt;/a&gt;&lt;span style="color:white"&gt;[.]{#vandooren_2016}&lt;/span&gt;&lt;br&gt;&lt;br&gt;</v>
      </c>
      <c r="T466" s="64" t="str">
        <f t="shared" si="47"/>
        <v xml:space="preserve">    rtxt_vandooren_2016: "&lt;a href=\"/08_references.html#vandooren_2016\" target=\"_blank\"&gt;Van Dooren, 2016&lt;/a&gt;"</v>
      </c>
      <c r="U466" s="64" t="str">
        <f t="shared" si="46"/>
        <v xml:space="preserve">    rbib_vandooren_2016: "Van Dooren, T. J. M. (2016). Pollinator species richness: Are the declines slowing down? *Nature Conservation, 15*, 11-22. &lt;https://doi.org/10.3897/natureconservation.15.9616&gt;"</v>
      </c>
      <c r="V466" s="64"/>
    </row>
    <row r="467" spans="1:22" ht="15.75">
      <c r="A467" s="64"/>
      <c r="B467" s="77" t="b">
        <v>1</v>
      </c>
      <c r="C467" s="77" t="b">
        <v>0</v>
      </c>
      <c r="D467" s="77" t="b">
        <v>0</v>
      </c>
      <c r="E467" s="64" t="s">
        <v>1904</v>
      </c>
      <c r="F467" s="64" t="s">
        <v>2053</v>
      </c>
      <c r="G467" s="64" t="s">
        <v>2052</v>
      </c>
      <c r="H467" s="64" t="s">
        <v>2052</v>
      </c>
      <c r="I467" s="64" t="b">
        <v>1</v>
      </c>
      <c r="J467" s="66" t="s">
        <v>2051</v>
      </c>
      <c r="K467" s="66" t="s">
        <v>3960</v>
      </c>
      <c r="L467" s="64" t="s">
        <v>4265</v>
      </c>
      <c r="M467" s="64" t="s">
        <v>6056</v>
      </c>
      <c r="N467" s="65" t="str">
        <f t="shared" si="48"/>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href="https://journals.plos.org/plosone/article?id=10.1371/journal.pone.0234494"&gt;{https://journals.plos.org/plosone/article?id=10.1371/journal.pone.0234494}]{#vanwilgenburg_et_al_2020}&lt;br&gt;&lt;br&gt;</v>
      </c>
      <c r="O467" s="64" t="s">
        <v>2050</v>
      </c>
      <c r="P467" s="64" t="s">
        <v>984</v>
      </c>
      <c r="Q467" s="64" t="str">
        <f t="shared" si="44"/>
        <v>{{ rtxt_vanwilgenburg_et_al_2020 }}</v>
      </c>
      <c r="R467" s="64" t="str">
        <f t="shared" si="45"/>
        <v>{{ rbib_vanwilgenburg_et_al_2020 }}</v>
      </c>
      <c r="S467" s="63" t="str">
        <f t="shared" si="49"/>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target="_blank"&gt;https://journals.plos.org/plosone/article?id=10.1371/journal.pone.0234494&lt;/a&gt;&lt;span style="color:white"&gt;[.]{#vanwilgenburg_et_al_2020}&lt;/span&gt;&lt;br&gt;&lt;br&gt;</v>
      </c>
      <c r="T467" s="64" t="str">
        <f t="shared" si="47"/>
        <v xml:space="preserve">    rtxt_vanwilgenburg_et_al_2020: "&lt;a href=\"/08_references.html#vanwilgenburg_et_al_2020\" target=\"_blank\"&gt;Van Wilgenburg et al., 2020&lt;/a&gt;"</v>
      </c>
      <c r="U467" s="64" t="str">
        <f t="shared" si="46"/>
        <v xml:space="preserve">    rbib_vanwilgenburg_et_al_2020: "Van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v>
      </c>
      <c r="V467" s="64"/>
    </row>
    <row r="468" spans="1:22" ht="15.75">
      <c r="A468" s="64"/>
      <c r="B468" s="77" t="b">
        <v>1</v>
      </c>
      <c r="C468" s="77" t="b">
        <v>0</v>
      </c>
      <c r="D468" s="77" t="b">
        <v>0</v>
      </c>
      <c r="E468" s="64" t="s">
        <v>1904</v>
      </c>
      <c r="F468" s="64" t="s">
        <v>2049</v>
      </c>
      <c r="G468" s="64" t="s">
        <v>2048</v>
      </c>
      <c r="H468" s="64" t="s">
        <v>2048</v>
      </c>
      <c r="I468" s="64" t="b">
        <v>1</v>
      </c>
      <c r="J468" s="66" t="s">
        <v>2047</v>
      </c>
      <c r="K468" s="66" t="s">
        <v>3960</v>
      </c>
      <c r="L468" s="64" t="s">
        <v>4266</v>
      </c>
      <c r="M468" s="64" t="s">
        <v>5899</v>
      </c>
      <c r="N468" s="65" t="str">
        <f t="shared" si="48"/>
        <v>[Velez,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href="https://doi.org/10.1111/2041-210X.14044"&gt;{https://doi.org/10.1111/2041-210X.14044}]{#velez_et_al_2023}&lt;br&gt;&lt;br&gt;</v>
      </c>
      <c r="O468" s="64" t="s">
        <v>2046</v>
      </c>
      <c r="P468" s="64" t="s">
        <v>984</v>
      </c>
      <c r="Q468" s="64" t="str">
        <f t="shared" si="44"/>
        <v>{{ rtxt_velez_et_al_2023 }}</v>
      </c>
      <c r="R468" s="64" t="str">
        <f t="shared" si="45"/>
        <v>{{ rbib_velez_et_al_2023 }}</v>
      </c>
      <c r="S468" s="63" t="str">
        <f t="shared" si="49"/>
        <v>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target="_blank"&gt;https://doi.org/10.1111/2041-210X.14044&lt;/a&gt;&lt;span style="color:white"&gt;[.]{#velez_et_al_2023}&lt;/span&gt;&lt;br&gt;&lt;br&gt;</v>
      </c>
      <c r="T468" s="64" t="str">
        <f t="shared" si="47"/>
        <v xml:space="preserve">    rtxt_velez_et_al_2023: "&lt;a href=\"/08_references.html#velez_et_al_2023\" target=\"_blank\"&gt;Velez et al., 2023&lt;/a&gt;"</v>
      </c>
      <c r="U468" s="64" t="str">
        <f t="shared" si="46"/>
        <v xml:space="preserve">    rbib_velez_et_al_2023: "Velez, J., McShea, W., Shamon, H., Castiblanco-Camacho, P. J., Tabak, M. A., Chalmers, C., Fergus, P., &amp; Fieberg, J. (2023). An Evaluation of Platforms for Processing Camera-Trap Data using Artificial Intelligence. *Methods in Ecology and Evolution, 145*, 459-477. &lt;https://doi.org/10.1111/2041-210X.14044&gt;"</v>
      </c>
      <c r="V468" s="64"/>
    </row>
    <row r="469" spans="1:22" ht="15.75">
      <c r="A469" s="64"/>
      <c r="B469" s="77" t="b">
        <v>1</v>
      </c>
      <c r="C469" s="77" t="b">
        <v>0</v>
      </c>
      <c r="D469" s="77" t="b">
        <v>0</v>
      </c>
      <c r="E469" s="64" t="s">
        <v>1904</v>
      </c>
      <c r="F469" s="64" t="s">
        <v>2045</v>
      </c>
      <c r="G469" s="64" t="s">
        <v>2044</v>
      </c>
      <c r="H469" s="64" t="s">
        <v>2044</v>
      </c>
      <c r="I469" s="64" t="b">
        <v>1</v>
      </c>
      <c r="J469" s="66" t="s">
        <v>2043</v>
      </c>
      <c r="K469" s="66" t="s">
        <v>3960</v>
      </c>
      <c r="L469" s="64" t="s">
        <v>4267</v>
      </c>
      <c r="M469" s="64" t="s">
        <v>5692</v>
      </c>
      <c r="N469" s="65" t="str">
        <f t="shared" si="48"/>
        <v>[Vidal,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href="https://academic.oup.com/icb/article/61/3/900/6288456"&gt;{https://academic.oup.com/icb/article/61/3/900/6288456}]{#vidal_et_al_2021}&lt;br&gt;&lt;br&gt;</v>
      </c>
      <c r="O469" s="64" t="s">
        <v>2042</v>
      </c>
      <c r="P469" s="64" t="s">
        <v>984</v>
      </c>
      <c r="Q469" s="64" t="str">
        <f t="shared" si="44"/>
        <v>{{ rtxt_vidal_et_al_2021 }}</v>
      </c>
      <c r="R469" s="64" t="str">
        <f t="shared" si="45"/>
        <v>{{ rbib_vidal_et_al_2021 }}</v>
      </c>
      <c r="S469" s="63" t="str">
        <f t="shared" si="49"/>
        <v>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target="_blank"&gt;https://academic.oup.com/icb/article/61/3/900/6288456&lt;/a&gt;&lt;span style="color:white"&gt;[.]{#vidal_et_al_2021}&lt;/span&gt;&lt;br&gt;&lt;br&gt;</v>
      </c>
      <c r="T469" s="64" t="str">
        <f t="shared" si="47"/>
        <v xml:space="preserve">    rtxt_vidal_et_al_2021: "&lt;a href=\"/08_references.html#vidal_et_al_2021\" target=\"_blank\"&gt;Vidal et al., 2021&lt;/a&gt;"</v>
      </c>
      <c r="U469" s="64" t="str">
        <f t="shared" si="46"/>
        <v xml:space="preserve">    rbib_vidal_et_al_2021: "Vidal, M., Wolf, N., Rosenberg, B., Harris, B. P., &amp; Mathis, A. (2021). Perspectives on Individual Animal Identification from Biology and Computer Vision. *Integrative and Comparative Biology, 61*(3), 900-916. &lt;https://academic.oup.com/icb/article/61/3/900/6288456&gt;"</v>
      </c>
      <c r="V469" s="64"/>
    </row>
    <row r="470" spans="1:22" ht="15.75">
      <c r="A470" s="64"/>
      <c r="B470" s="77"/>
      <c r="C470" s="77"/>
      <c r="D470" s="77"/>
      <c r="E470" s="64" t="s">
        <v>1904</v>
      </c>
      <c r="F470" s="64" t="s">
        <v>2041</v>
      </c>
      <c r="G470" s="64" t="s">
        <v>2040</v>
      </c>
      <c r="H470" s="64" t="s">
        <v>2040</v>
      </c>
      <c r="I470" s="64" t="b">
        <v>1</v>
      </c>
      <c r="J470" s="66" t="s">
        <v>3971</v>
      </c>
      <c r="K470" s="66" t="s">
        <v>3960</v>
      </c>
      <c r="L470" s="64" t="s">
        <v>4268</v>
      </c>
      <c r="M470" s="64" t="s">
        <v>5861</v>
      </c>
      <c r="N470" s="65" t="str">
        <f t="shared" si="48"/>
        <v>[Villette,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href="https://doi.org/10.1093/jmammal/gyv150"&gt;{https://doi.org/10.1093/jmammal/gyv150}]{#villette_et_al_2016}&lt;br&gt;&lt;br&gt;</v>
      </c>
      <c r="O470" s="64" t="s">
        <v>2039</v>
      </c>
      <c r="P470" s="64" t="s">
        <v>984</v>
      </c>
      <c r="Q470" s="64" t="str">
        <f t="shared" si="44"/>
        <v>{{ rtxt_villette_et_al_2016 }}</v>
      </c>
      <c r="R470" s="64" t="str">
        <f t="shared" si="45"/>
        <v>{{ rbib_villette_et_al_2016 }}</v>
      </c>
      <c r="S470" s="63" t="str">
        <f t="shared" si="49"/>
        <v>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target="_blank"&gt;https://doi.org/10.1093/jmammal/gyv150&lt;/a&gt;&lt;span style="color:white"&gt;[.]{#villette_et_al_2016}&lt;/span&gt;&lt;br&gt;&lt;br&gt;</v>
      </c>
      <c r="T470" s="64" t="str">
        <f t="shared" si="47"/>
        <v xml:space="preserve">    rtxt_villette_et_al_2016: "&lt;a href=\"/08_references.html#villette_et_al_2016\" target=\"_blank\"&gt;Villette et al., 2016&lt;/a&gt;"</v>
      </c>
      <c r="U470" s="64" t="str">
        <f t="shared" si="46"/>
        <v xml:space="preserve">    rbib_villette_et_al_2016: "Villette, P., Krebs, C. J., Jung, T. S., &amp; Boonstra, R. (2016). Can camera trapping provide accurate estimates of small mammal (*Myodes rutilus* and *Peromyscus maniculatus* density in the boreal forest? *Journal of Mammalogy, 97*(1), 32-40. &lt;https://doi.org/10.1093/jmammal/gyv150&gt;"</v>
      </c>
      <c r="V470" s="64"/>
    </row>
    <row r="471" spans="1:22" ht="15.75">
      <c r="A471" s="64"/>
      <c r="B471" s="77" t="b">
        <v>0</v>
      </c>
      <c r="C471" s="77" t="b">
        <v>0</v>
      </c>
      <c r="D471" s="77"/>
      <c r="E471" s="64" t="s">
        <v>1945</v>
      </c>
      <c r="F471" s="64" t="s">
        <v>2038</v>
      </c>
      <c r="G471" s="64" t="s">
        <v>2037</v>
      </c>
      <c r="H471" s="64" t="s">
        <v>2037</v>
      </c>
      <c r="I471" s="64" t="b">
        <v>1</v>
      </c>
      <c r="J471" s="66" t="s">
        <v>2036</v>
      </c>
      <c r="K471" s="66" t="s">
        <v>3960</v>
      </c>
      <c r="L471" s="64" t="s">
        <v>4269</v>
      </c>
      <c r="M471" s="64" t="s">
        <v>6165</v>
      </c>
      <c r="N471" s="65" t="str">
        <f t="shared" si="48"/>
        <v>[VSN International (2022, Jul 13). &lt;i&gt;Species abundance tools in Genstat.&lt;/i&gt; [Video]. YouTube. &lt;a target="_blank" href="https://www.youtube.com/watch?v=wBx7f4PP8RE"&gt;{https://www.youtube.com/watch?v=wBx7f4PP8RE}]{#vsn_international_2022}&lt;br&gt;&lt;br&gt;</v>
      </c>
      <c r="O471" s="64" t="s">
        <v>2035</v>
      </c>
      <c r="P471" s="64" t="s">
        <v>984</v>
      </c>
      <c r="Q471" s="64" t="str">
        <f t="shared" si="44"/>
        <v>{{ rtxt_vsn_international_2022 }}</v>
      </c>
      <c r="R471" s="64" t="str">
        <f t="shared" si="45"/>
        <v>{{ rbib_vsn_international_2022 }}</v>
      </c>
      <c r="S471" s="63" t="str">
        <f t="shared" si="49"/>
        <v>VSN International (2022, Jul 13). &lt;i&gt;Species abundance tools in Genstat.&lt;/i&gt; [Video]. YouTube. &lt;a href="https://www.youtube.com/watch?v=wBx7f4PP8RE" target="_blank"&gt;https://www.youtube.com/watch?v=wBx7f4PP8RE&lt;/a&gt;&lt;span style="color:white"&gt;[.]{#vsn_international_2022}&lt;/span&gt;&lt;br&gt;&lt;br&gt;</v>
      </c>
      <c r="T471" s="64" t="str">
        <f t="shared" si="47"/>
        <v xml:space="preserve">    rtxt_vsn_international_2022: "&lt;a href=\"/08_references.html#vsn_international_2022\" target=\"_blank\"&gt;VSN International, 2022&lt;/a&gt;"</v>
      </c>
      <c r="U471" s="64" t="str">
        <f t="shared" si="46"/>
        <v xml:space="preserve">    rbib_vsn_international_2022: "VSN International (2022, Jul 13). *Species abundance tools in Genstat* [Video]. YouTube. &lt;https://www.youtube.com/watch?v=wBx7f4PP8RE&gt;"</v>
      </c>
      <c r="V471" s="64"/>
    </row>
    <row r="472" spans="1:22" ht="15.75">
      <c r="A472" s="64"/>
      <c r="B472" s="77"/>
      <c r="C472" s="77"/>
      <c r="D472" s="77"/>
      <c r="E472" s="64" t="s">
        <v>1904</v>
      </c>
      <c r="F472" s="68" t="s">
        <v>2034</v>
      </c>
      <c r="G472" s="65" t="s">
        <v>2033</v>
      </c>
      <c r="H472" s="65" t="s">
        <v>2033</v>
      </c>
      <c r="I472" s="64" t="b">
        <v>1</v>
      </c>
      <c r="J472" s="66" t="s">
        <v>2032</v>
      </c>
      <c r="K472" s="66" t="s">
        <v>3960</v>
      </c>
      <c r="L472" s="64" t="s">
        <v>4270</v>
      </c>
      <c r="M472" s="64" t="s">
        <v>5940</v>
      </c>
      <c r="N472" s="65" t="str">
        <f t="shared" si="48"/>
        <v>[Walther,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href="https://doi.org/10.1111/j.2005.0906-7590.04112.x"&gt;{https://doi.org/10.1111/j.2005.0906-7590.04112.x}]{#walther_moore_2005}&lt;br&gt;&lt;br&gt;</v>
      </c>
      <c r="O472" s="64" t="s">
        <v>2031</v>
      </c>
      <c r="P472" s="64" t="s">
        <v>984</v>
      </c>
      <c r="Q472" s="64" t="str">
        <f t="shared" si="44"/>
        <v>{{ rtxt_walther_moore_2005 }}</v>
      </c>
      <c r="R472" s="64" t="str">
        <f t="shared" si="45"/>
        <v>{{ rbib_walther_moore_2005 }}</v>
      </c>
      <c r="S472" s="63" t="str">
        <f t="shared" si="49"/>
        <v>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target="_blank"&gt;https://doi.org/10.1111/j.2005.0906-7590.04112.x&lt;/a&gt;&lt;span style="color:white"&gt;[.]{#walther_moore_2005}&lt;/span&gt;&lt;br&gt;&lt;br&gt;</v>
      </c>
      <c r="T472" s="64" t="str">
        <f t="shared" si="47"/>
        <v xml:space="preserve">    rtxt_walther_moore_2005: "&lt;a href=\"/08_references.html#walther_moore_2005\" target=\"_blank\"&gt;Walther &amp; Moore, 2005&lt;/a&gt;"</v>
      </c>
      <c r="U472" s="64" t="str">
        <f t="shared" si="46"/>
        <v xml:space="preserve">    rbib_walther_moore_2005: "Walther, B. A., &amp; Moore, J. L. (2005). The Concepts of Bias, Precision and Accuracy, and Their Use in Testing the Performance of Species Richness Estimators, with a Literature Review of Estimator Performance. *Ecography, 28*, 815-829. &lt;https://doi.org/10.1111/j.2005.0906-7590.04112.x&gt;"</v>
      </c>
      <c r="V472" s="64"/>
    </row>
    <row r="473" spans="1:22" ht="15.75">
      <c r="A473" s="64"/>
      <c r="B473" s="77" t="b">
        <v>1</v>
      </c>
      <c r="C473" s="77" t="b">
        <v>0</v>
      </c>
      <c r="D473" s="77" t="b">
        <v>0</v>
      </c>
      <c r="E473" s="64" t="s">
        <v>1904</v>
      </c>
      <c r="F473" s="64" t="s">
        <v>2030</v>
      </c>
      <c r="G473" s="64" t="s">
        <v>2029</v>
      </c>
      <c r="H473" s="64" t="s">
        <v>2029</v>
      </c>
      <c r="I473" s="64" t="b">
        <v>1</v>
      </c>
      <c r="J473" s="66" t="s">
        <v>2028</v>
      </c>
      <c r="K473" s="66" t="s">
        <v>3960</v>
      </c>
      <c r="L473" s="64" t="s">
        <v>4271</v>
      </c>
      <c r="M473" s="64" t="s">
        <v>5830</v>
      </c>
      <c r="N473" s="65" t="str">
        <f t="shared" si="48"/>
        <v>[Warbington, C. H., &amp; Boyce, M. S. (2020). Population Density of sitatunga in riverine wetland habitats. &lt;i&gt;Global Ecology and Conservation, 24&lt;/i&gt;. &lt;a target="_blank" href="https://doi.org/10.1016/j.gecco.2020.e01212"&gt;{https://doi.org/10.1016/j.gecco.2020.e01212}]{#warbington_boyce_2020}&lt;br&gt;&lt;br&gt;</v>
      </c>
      <c r="O473" s="64" t="s">
        <v>2027</v>
      </c>
      <c r="P473" s="64" t="s">
        <v>984</v>
      </c>
      <c r="Q473" s="64" t="str">
        <f t="shared" si="44"/>
        <v>{{ rtxt_warbington_boyce_2020 }}</v>
      </c>
      <c r="R473" s="64" t="str">
        <f t="shared" si="45"/>
        <v>{{ rbib_warbington_boyce_2020 }}</v>
      </c>
      <c r="S473" s="63" t="str">
        <f t="shared" si="49"/>
        <v>Warbington, C. H., &amp; Boyce, M. S. (2020). Population Density of sitatunga in riverine wetland habitats. &lt;i&gt;Global Ecology and Conservation, 24&lt;/i&gt;. &lt;a href="https://doi.org/10.1016/j.gecco.2020.e01212" target="_blank"&gt;https://doi.org/10.1016/j.gecco.2020.e01212&lt;/a&gt;&lt;span style="color:white"&gt;[.]{#warbington_boyce_2020}&lt;/span&gt;&lt;br&gt;&lt;br&gt;</v>
      </c>
      <c r="T473" s="64" t="str">
        <f t="shared" si="47"/>
        <v xml:space="preserve">    rtxt_warbington_boyce_2020: "&lt;a href=\"/08_references.html#warbington_boyce_2020\" target=\"_blank\"&gt;Warbington &amp; Boyce, 2020&lt;/a&gt;"</v>
      </c>
      <c r="U473" s="64" t="str">
        <f t="shared" si="46"/>
        <v xml:space="preserve">    rbib_warbington_boyce_2020: "Warbington, C. H., &amp; Boyce, M. S. (2020). Population Density of sitatunga in riverine wetland habitats. *Global Ecology and Conservation, 24*. &lt;https://doi.org/10.1016/j.gecco.2020.e01212&gt;"</v>
      </c>
      <c r="V473" s="64"/>
    </row>
    <row r="474" spans="1:22" ht="15.75">
      <c r="A474" s="64"/>
      <c r="B474" s="77" t="b">
        <v>1</v>
      </c>
      <c r="C474" s="77" t="b">
        <v>0</v>
      </c>
      <c r="D474" s="77" t="s">
        <v>1993</v>
      </c>
      <c r="E474" s="64" t="s">
        <v>1904</v>
      </c>
      <c r="F474" s="64" t="s">
        <v>2018</v>
      </c>
      <c r="G474" s="64" t="s">
        <v>2017</v>
      </c>
      <c r="H474" s="64" t="s">
        <v>2017</v>
      </c>
      <c r="I474" s="64" t="b">
        <v>1</v>
      </c>
      <c r="J474" s="66" t="s">
        <v>2016</v>
      </c>
      <c r="K474" s="66" t="s">
        <v>3960</v>
      </c>
      <c r="L474" s="64" t="s">
        <v>4272</v>
      </c>
      <c r="M474" s="64" t="s">
        <v>5685</v>
      </c>
      <c r="N474" s="65" t="str">
        <f t="shared" si="48"/>
        <v>[Wearn, O. R., &amp; Glover-Kapfer, P. (2017). Camera-Trapping for Conservation: A Guide to Best-ractices. &lt;i&gt;WWF conservation technology series, 1&lt;/i&gt;, 1-181. &lt;a target="_blank" href="http://dx.doi.org/10.13140/RG.2.2.23409.17767"&gt;{http://dx.doi.org/10.13140/RG.2.2.23409.17767}]{#wearn_gloverkapfer_2017}&lt;br&gt;&lt;br&gt;</v>
      </c>
      <c r="O474" s="64" t="s">
        <v>2015</v>
      </c>
      <c r="P474" s="64" t="s">
        <v>984</v>
      </c>
      <c r="Q474" s="64" t="str">
        <f t="shared" si="44"/>
        <v>{{ rtxt_wearn_gloverkapfer_2017 }}</v>
      </c>
      <c r="R474" s="64" t="str">
        <f t="shared" si="45"/>
        <v>{{ rbib_wearn_gloverkapfer_2017 }}</v>
      </c>
      <c r="S474" s="63" t="str">
        <f t="shared" si="49"/>
        <v>Wearn, O. R., &amp; Glover-Kapfer, P. (2017). Camera-Trapping for Conservation: A Guide to Best-ractices. &lt;i&gt;WWF conservation technology series, 1&lt;/i&gt;, 1-181. &lt;a href="http://dx.doi.org/10.13140/RG.2.2.23409.17767" target="_blank"&gt;http://dx.doi.org/10.13140/RG.2.2.23409.17767&lt;/a&gt;&lt;span style="color:white"&gt;[.]{#wearn_gloverkapfer_2017}&lt;/span&gt;&lt;br&gt;&lt;br&gt;</v>
      </c>
      <c r="T474" s="64" t="str">
        <f t="shared" si="47"/>
        <v xml:space="preserve">    rtxt_wearn_gloverkapfer_2017: "&lt;a href=\"/08_references.html#wearn_gloverkapfer_2017\" target=\"_blank\"&gt;Wearn &amp; Glover-Kapfer, 2017&lt;/a&gt;"</v>
      </c>
      <c r="U474" s="64" t="str">
        <f t="shared" si="46"/>
        <v xml:space="preserve">    rbib_wearn_gloverkapfer_2017: "Wearn, O. R., &amp; Glover-Kapfer, P. (2017). Camera-Trapping for Conservation: A Guide to Best-ractices. *WWF conservation technology series, 1*, 1-181. &lt;http://dx.doi.org/10.13140/RG.2.2.23409.17767&gt;"</v>
      </c>
      <c r="V474" s="64"/>
    </row>
    <row r="475" spans="1:22" ht="15.75">
      <c r="A475" s="64"/>
      <c r="B475" s="77" t="b">
        <v>0</v>
      </c>
      <c r="C475" s="77" t="b">
        <v>0</v>
      </c>
      <c r="D475" s="77" t="s">
        <v>1993</v>
      </c>
      <c r="E475" s="64" t="s">
        <v>1904</v>
      </c>
      <c r="F475" s="64" t="s">
        <v>2014</v>
      </c>
      <c r="G475" s="64" t="s">
        <v>2013</v>
      </c>
      <c r="H475" s="64" t="s">
        <v>2013</v>
      </c>
      <c r="I475" s="64" t="b">
        <v>1</v>
      </c>
      <c r="J475" s="66" t="s">
        <v>2012</v>
      </c>
      <c r="K475" s="66" t="s">
        <v>3960</v>
      </c>
      <c r="L475" s="64" t="s">
        <v>4273</v>
      </c>
      <c r="M475" s="64" t="s">
        <v>5866</v>
      </c>
      <c r="N475" s="65" t="str">
        <f t="shared" si="48"/>
        <v>[Wearn, O. R., &amp; Glover-Kapfer, P. (2019). Snap happy: Camera traps are an effective sampling tool when compared with alternative methods. &lt;i&gt;Royal Society Open Science&lt;i&gt;, &lt;i&gt;6&lt;/i&gt;(3), 181748. &lt;a target="_blank" href="https://doi.org/10.1098/rsos.181748"&gt;{https://doi.org/10.1098/rsos.181748}]{#wearn_gloverkapfer_2019}&lt;br&gt;&lt;br&gt;</v>
      </c>
      <c r="O475" s="64" t="s">
        <v>2011</v>
      </c>
      <c r="P475" s="64" t="s">
        <v>984</v>
      </c>
      <c r="Q475" s="64" t="str">
        <f t="shared" si="44"/>
        <v>{{ rtxt_wearn_gloverkapfer_2019 }}</v>
      </c>
      <c r="R475" s="64" t="str">
        <f t="shared" si="45"/>
        <v>{{ rbib_wearn_gloverkapfer_2019 }}</v>
      </c>
      <c r="S475" s="63" t="str">
        <f t="shared" si="49"/>
        <v>Wearn, O. R., &amp; Glover-Kapfer, P. (2019). Snap happy: Camera traps are an effective sampling tool when compared with alternative methods. &lt;i&gt;Royal Society Open Science&lt;i&gt;, &lt;i&gt;6&lt;/i&gt;(3), 181748. &lt;a href="https://doi.org/10.1098/rsos.181748" target="_blank"&gt;https://doi.org/10.1098/rsos.181748&lt;/a&gt;&lt;span style="color:white"&gt;[.]{#wearn_gloverkapfer_2019}&lt;/span&gt;&lt;br&gt;&lt;br&gt;</v>
      </c>
      <c r="T475" s="64" t="str">
        <f t="shared" si="47"/>
        <v xml:space="preserve">    rtxt_wearn_gloverkapfer_2019: "&lt;a href=\"/08_references.html#wearn_gloverkapfer_2019\" target=\"_blank\"&gt;Wearn &amp; Glover-Kapfer, 2019&lt;/a&gt;"</v>
      </c>
      <c r="U475" s="64" t="str">
        <f t="shared" si="46"/>
        <v xml:space="preserve">    rbib_wearn_gloverkapfer_2019: "Wearn, O. R., &amp; Glover-Kapfer, P. (2019). Snap happy: Camera traps are an effective sampling tool when compared with alternative methods. *Royal Society Open Science, 6*(3), 181748. &lt;https://doi.org/10.1098/rsos.181748&gt;"</v>
      </c>
      <c r="V475" s="64"/>
    </row>
    <row r="476" spans="1:22" ht="15.75">
      <c r="A476" s="64"/>
      <c r="B476" s="77" t="b">
        <v>1</v>
      </c>
      <c r="C476" s="77" t="b">
        <v>0</v>
      </c>
      <c r="D476" s="77" t="b">
        <v>1</v>
      </c>
      <c r="E476" s="64" t="s">
        <v>1904</v>
      </c>
      <c r="F476" s="64" t="s">
        <v>2022</v>
      </c>
      <c r="G476" s="64" t="s">
        <v>2021</v>
      </c>
      <c r="H476" s="64" t="s">
        <v>2021</v>
      </c>
      <c r="I476" s="64" t="b">
        <v>1</v>
      </c>
      <c r="J476" s="66" t="s">
        <v>2020</v>
      </c>
      <c r="K476" s="66" t="s">
        <v>3960</v>
      </c>
      <c r="L476" s="64" t="s">
        <v>4274</v>
      </c>
      <c r="M476" s="64" t="s">
        <v>5999</v>
      </c>
      <c r="N476" s="65" t="str">
        <f t="shared" si="48"/>
        <v>[Wearn,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href="https://doi.org/10.1890/15-1363"&gt;{https://doi.org/10.1890/15-1363}]{#wearn_et_al_2016}&lt;br&gt;&lt;br&gt;</v>
      </c>
      <c r="O476" s="64" t="s">
        <v>2019</v>
      </c>
      <c r="P476" s="64" t="s">
        <v>984</v>
      </c>
      <c r="Q476" s="64" t="str">
        <f t="shared" si="44"/>
        <v>{{ rtxt_wearn_et_al_2016 }}</v>
      </c>
      <c r="R476" s="64" t="str">
        <f t="shared" si="45"/>
        <v>{{ rbib_wearn_et_al_2016 }}</v>
      </c>
      <c r="S476" s="63" t="str">
        <f t="shared" si="49"/>
        <v>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target="_blank"&gt;https://doi.org/10.1890/15-1363&lt;/a&gt;&lt;span style="color:white"&gt;[.]{#wearn_et_al_2016}&lt;/span&gt;&lt;br&gt;&lt;br&gt;</v>
      </c>
      <c r="T476" s="64" t="str">
        <f t="shared" si="47"/>
        <v xml:space="preserve">    rtxt_wearn_et_al_2016: "&lt;a href=\"/08_references.html#wearn_et_al_2016\" target=\"_blank\"&gt;Wearn et al., 2016&lt;/a&gt;"</v>
      </c>
      <c r="U476" s="64" t="str">
        <f t="shared" si="46"/>
        <v xml:space="preserve">    rbib_wearn_et_al_2016: "Wearn, O. R., Carbone, C., Rowcliffe, J. M., Bernard, H. &amp; Ewers, R. M. (2016). Grain-dependent responses of mammalian diversity to land-use and the implications for conservation set-aside. *Ecological Applications, 26*(5), 1409-1420. &lt;https://doi.org/10.1890/15-1363&gt;"</v>
      </c>
      <c r="V476" s="64"/>
    </row>
    <row r="477" spans="1:22" ht="15.75">
      <c r="A477" s="64"/>
      <c r="B477" s="77" t="b">
        <v>1</v>
      </c>
      <c r="C477" s="77" t="b">
        <v>1</v>
      </c>
      <c r="D477" s="77" t="b">
        <v>0</v>
      </c>
      <c r="E477" s="64" t="s">
        <v>1904</v>
      </c>
      <c r="F477" s="64" t="s">
        <v>2026</v>
      </c>
      <c r="G477" s="64" t="s">
        <v>2025</v>
      </c>
      <c r="H477" s="64" t="s">
        <v>2025</v>
      </c>
      <c r="I477" s="64" t="b">
        <v>1</v>
      </c>
      <c r="J477" s="66" t="s">
        <v>2024</v>
      </c>
      <c r="K477" s="66" t="s">
        <v>3960</v>
      </c>
      <c r="L477" s="64" t="s">
        <v>4275</v>
      </c>
      <c r="M477" s="64" t="s">
        <v>5963</v>
      </c>
      <c r="N477" s="65" t="str">
        <f t="shared" si="48"/>
        <v>[Wearn,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href="https://doi.org/10.1371/journal.pone.0077598"&gt;{https://doi.org/10.1371/journal.pone.0077598}]{#wearn_et_al_2013}&lt;br&gt;&lt;br&gt;</v>
      </c>
      <c r="O477" s="64" t="s">
        <v>2023</v>
      </c>
      <c r="P477" s="64" t="s">
        <v>984</v>
      </c>
      <c r="Q477" s="64" t="str">
        <f t="shared" si="44"/>
        <v>{{ rtxt_wearn_et_al_2013 }}</v>
      </c>
      <c r="R477" s="64" t="str">
        <f t="shared" si="45"/>
        <v>{{ rbib_wearn_et_al_2013 }}</v>
      </c>
      <c r="S477" s="63" t="str">
        <f t="shared" si="49"/>
        <v>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target="_blank"&gt;https://doi.org/10.1371/journal.pone.0077598&lt;/a&gt;&lt;span style="color:white"&gt;[.]{#wearn_et_al_2013}&lt;/span&gt;&lt;br&gt;&lt;br&gt;</v>
      </c>
      <c r="T477" s="64" t="str">
        <f t="shared" si="47"/>
        <v xml:space="preserve">    rtxt_wearn_et_al_2013: "&lt;a href=\"/08_references.html#wearn_et_al_2013\" target=\"_blank\"&gt;Wearn et al., 2013&lt;/a&gt;"</v>
      </c>
      <c r="U477" s="64" t="str">
        <f t="shared" si="46"/>
        <v xml:space="preserve">    rbib_wearn_et_al_2013: "Wearn, O. R., Rowcliffe, J. M., Carbone, C., Bernard, H., &amp; Ewers, R. M. (2013). Assessing the status of wild felids in a highly-disturbed commercial forest reserve in Borneo and the implications for camera trap Survey design. *PLoS One, 8*(11), e77598. &lt;https://doi.org/10.1371/journal.pone.0077598&gt;"</v>
      </c>
      <c r="V477" s="64"/>
    </row>
    <row r="478" spans="1:22" ht="15.75">
      <c r="A478" s="64"/>
      <c r="B478" s="77" t="b">
        <v>0</v>
      </c>
      <c r="C478" s="77" t="b">
        <v>0</v>
      </c>
      <c r="D478" s="77" t="b">
        <v>1</v>
      </c>
      <c r="E478" s="64" t="s">
        <v>1904</v>
      </c>
      <c r="F478" s="64" t="s">
        <v>2010</v>
      </c>
      <c r="G478" s="64" t="s">
        <v>2009</v>
      </c>
      <c r="H478" s="64" t="s">
        <v>2009</v>
      </c>
      <c r="I478" s="64" t="b">
        <v>1</v>
      </c>
      <c r="J478" s="66" t="s">
        <v>2008</v>
      </c>
      <c r="K478" s="66" t="s">
        <v>3960</v>
      </c>
      <c r="L478" s="64" t="s">
        <v>4276</v>
      </c>
      <c r="M478" s="64" t="s">
        <v>5769</v>
      </c>
      <c r="N478" s="65" t="str">
        <f t="shared" si="48"/>
        <v>[Webster, S. C., &amp; Beasley, J. C. (2019). Influence of lure choice and Survey duration on scent stations for carnivore Surveys. &lt;i&gt;Wildlife Society Bulletin, 43&lt;/i&gt;(4), 661-668. &lt;a target="_blank" href="https://doi.org/10.1002/wsb.1011"&gt;{https://doi.org/10.1002/wsb.1011}]{#webster_et_al_2019}&lt;br&gt;&lt;br&gt;</v>
      </c>
      <c r="O478" s="64" t="s">
        <v>2007</v>
      </c>
      <c r="P478" s="64" t="s">
        <v>984</v>
      </c>
      <c r="Q478" s="64" t="str">
        <f t="shared" si="44"/>
        <v>{{ rtxt_webster_et_al_2019 }}</v>
      </c>
      <c r="R478" s="64" t="str">
        <f t="shared" si="45"/>
        <v>{{ rbib_webster_et_al_2019 }}</v>
      </c>
      <c r="S478" s="63" t="str">
        <f t="shared" si="49"/>
        <v>Webster, S. C., &amp; Beasley, J. C. (2019). Influence of lure choice and Survey duration on scent stations for carnivore Surveys. &lt;i&gt;Wildlife Society Bulletin, 43&lt;/i&gt;(4), 661-668. &lt;a href="https://doi.org/10.1002/wsb.1011" target="_blank"&gt;https://doi.org/10.1002/wsb.1011&lt;/a&gt;&lt;span style="color:white"&gt;[.]{#webster_et_al_2019}&lt;/span&gt;&lt;br&gt;&lt;br&gt;</v>
      </c>
      <c r="T478" s="64" t="str">
        <f t="shared" si="47"/>
        <v xml:space="preserve">    rtxt_webster_et_al_2019: "&lt;a href=\"/08_references.html#webster_et_al_2019\" target=\"_blank\"&gt;Webster et al., 2019&lt;/a&gt;"</v>
      </c>
      <c r="U478" s="64" t="str">
        <f t="shared" si="46"/>
        <v xml:space="preserve">    rbib_webster_et_al_2019: "Webster, S. C., &amp; Beasley, J. C. (2019). Influence of lure choice and Survey duration on scent stations for carnivore Surveys. *Wildlife Society Bulletin, 43*(4), 661-668. &lt;https://doi.org/10.1002/wsb.1011&gt;"</v>
      </c>
      <c r="V478" s="64"/>
    </row>
    <row r="479" spans="1:22" ht="15.75">
      <c r="A479" s="64"/>
      <c r="B479" s="77"/>
      <c r="C479" s="77"/>
      <c r="D479" s="77"/>
      <c r="E479" s="64" t="s">
        <v>1945</v>
      </c>
      <c r="F479" s="64" t="s">
        <v>2006</v>
      </c>
      <c r="G479" s="64" t="s">
        <v>2005</v>
      </c>
      <c r="H479" s="64"/>
      <c r="I479" s="64" t="b">
        <v>1</v>
      </c>
      <c r="J479" s="66" t="s">
        <v>2004</v>
      </c>
      <c r="K479" s="66" t="s">
        <v>3960</v>
      </c>
      <c r="L479" s="64" t="s">
        <v>4277</v>
      </c>
      <c r="M479" s="64" t="s">
        <v>6136</v>
      </c>
      <c r="N479" s="65" t="str">
        <f t="shared" si="48"/>
        <v>[weecology (2020, Oct 30). &lt;i&gt;Introduction to Species Distribution Modeling Using R.&lt;/i&gt; [Video]. YouTube. &lt;a target="_blank" href="https://www.youtube.com/watch?v=0VObf2rMrI8"&gt;{https://www.youtube.com/watch?v=0VObf2rMrI8}]{#weecology_2020}&lt;br&gt;&lt;br&gt;</v>
      </c>
      <c r="O479" s="64" t="s">
        <v>2002</v>
      </c>
      <c r="P479" s="64" t="s">
        <v>2003</v>
      </c>
      <c r="Q479" s="64" t="str">
        <f t="shared" si="44"/>
        <v>{{ rtxt_weecology_2020 }}</v>
      </c>
      <c r="R479" s="64" t="str">
        <f t="shared" si="45"/>
        <v>{{ rbib_weecology_2020 }}</v>
      </c>
      <c r="S479" s="63" t="str">
        <f t="shared" si="49"/>
        <v>weecology (2020, Oct 30). &lt;i&gt;Introduction to Species Distribution Modeling Using R.&lt;/i&gt; [Video]. YouTube. &lt;a href="https://www.youtube.com/watch?v=0VObf2rMrI8" target="_blank"&gt;https://www.youtube.com/watch?v=0VObf2rMrI8&lt;/a&gt;&lt;span style="color:white"&gt;[.]{#weecology_2020}&lt;/span&gt;&lt;br&gt;&lt;br&gt;</v>
      </c>
      <c r="T479" s="64" t="str">
        <f t="shared" si="47"/>
        <v xml:space="preserve">    rtxt_weecology_2020: "&lt;a href=\"/08_references.html#weecology_2020\" target=\"_blank\"&gt;weecology (2020)&lt;/a&gt;"</v>
      </c>
      <c r="U479" s="64" t="str">
        <f t="shared" si="46"/>
        <v xml:space="preserve">    rbib_weecology_2020: "weecology (2020, Oct 30). *Introduction to Species Distribution Modeling Using R.* [Video]. YouTube. &lt;https://www.youtube.com/watch?v=0VObf2rMrI8&gt;"</v>
      </c>
      <c r="V479" s="64"/>
    </row>
    <row r="480" spans="1:22" ht="15.75">
      <c r="A480" s="64"/>
      <c r="B480" s="77" t="b">
        <v>1</v>
      </c>
      <c r="C480" s="77" t="b">
        <v>0</v>
      </c>
      <c r="D480" s="77" t="b">
        <v>1</v>
      </c>
      <c r="E480" s="64" t="s">
        <v>1904</v>
      </c>
      <c r="F480" s="64" t="s">
        <v>2001</v>
      </c>
      <c r="G480" s="64" t="s">
        <v>2000</v>
      </c>
      <c r="H480" s="64" t="s">
        <v>2000</v>
      </c>
      <c r="I480" s="64" t="b">
        <v>1</v>
      </c>
      <c r="J480" s="66" t="s">
        <v>1999</v>
      </c>
      <c r="K480" s="66" t="s">
        <v>3960</v>
      </c>
      <c r="L480" s="64" t="s">
        <v>4278</v>
      </c>
      <c r="M480" s="64" t="s">
        <v>5844</v>
      </c>
      <c r="N480" s="65" t="str">
        <f t="shared" si="48"/>
        <v>[Wegge, P., C. P. Pokheral, &amp; Jnawali, S. R. (2004). Effects of trapping effort and trap shyness on estimates of tiger abundance from camera trap studies. &lt;i&gt;Animal Conservation, 7&lt;/i&gt;, 251-256. &lt;a target="_blank" href="https://doi.org/10.1017/S1367943004001441"&gt;{https://doi.org/10.1017/S1367943004001441}]{#wegge_et_al_2004}&lt;br&gt;&lt;br&gt;</v>
      </c>
      <c r="O480" s="64" t="s">
        <v>1998</v>
      </c>
      <c r="P480" s="64" t="s">
        <v>984</v>
      </c>
      <c r="Q480" s="64" t="str">
        <f t="shared" si="44"/>
        <v>{{ rtxt_wegge_et_al_2004 }}</v>
      </c>
      <c r="R480" s="64" t="str">
        <f t="shared" si="45"/>
        <v>{{ rbib_wegge_et_al_2004 }}</v>
      </c>
      <c r="S480" s="63" t="str">
        <f t="shared" si="49"/>
        <v>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target="_blank"&gt;https://doi.org/10.1017/S1367943004001441&lt;/a&gt;&lt;span style="color:white"&gt;[.]{#wegge_et_al_2004}&lt;/span&gt;&lt;br&gt;&lt;br&gt;</v>
      </c>
      <c r="T480" s="64" t="str">
        <f t="shared" si="47"/>
        <v xml:space="preserve">    rtxt_wegge_et_al_2004: "&lt;a href=\"/08_references.html#wegge_et_al_2004\" target=\"_blank\"&gt;Wegge et al., 2004&lt;/a&gt;"</v>
      </c>
      <c r="U480" s="64" t="str">
        <f t="shared" si="46"/>
        <v xml:space="preserve">    rbib_wegge_et_al_2004: "Wegge, P., C. P. Pokheral, &amp; Jnawali, S. R. (2004). Effects of trapping effort and trap shyness on estimates of tiger abundance from camera trap studies. *Animal Conservation, 7*, 251-256. &lt;https://doi.org/10.1017/S1367943004001441&gt;"</v>
      </c>
      <c r="V480" s="64"/>
    </row>
    <row r="481" spans="1:22" ht="15.75">
      <c r="A481" s="64"/>
      <c r="B481" s="77" t="b">
        <v>1</v>
      </c>
      <c r="C481" s="77" t="b">
        <v>0</v>
      </c>
      <c r="D481" s="77" t="b">
        <v>0</v>
      </c>
      <c r="E481" s="64" t="s">
        <v>1904</v>
      </c>
      <c r="F481" s="64" t="s">
        <v>1997</v>
      </c>
      <c r="G481" s="64" t="s">
        <v>1996</v>
      </c>
      <c r="H481" s="64" t="s">
        <v>1996</v>
      </c>
      <c r="I481" s="64" t="b">
        <v>1</v>
      </c>
      <c r="J481" s="66" t="s">
        <v>1995</v>
      </c>
      <c r="K481" s="66" t="s">
        <v>3960</v>
      </c>
      <c r="L481" s="64" t="s">
        <v>4279</v>
      </c>
      <c r="M481" s="64" t="s">
        <v>5716</v>
      </c>
      <c r="N481" s="65" t="str">
        <f t="shared" si="48"/>
        <v>[Welbourne,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href="https://doi.or/10.1002/rse2.20"&gt;{https://doi.or/10.1002/rse2.20}]{#welbourne_et_al_2016}&lt;br&gt;&lt;br&gt;</v>
      </c>
      <c r="O481" s="64" t="s">
        <v>1994</v>
      </c>
      <c r="P481" s="64" t="s">
        <v>984</v>
      </c>
      <c r="Q481" s="64" t="str">
        <f t="shared" si="44"/>
        <v>{{ rtxt_welbourne_et_al_2016 }}</v>
      </c>
      <c r="R481" s="64" t="str">
        <f t="shared" si="45"/>
        <v>{{ rbib_welbourne_et_al_2016 }}</v>
      </c>
      <c r="S481" s="63" t="str">
        <f t="shared" si="49"/>
        <v>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target="_blank"&gt;https://doi.or/10.1002/rse2.20&lt;/a&gt;&lt;span style="color:white"&gt;[.]{#welbourne_et_al_2016}&lt;/span&gt;&lt;br&gt;&lt;br&gt;</v>
      </c>
      <c r="T481" s="64" t="str">
        <f t="shared" si="47"/>
        <v xml:space="preserve">    rtxt_welbourne_et_al_2016: "&lt;a href=\"/08_references.html#welbourne_et_al_2016\" target=\"_blank\"&gt;Welbourne et al., 2016&lt;/a&gt;"</v>
      </c>
      <c r="U481" s="64" t="str">
        <f t="shared" si="46"/>
        <v xml:space="preserve">    rbib_welbourne_et_al_2016: "Welbourne, D. J., Claridge, A. W., Paul, D. J., &amp; Lambert, A. (2016). How do passive infrared triggered camera traps operate and why does it matter? Breaking down common misconceptions. *Remote Sensing in Ecology and Conservation*, 77-83. &lt;https://doi.or/10.1002/rse2.20&gt;"</v>
      </c>
      <c r="V481" s="64"/>
    </row>
    <row r="482" spans="1:22" ht="15.75">
      <c r="A482" s="64"/>
      <c r="B482" s="77" t="b">
        <v>1</v>
      </c>
      <c r="C482" s="77" t="b">
        <v>0</v>
      </c>
      <c r="D482" s="77" t="s">
        <v>1993</v>
      </c>
      <c r="E482" s="64" t="s">
        <v>1904</v>
      </c>
      <c r="F482" s="64" t="s">
        <v>1992</v>
      </c>
      <c r="G482" s="64" t="s">
        <v>1991</v>
      </c>
      <c r="H482" s="64" t="s">
        <v>1991</v>
      </c>
      <c r="I482" s="64" t="b">
        <v>1</v>
      </c>
      <c r="J482" s="66" t="s">
        <v>1990</v>
      </c>
      <c r="K482" s="66" t="s">
        <v>3960</v>
      </c>
      <c r="L482" s="64" t="s">
        <v>4280</v>
      </c>
      <c r="M482" s="64" t="s">
        <v>5774</v>
      </c>
      <c r="N482" s="65" t="str">
        <f t="shared" si="48"/>
        <v>[Wellington, K., Bottom, C., Merrill, C., &amp; Litvaitis, J. A. (2014). Identifying performance differences among trail cameras used to monitor forest mammals. &lt;i&gt;Wildlife Society Bulletin, 38&lt;/i&gt;(3), 634-638. &lt;a target="_blank" href="https://doi.org/10.1002/wsb.425"&gt;{https://doi.org/10.1002/wsb.425}]{#wellington_et_al_2014}&lt;br&gt;&lt;br&gt;</v>
      </c>
      <c r="O482" s="64" t="s">
        <v>1989</v>
      </c>
      <c r="P482" s="64" t="s">
        <v>984</v>
      </c>
      <c r="Q482" s="64" t="str">
        <f t="shared" si="44"/>
        <v>{{ rtxt_wellington_et_al_2014 }}</v>
      </c>
      <c r="R482" s="64" t="str">
        <f t="shared" si="45"/>
        <v>{{ rbib_wellington_et_al_2014 }}</v>
      </c>
      <c r="S482" s="63" t="str">
        <f t="shared" si="49"/>
        <v>Wellington, K., Bottom, C., Merrill, C., &amp; Litvaitis, J. A. (2014). Identifying performance differences among trail cameras used to monitor forest mammals. &lt;i&gt;Wildlife Society Bulletin, 38&lt;/i&gt;(3), 634-638. &lt;a href="https://doi.org/10.1002/wsb.425" target="_blank"&gt;https://doi.org/10.1002/wsb.425&lt;/a&gt;&lt;span style="color:white"&gt;[.]{#wellington_et_al_2014}&lt;/span&gt;&lt;br&gt;&lt;br&gt;</v>
      </c>
      <c r="T482" s="64" t="str">
        <f t="shared" si="47"/>
        <v xml:space="preserve">    rtxt_wellington_et_al_2014: "&lt;a href=\"/08_references.html#wellington_et_al_2014\" target=\"_blank\"&gt;Wellington et al., 2014&lt;/a&gt;"</v>
      </c>
      <c r="U482" s="64" t="str">
        <f t="shared" si="46"/>
        <v xml:space="preserve">    rbib_wellington_et_al_2014: "Wellington, K., Bottom, C., Merrill, C., &amp; Litvaitis, J. A. (2014). Identifying performance differences among trail cameras used to monitor forest mammals. *Wildlife Society Bulletin, 38*(3), 634-638. &lt;https://doi.org/10.1002/wsb.425&gt;"</v>
      </c>
      <c r="V482" s="64"/>
    </row>
    <row r="483" spans="1:22" ht="15.75">
      <c r="A483" s="64"/>
      <c r="B483" s="77" t="b">
        <v>0</v>
      </c>
      <c r="C483" s="77" t="b">
        <v>0</v>
      </c>
      <c r="D483" s="77" t="b">
        <v>1</v>
      </c>
      <c r="E483" s="64" t="s">
        <v>1904</v>
      </c>
      <c r="F483" s="64" t="s">
        <v>1988</v>
      </c>
      <c r="G483" s="64" t="s">
        <v>1987</v>
      </c>
      <c r="H483" s="64" t="s">
        <v>1987</v>
      </c>
      <c r="I483" s="64" t="b">
        <v>1</v>
      </c>
      <c r="J483" s="66" t="s">
        <v>1986</v>
      </c>
      <c r="K483" s="66" t="s">
        <v>3960</v>
      </c>
      <c r="L483" s="64" t="s">
        <v>4281</v>
      </c>
      <c r="M483" s="64" t="s">
        <v>5919</v>
      </c>
      <c r="N483" s="65" t="str">
        <f t="shared" si="48"/>
        <v>[Welsh, A. H., Cunningham, R. B., &amp; Chambers, R. L. (2000). Methodology for estimating the abundance of rare animals: Seabird nesting on North East Herald Cay. &lt;i&gt;Biometrics, 56&lt;/i&gt;(1), 22-30. &lt;a target="_blank" href="https://doi.org/10.1111/j.0006-341X.2000.00022.x"&gt;{https://doi.org/10.1111/j.0006-341X.2000.00022.x}]{#welsh_et_al_2000}&lt;br&gt;&lt;br&gt;</v>
      </c>
      <c r="O483" s="64" t="s">
        <v>1985</v>
      </c>
      <c r="P483" s="64" t="s">
        <v>984</v>
      </c>
      <c r="Q483" s="64" t="str">
        <f t="shared" si="44"/>
        <v>{{ rtxt_welsh_et_al_2000 }}</v>
      </c>
      <c r="R483" s="64" t="str">
        <f t="shared" si="45"/>
        <v>{{ rbib_welsh_et_al_2000 }}</v>
      </c>
      <c r="S483" s="63" t="str">
        <f t="shared" si="49"/>
        <v>Welsh, A. H., Cunningham, R. B., &amp; Chambers, R. L. (2000). Methodology for estimating the abundance of rare animals: Seabird nesting on North East Herald Cay. &lt;i&gt;Biometrics, 56&lt;/i&gt;(1), 22-30. &lt;a href="https://doi.org/10.1111/j.0006-341X.2000.00022.x" target="_blank"&gt;https://doi.org/10.1111/j.0006-341X.2000.00022.x&lt;/a&gt;&lt;span style="color:white"&gt;[.]{#welsh_et_al_2000}&lt;/span&gt;&lt;br&gt;&lt;br&gt;</v>
      </c>
      <c r="T483" s="64" t="str">
        <f t="shared" si="47"/>
        <v xml:space="preserve">    rtxt_welsh_et_al_2000: "&lt;a href=\"/08_references.html#welsh_et_al_2000\" target=\"_blank\"&gt;Welsh et al., 2000&lt;/a&gt;"</v>
      </c>
      <c r="U483" s="64" t="str">
        <f t="shared" si="46"/>
        <v xml:space="preserve">    rbib_welsh_et_al_2000: "Welsh, A. H., Cunningham, R. B., &amp; Chambers, R. L. (2000). Methodology for estimating the abundance of rare animals: Seabird nesting on North East Herald Cay. *Biometrics, 56*(1), 22-30. &lt;https://doi.org/10.1111/j.0006-341X.2000.00022.x&gt;"</v>
      </c>
      <c r="V483" s="64"/>
    </row>
    <row r="484" spans="1:22" ht="15.75">
      <c r="A484" s="64"/>
      <c r="B484" s="77" t="b">
        <v>1</v>
      </c>
      <c r="C484" s="77" t="b">
        <v>0</v>
      </c>
      <c r="D484" s="77" t="b">
        <v>0</v>
      </c>
      <c r="E484" s="64" t="s">
        <v>1904</v>
      </c>
      <c r="F484" s="64" t="s">
        <v>1984</v>
      </c>
      <c r="G484" s="64" t="s">
        <v>1983</v>
      </c>
      <c r="H484" s="64" t="s">
        <v>1983</v>
      </c>
      <c r="I484" s="64" t="b">
        <v>1</v>
      </c>
      <c r="J484" s="66" t="s">
        <v>1982</v>
      </c>
      <c r="K484" s="66" t="s">
        <v>3960</v>
      </c>
      <c r="L484" s="64" t="s">
        <v>4282</v>
      </c>
      <c r="M484" s="64" t="s">
        <v>5883</v>
      </c>
      <c r="N484" s="65" t="str">
        <f t="shared" si="48"/>
        <v>[Whittington, J., Hebblewhite, M., Chandler, R. B., &amp; Lentini, P. (2018). Generalized spatial mark-resight models with an application to grizzly bears. &lt;i&gt;Journal of Applied Ecology, 55&lt;/i&gt;(1), 157-168. &lt;a target="_blank" href="https://doi.org/10.1111/1365-2664.12954"&gt;{https://doi.org/10.1111/1365-2664.12954}]{#whittington_et_al_2018}&lt;br&gt;&lt;br&gt;</v>
      </c>
      <c r="O484" s="64" t="s">
        <v>1981</v>
      </c>
      <c r="P484" s="64" t="s">
        <v>984</v>
      </c>
      <c r="Q484" s="64" t="str">
        <f t="shared" si="44"/>
        <v>{{ rtxt_whittington_et_al_2018 }}</v>
      </c>
      <c r="R484" s="64" t="str">
        <f t="shared" si="45"/>
        <v>{{ rbib_whittington_et_al_2018 }}</v>
      </c>
      <c r="S484" s="63" t="str">
        <f t="shared" si="49"/>
        <v>Whittington, J., Hebblewhite, M., Chandler, R. B., &amp; Lentini, P. (2018). Generalized spatial mark-resight models with an application to grizzly bears. &lt;i&gt;Journal of Applied Ecology, 55&lt;/i&gt;(1), 157-168. &lt;a href="https://doi.org/10.1111/1365-2664.12954" target="_blank"&gt;https://doi.org/10.1111/1365-2664.12954&lt;/a&gt;&lt;span style="color:white"&gt;[.]{#whittington_et_al_2018}&lt;/span&gt;&lt;br&gt;&lt;br&gt;</v>
      </c>
      <c r="T484" s="64" t="str">
        <f t="shared" si="47"/>
        <v xml:space="preserve">    rtxt_whittington_et_al_2018: "&lt;a href=\"/08_references.html#whittington_et_al_2018\" target=\"_blank\"&gt;Whittington et al., 2018&lt;/a&gt;"</v>
      </c>
      <c r="U484" s="64" t="str">
        <f t="shared" si="46"/>
        <v xml:space="preserve">    rbib_whittington_et_al_2018: "Whittington, J., Hebblewhite, M., Chandler, R. B., &amp; Lentini, P. (2018). Generalized spatial mark-resight models with an application to grizzly bears. *Journal of Applied Ecology, 55*(1), 157-168. &lt;https://doi.org/10.1111/1365-2664.12954&gt;"</v>
      </c>
      <c r="V484" s="64"/>
    </row>
    <row r="485" spans="1:22" ht="15.75">
      <c r="A485" s="64"/>
      <c r="B485" s="77" t="b">
        <v>0</v>
      </c>
      <c r="C485" s="77" t="b">
        <v>1</v>
      </c>
      <c r="D485" s="77" t="b">
        <v>0</v>
      </c>
      <c r="E485" s="64" t="s">
        <v>1904</v>
      </c>
      <c r="F485" s="64" t="s">
        <v>1980</v>
      </c>
      <c r="G485" s="64" t="s">
        <v>1979</v>
      </c>
      <c r="H485" s="64" t="s">
        <v>1978</v>
      </c>
      <c r="I485" s="64" t="b">
        <v>1</v>
      </c>
      <c r="J485" s="66" t="s">
        <v>1977</v>
      </c>
      <c r="K485" s="66" t="s">
        <v>3960</v>
      </c>
      <c r="L485" s="64" t="s">
        <v>4283</v>
      </c>
      <c r="M485" s="64" t="s">
        <v>6111</v>
      </c>
      <c r="N485" s="65" t="str">
        <f t="shared" si="48"/>
        <v>[Whittington, J., Low, P., &amp; Hunt, B. (2019). Temporal road closures improve habitat quality for wildlife. &lt;i&gt;Scientific Reports, 9&lt;/i&gt;(1), 3772. &lt;a target="_blank" href="https://www.nature.com/articles/s41598-019-40581-y"&gt;{https://www.nature.com/articles/s41598-019-40581-y}]{#whittington_et_al_2019}&lt;br&gt;&lt;br&gt;</v>
      </c>
      <c r="O485" s="64" t="s">
        <v>1976</v>
      </c>
      <c r="P485" s="64" t="s">
        <v>984</v>
      </c>
      <c r="Q485" s="64" t="str">
        <f t="shared" si="44"/>
        <v>{{ rtxt_whittington_et_al_2019 }}</v>
      </c>
      <c r="R485" s="64" t="str">
        <f t="shared" si="45"/>
        <v>{{ rbib_whittington_et_al_2019 }}</v>
      </c>
      <c r="S485" s="63" t="str">
        <f t="shared" si="49"/>
        <v>Whittington, J., Low, P., &amp; Hunt, B. (2019). Temporal road closures improve habitat quality for wildlife. &lt;i&gt;Scientific Reports, 9&lt;/i&gt;(1), 3772. &lt;a href="https://www.nature.com/articles/s41598-019-40581-y" target="_blank"&gt;https://www.nature.com/articles/s41598-019-40581-y&lt;/a&gt;&lt;span style="color:white"&gt;[.]{#whittington_et_al_2019}&lt;/span&gt;&lt;br&gt;&lt;br&gt;</v>
      </c>
      <c r="T485" s="64" t="str">
        <f t="shared" si="47"/>
        <v xml:space="preserve">    rtxt_whittington_et_al_2019: "&lt;a href=\"/08_references.html#whittington_et_al_2019\" target=\"_blank\"&gt;Whittington et al., 2019&lt;/a&gt;"</v>
      </c>
      <c r="U485" s="64" t="str">
        <f t="shared" si="46"/>
        <v xml:space="preserve">    rbib_whittington_et_al_2019: "Whittington, J., Low, P., &amp; Hunt, B. (2019). Temporal road closures improve habitat quality for wildlife. *Scientific Reports, 9* (1), 3772. &lt;https://www.nature.com/articles/s41598-019-40581-y&gt;"</v>
      </c>
      <c r="V485" s="64"/>
    </row>
    <row r="486" spans="1:22" ht="15.75">
      <c r="A486" s="64"/>
      <c r="B486" s="77" t="b">
        <v>1</v>
      </c>
      <c r="C486" s="77" t="b">
        <v>0</v>
      </c>
      <c r="D486" s="77" t="b">
        <v>0</v>
      </c>
      <c r="E486" s="64" t="s">
        <v>984</v>
      </c>
      <c r="F486" s="64" t="s">
        <v>1975</v>
      </c>
      <c r="G486" s="64" t="s">
        <v>1974</v>
      </c>
      <c r="H486" s="64" t="s">
        <v>1974</v>
      </c>
      <c r="I486" s="64" t="b">
        <v>1</v>
      </c>
      <c r="J486" s="66" t="s">
        <v>1973</v>
      </c>
      <c r="K486" s="66" t="s">
        <v>3960</v>
      </c>
      <c r="L486" s="64" t="s">
        <v>4284</v>
      </c>
      <c r="M486" s="64" t="s">
        <v>6091</v>
      </c>
      <c r="N486" s="65" t="str">
        <f t="shared" si="48"/>
        <v>[WildCAM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wildcam_network_2019}&lt;br&gt;&lt;br&gt;</v>
      </c>
      <c r="O486" s="64" t="s">
        <v>1972</v>
      </c>
      <c r="P486" s="64" t="s">
        <v>984</v>
      </c>
      <c r="Q486" s="64" t="str">
        <f t="shared" si="44"/>
        <v>{{ rtxt_wildcam_network_2019 }}</v>
      </c>
      <c r="R486" s="64" t="str">
        <f t="shared" si="45"/>
        <v>{{ rbib_wildcam_network_2019 }}</v>
      </c>
      <c r="S486" s="63" t="str">
        <f t="shared" si="49"/>
        <v>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style="color:white"&gt;[.]{#wildcam_network_2019}&lt;/span&gt;&lt;br&gt;&lt;br&gt;</v>
      </c>
      <c r="T486" s="64" t="str">
        <f t="shared" si="47"/>
        <v xml:space="preserve">    rtxt_wildcam_network_2019: "&lt;a href=\"/08_references.html#wildcam_network_2019\" target=\"_blank\"&gt;WildCAM Network, 2019&lt;/a&gt;"</v>
      </c>
      <c r="U486" s="64" t="str">
        <f t="shared" si="46"/>
        <v xml:space="preserve">    rbib_wildcam_network_2019: "WildCAM Network (2019). *WildCAM Network Camera Trapping Best Practices Literature Synthesis.* &lt;https://wildcams.ca/site/assets/files/1390/wildcam_network_camera_trapping_best_practices_literature_synthesis.pdf&gt;"</v>
      </c>
      <c r="V486" s="64"/>
    </row>
    <row r="487" spans="1:22" ht="15.75">
      <c r="A487" s="64"/>
      <c r="B487" s="77" t="b">
        <v>1</v>
      </c>
      <c r="C487" s="77" t="b">
        <v>0</v>
      </c>
      <c r="D487" s="77" t="b">
        <v>0</v>
      </c>
      <c r="E487" s="64" t="s">
        <v>1950</v>
      </c>
      <c r="F487" s="64" t="s">
        <v>1971</v>
      </c>
      <c r="G487" s="64" t="s">
        <v>1970</v>
      </c>
      <c r="H487" s="64" t="s">
        <v>1970</v>
      </c>
      <c r="I487" s="64" t="b">
        <v>1</v>
      </c>
      <c r="J487" s="66" t="s">
        <v>1969</v>
      </c>
      <c r="K487" s="66" t="s">
        <v>3960</v>
      </c>
      <c r="L487" s="64" t="s">
        <v>4285</v>
      </c>
      <c r="M487" s="64" t="s">
        <v>6053</v>
      </c>
      <c r="N487" s="65" t="str">
        <f t="shared" si="48"/>
        <v>[WildCo Lab (2020). &lt;i&gt;WildCo_Image_Renamer.&lt;/i&gt; &lt;a target="_blank" href="https://github.com/WildCoLab/WildCo_Image_Renamer"&gt;{https://github.com/WildCoLab/WildCo_Image_Renamer}]{#wildco_2020}&lt;br&gt;&lt;br&gt;</v>
      </c>
      <c r="O487" s="64" t="s">
        <v>1968</v>
      </c>
      <c r="P487" s="64" t="s">
        <v>984</v>
      </c>
      <c r="Q487" s="64" t="str">
        <f t="shared" si="44"/>
        <v>{{ rtxt_wildco_2020 }}</v>
      </c>
      <c r="R487" s="64" t="str">
        <f t="shared" si="45"/>
        <v>{{ rbib_wildco_2020 }}</v>
      </c>
      <c r="S487" s="63" t="str">
        <f t="shared" si="49"/>
        <v>WildCo Lab (2020). &lt;i&gt;WildCo_Image_Renamer.&lt;/i&gt; &lt;a href="https://github.com/WildCoLab/WildCo_Image_Renamer" target="_blank"&gt;https://github.com/WildCoLab/WildCo_Image_Renamer&lt;/a&gt;&lt;span style="color:white"&gt;[.]{#wildco_2020}&lt;/span&gt;&lt;br&gt;&lt;br&gt;</v>
      </c>
      <c r="T487" s="64" t="str">
        <f t="shared" si="47"/>
        <v xml:space="preserve">    rtxt_wildco_2020: "&lt;a href=\"/08_references.html#wildco_2020\" target=\"_blank\"&gt;WildCo Lab, 2020&lt;/a&gt;"</v>
      </c>
      <c r="U487" s="64" t="str">
        <f t="shared" si="46"/>
        <v xml:space="preserve">    rbib_wildco_2020: "WildCo Lab (2020). *WildCo_Image_Renamer.* &lt;https://github.com/WildCoLab/WildCo_Image_Renamer&gt;"</v>
      </c>
      <c r="V487" s="64"/>
    </row>
    <row r="488" spans="1:22" ht="15.75">
      <c r="A488" s="64"/>
      <c r="B488" s="77" t="b">
        <v>1</v>
      </c>
      <c r="C488" s="77" t="b">
        <v>0</v>
      </c>
      <c r="D488" s="77" t="b">
        <v>0</v>
      </c>
      <c r="E488" s="64" t="s">
        <v>1950</v>
      </c>
      <c r="F488" s="64" t="s">
        <v>1967</v>
      </c>
      <c r="G488" s="64" t="s">
        <v>1966</v>
      </c>
      <c r="H488" s="64" t="s">
        <v>1966</v>
      </c>
      <c r="I488" s="64" t="b">
        <v>1</v>
      </c>
      <c r="J488" s="66" t="s">
        <v>1965</v>
      </c>
      <c r="K488" s="66" t="s">
        <v>3960</v>
      </c>
      <c r="L488" s="64" t="s">
        <v>4286</v>
      </c>
      <c r="M488" s="64" t="s">
        <v>6052</v>
      </c>
      <c r="N488" s="65" t="str">
        <f t="shared" si="48"/>
        <v>[WildCo Lab (2021a). &lt;i&gt;WildCo-FaceBlur.&lt;/i&gt; &lt;a target="_blank" href="https://github.com/WildCoLab/WildCo_Face_Blur"&gt;{https://github.com/WildCoLab/WildCo_Face_Blur}]{#wildco_lab_2021a}&lt;br&gt;&lt;br&gt;</v>
      </c>
      <c r="O488" s="64" t="s">
        <v>1964</v>
      </c>
      <c r="P488" s="64" t="s">
        <v>984</v>
      </c>
      <c r="Q488" s="64" t="str">
        <f t="shared" si="44"/>
        <v>{{ rtxt_wildco_lab_2021a }}</v>
      </c>
      <c r="R488" s="64" t="str">
        <f t="shared" si="45"/>
        <v>{{ rbib_wildco_lab_2021a }}</v>
      </c>
      <c r="S488" s="63" t="str">
        <f t="shared" si="49"/>
        <v>WildCo Lab (2021a). &lt;i&gt;WildCo-FaceBlur.&lt;/i&gt; &lt;a href="https://github.com/WildCoLab/WildCo_Face_Blur" target="_blank"&gt;https://github.com/WildCoLab/WildCo_Face_Blur&lt;/a&gt;&lt;span style="color:white"&gt;[.]{#wildco_lab_2021a}&lt;/span&gt;&lt;br&gt;&lt;br&gt;</v>
      </c>
      <c r="T488" s="64" t="str">
        <f t="shared" si="47"/>
        <v xml:space="preserve">    rtxt_wildco_lab_2021a: "&lt;a href=\"/08_references.html#wildco_lab_2021a\" target=\"_blank\"&gt;WildCo Lab, 2021a&lt;/a&gt;"</v>
      </c>
      <c r="U488" s="64" t="str">
        <f t="shared" si="46"/>
        <v xml:space="preserve">    rbib_wildco_lab_2021a: "WildCo Lab (2021a). *WildCo-FaceBlur.* &lt;https://github.com/WildCoLab/WildCo_Face_Blur&gt;"</v>
      </c>
      <c r="V488" s="64"/>
    </row>
    <row r="489" spans="1:22" ht="15.75">
      <c r="A489" s="64"/>
      <c r="B489" s="77" t="b">
        <v>1</v>
      </c>
      <c r="C489" s="77" t="b">
        <v>0</v>
      </c>
      <c r="D489" s="77" t="b">
        <v>0</v>
      </c>
      <c r="E489" s="64" t="s">
        <v>1950</v>
      </c>
      <c r="F489" s="64" t="s">
        <v>1963</v>
      </c>
      <c r="G489" s="64" t="s">
        <v>1962</v>
      </c>
      <c r="H489" s="64" t="s">
        <v>1962</v>
      </c>
      <c r="I489" s="64" t="b">
        <v>1</v>
      </c>
      <c r="J489" s="66" t="s">
        <v>1961</v>
      </c>
      <c r="K489" s="66" t="s">
        <v>3960</v>
      </c>
      <c r="L489" s="64" t="s">
        <v>4287</v>
      </c>
      <c r="M489" s="64" t="s">
        <v>5697</v>
      </c>
      <c r="N489" s="65" t="str">
        <f t="shared" si="48"/>
        <v>[WildCo Lab (2021b). &lt;i&gt;WildCo: Reproducible camera trap data exploration and analysis examples in R&lt;/i&gt;. University of British Columbia. &lt;a target="_blank" href="https://bookdown.org/c_w_beirne/wildCo-Data-Analysis/#what-this-guide-is"&gt;{https://bookdown.org/c_w_beirne/wildCo-Data-Analysis/#what-this-guide-is}]{#wildco_lab_2021b}&lt;br&gt;&lt;br&gt;</v>
      </c>
      <c r="O489" s="64" t="s">
        <v>1960</v>
      </c>
      <c r="P489" s="64" t="s">
        <v>984</v>
      </c>
      <c r="Q489" s="64" t="str">
        <f t="shared" si="44"/>
        <v>{{ rtxt_wildco_lab_2021b }}</v>
      </c>
      <c r="R489" s="64" t="str">
        <f t="shared" si="45"/>
        <v>{{ rbib_wildco_lab_2021b }}</v>
      </c>
      <c r="S489" s="63" t="str">
        <f t="shared" si="49"/>
        <v>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target="_blank"&gt;https://bookdown.org/c_w_beirne/wildCo-Data-Analysis/#what-this-guide-is&lt;/a&gt;&lt;span style="color:white"&gt;[.]{#wildco_lab_2021b}&lt;/span&gt;&lt;br&gt;&lt;br&gt;</v>
      </c>
      <c r="T489" s="64" t="str">
        <f t="shared" si="47"/>
        <v xml:space="preserve">    rtxt_wildco_lab_2021b: "&lt;a href=\"/08_references.html#wildco_lab_2021b\" target=\"_blank\"&gt;WildCo Lab, 2021b&lt;/a&gt;"</v>
      </c>
      <c r="U489" s="64" t="str">
        <f t="shared" si="46"/>
        <v xml:space="preserve">    rbib_wildco_lab_2021b: "WildCo Lab (2021b). *WildCo: Reproducible camera trap data exploration and analysis examples in R*. University of British Columbia. &lt;https://bookdown.org/c_w_beirne/wildCo-Data-Analysis/#what-this-guide-is&gt;"</v>
      </c>
      <c r="V489" s="64"/>
    </row>
    <row r="490" spans="1:22" ht="15.75">
      <c r="A490" s="64"/>
      <c r="B490" s="77" t="b">
        <v>1</v>
      </c>
      <c r="C490" s="77" t="b">
        <v>0</v>
      </c>
      <c r="D490" s="77" t="b">
        <v>0</v>
      </c>
      <c r="E490" s="64" t="s">
        <v>1950</v>
      </c>
      <c r="F490" s="64" t="s">
        <v>1959</v>
      </c>
      <c r="G490" s="64" t="s">
        <v>1958</v>
      </c>
      <c r="H490" s="64" t="s">
        <v>1958</v>
      </c>
      <c r="I490" s="64" t="b">
        <v>1</v>
      </c>
      <c r="J490" s="66" t="s">
        <v>1957</v>
      </c>
      <c r="K490" s="66" t="s">
        <v>3960</v>
      </c>
      <c r="L490" s="64" t="s">
        <v>4288</v>
      </c>
      <c r="M490" s="64" t="s">
        <v>5700</v>
      </c>
      <c r="N490" s="65" t="str">
        <f t="shared" si="48"/>
        <v>[WildCo Lab (2021c). &lt;i&gt;Chapter 11 Occupancy&lt;/i&gt;. &lt;a target="_blank" href="https://bookdown.org/c_w_beirne/wildCo-Data-Analysis/occupancy.html"&gt;{https://bookdown.org/c_w_beirne/wildCo-Data-Analysis/occupancy.html}]{#wildco_lab_2021c}&lt;br&gt;&lt;br&gt;</v>
      </c>
      <c r="O490" s="64" t="s">
        <v>1956</v>
      </c>
      <c r="P490" s="64" t="s">
        <v>984</v>
      </c>
      <c r="Q490" s="64" t="str">
        <f t="shared" si="44"/>
        <v>{{ rtxt_wildco_lab_2021c }}</v>
      </c>
      <c r="R490" s="64" t="str">
        <f t="shared" si="45"/>
        <v>{{ rbib_wildco_lab_2021c }}</v>
      </c>
      <c r="S490" s="63" t="str">
        <f t="shared" si="49"/>
        <v>WildCo Lab (2021c). &lt;i&gt;Chapter 11 Occupancy&lt;/i&gt;. &lt;a href="https://bookdown.org/c_w_beirne/wildCo-Data-Analysis/occupancy.html" target="_blank"&gt;https://bookdown.org/c_w_beirne/wildCo-Data-Analysis/occupancy.html&lt;/a&gt;&lt;span style="color:white"&gt;[.]{#wildco_lab_2021c}&lt;/span&gt;&lt;br&gt;&lt;br&gt;</v>
      </c>
      <c r="T490" s="64" t="str">
        <f t="shared" si="47"/>
        <v xml:space="preserve">    rtxt_wildco_lab_2021c: "&lt;a href=\"/08_references.html#wildco_lab_2021c\" target=\"_blank\"&gt;WildCo Lab, 2021c&lt;/a&gt;"</v>
      </c>
      <c r="U490" s="64" t="str">
        <f t="shared" si="46"/>
        <v xml:space="preserve">    rbib_wildco_lab_2021c: "WildCo Lab (2021c). *Chapter 11 Occupancy*. &lt;https://bookdown.org/c_w_beirne/wildCo-Data-Analysis/occupancy.html&gt;"</v>
      </c>
      <c r="V490" s="64"/>
    </row>
    <row r="491" spans="1:22" ht="15.75">
      <c r="A491" s="64"/>
      <c r="B491" s="77"/>
      <c r="C491" s="77"/>
      <c r="D491" s="77"/>
      <c r="E491" s="64" t="s">
        <v>1904</v>
      </c>
      <c r="F491" s="65" t="s">
        <v>1954</v>
      </c>
      <c r="G491" s="64" t="s">
        <v>1953</v>
      </c>
      <c r="H491" s="64" t="s">
        <v>1953</v>
      </c>
      <c r="I491" s="64" t="b">
        <v>1</v>
      </c>
      <c r="J491" s="67" t="s">
        <v>1952</v>
      </c>
      <c r="K491" s="66" t="s">
        <v>3960</v>
      </c>
      <c r="L491" s="64" t="s">
        <v>4289</v>
      </c>
      <c r="M491" s="64" t="s">
        <v>5698</v>
      </c>
      <c r="N491" s="65" t="str">
        <f t="shared" si="48"/>
        <v>[WildCo Lab (2021d). &lt;i&gt;Chapter 12 Activity&lt;/i&gt;. &lt;a target="_blank" href="https://bookdown.org/c_w_beirne/wildCo-Data-Analysis/activity.html"&gt;{https://bookdown.org/c_w_beirne/wildCo-Data-Analysis/activity.html}]{#wildco_lab_2021d}&lt;br&gt;&lt;br&gt;</v>
      </c>
      <c r="O491" s="64" t="s">
        <v>1951</v>
      </c>
      <c r="P491" s="64" t="s">
        <v>984</v>
      </c>
      <c r="Q491" s="64" t="str">
        <f t="shared" si="44"/>
        <v>{{ rtxt_wildco_lab_2021d }}</v>
      </c>
      <c r="R491" s="64" t="str">
        <f t="shared" si="45"/>
        <v>{{ rbib_wildco_lab_2021d }}</v>
      </c>
      <c r="S491" s="63" t="str">
        <f t="shared" si="49"/>
        <v>WildCo Lab (2021d). &lt;i&gt;Chapter 12 Activity&lt;/i&gt;. &lt;a href="https://bookdown.org/c_w_beirne/wildCo-Data-Analysis/activity.html" target="_blank"&gt;https://bookdown.org/c_w_beirne/wildCo-Data-Analysis/activity.html&lt;/a&gt;&lt;span style="color:white"&gt;[.]{#wildco_lab_2021d}&lt;/span&gt;&lt;br&gt;&lt;br&gt;</v>
      </c>
      <c r="T491" s="64" t="str">
        <f t="shared" si="47"/>
        <v xml:space="preserve">    rtxt_wildco_lab_2021d: "&lt;a href=\"/08_references.html#wildco_lab_2021d\" target=\"_blank\"&gt;WildCo Lab, 2021d&lt;/a&gt;"</v>
      </c>
      <c r="U491" s="64" t="str">
        <f t="shared" si="46"/>
        <v xml:space="preserve">    rbib_wildco_lab_2021d: "WildCo Lab (2021d). *Chapter 12 Activity*. &lt;https://bookdown.org/c_w_beirne/wildCo-Data-Analysis/activity.html&gt;"</v>
      </c>
      <c r="V491" s="64"/>
    </row>
    <row r="492" spans="1:22" ht="15.75">
      <c r="A492" s="64"/>
      <c r="B492" s="77"/>
      <c r="C492" s="77"/>
      <c r="D492" s="77"/>
      <c r="E492" s="64" t="s">
        <v>1904</v>
      </c>
      <c r="F492" s="64" t="s">
        <v>4471</v>
      </c>
      <c r="G492" s="64" t="s">
        <v>4469</v>
      </c>
      <c r="H492" s="64" t="s">
        <v>1953</v>
      </c>
      <c r="I492" s="64" t="b">
        <v>1</v>
      </c>
      <c r="J492" s="67" t="s">
        <v>4468</v>
      </c>
      <c r="K492" s="66" t="s">
        <v>3960</v>
      </c>
      <c r="L492" s="64" t="s">
        <v>4470</v>
      </c>
      <c r="M492" s="64" t="s">
        <v>5699</v>
      </c>
      <c r="N492" s="65" t="str">
        <f t="shared" si="48"/>
        <v>[WildCo Lab (2021e). &lt;i&gt;Chapter 14 Behavior&lt;/i&gt;. &lt;a target="_blank" href="https://bookdown.org/c_w_beirne/wildCo-Data-Analysis/behavior.html"&gt;{https://bookdown.org/c_w_beirne/wildCo-Data-Analysis/behavior.html}]{#wildco_lab_2021e}&lt;br&gt;&lt;br&gt;</v>
      </c>
      <c r="O492" s="64" t="s">
        <v>1955</v>
      </c>
      <c r="P492" s="64" t="s">
        <v>984</v>
      </c>
      <c r="Q492" s="64" t="str">
        <f t="shared" si="44"/>
        <v>{{ rtxt_wildco_lab_2021e }}</v>
      </c>
      <c r="R492" s="64" t="str">
        <f t="shared" si="45"/>
        <v>{{ rbib_wildco_lab_2021e }}</v>
      </c>
      <c r="S492" s="63" t="str">
        <f t="shared" si="49"/>
        <v>WildCo Lab (2021e). &lt;i&gt;Chapter 14 Behavior&lt;/i&gt;. &lt;a href="https://bookdown.org/c_w_beirne/wildCo-Data-Analysis/behavior.html" target="_blank"&gt;https://bookdown.org/c_w_beirne/wildCo-Data-Analysis/behavior.html&lt;/a&gt;&lt;span style="color:white"&gt;[.]{#wildco_lab_2021e}&lt;/span&gt;&lt;br&gt;&lt;br&gt;</v>
      </c>
      <c r="T492" s="64" t="str">
        <f t="shared" si="47"/>
        <v xml:space="preserve">    rtxt_wildco_lab_2021e: "&lt;a href=\"/08_references.html#wildco_lab_2021e\" target=\"_blank\"&gt;WildCo Lab, 2021e&lt;/a&gt;"</v>
      </c>
      <c r="U492" s="64" t="str">
        <f t="shared" si="46"/>
        <v xml:space="preserve">    rbib_wildco_lab_2021e: "WildCo Lab (2021e). *Chapter 14 Behavior*. &lt;https://bookdown.org/c_w_beirne/wildCo-Data-Analysis/behavior.html&gt;"</v>
      </c>
      <c r="V492" s="64"/>
    </row>
    <row r="493" spans="1:22" ht="15.75">
      <c r="A493" s="64"/>
      <c r="B493" s="77"/>
      <c r="C493" s="77"/>
      <c r="D493" s="77"/>
      <c r="E493" s="64" t="s">
        <v>1939</v>
      </c>
      <c r="F493" s="64" t="s">
        <v>1938</v>
      </c>
      <c r="G493" s="64" t="s">
        <v>1937</v>
      </c>
      <c r="H493" s="64" t="s">
        <v>1936</v>
      </c>
      <c r="I493" s="64" t="b">
        <v>1</v>
      </c>
      <c r="J493" s="66" t="s">
        <v>1935</v>
      </c>
      <c r="K493" s="66" t="s">
        <v>3960</v>
      </c>
      <c r="L493" s="64" t="s">
        <v>4290</v>
      </c>
      <c r="M493" s="64" t="s">
        <v>6054</v>
      </c>
      <c r="N493" s="65" t="str">
        <f t="shared" si="48"/>
        <v>[Williams, B. K., Nichols, J. D., &amp; Conroy, M. J. (2002). &lt;i&gt;Analysis and Management of Animal Populations: Modeling, Estimation, and Decision Making&lt;/i&gt;. Book, Whole. San Diego: Academic Press. &lt;a target="_blank" href="https://go.exlibris.link/qSfqP9dC"&gt;{https://go.exlibris.link/qSfqP9dC}]{#williams_et_al_2002}&lt;br&gt;&lt;br&gt;</v>
      </c>
      <c r="O493" s="64" t="s">
        <v>1934</v>
      </c>
      <c r="P493" s="64" t="s">
        <v>984</v>
      </c>
      <c r="Q493" s="64" t="str">
        <f t="shared" si="44"/>
        <v>{{ rtxt_williams_et_al_2002 }}</v>
      </c>
      <c r="R493" s="64" t="str">
        <f t="shared" si="45"/>
        <v>{{ rbib_williams_et_al_2002 }}</v>
      </c>
      <c r="S493" s="63" t="str">
        <f t="shared" si="49"/>
        <v>Williams, B. K., Nichols, J. D., &amp; Conroy, M. J. (2002). &lt;i&gt;Analysis and Management of Animal Populations: Modeling, Estimation, and Decision Making&lt;/i&gt;. Book, Whole. San Diego: Academic Press. &lt;a href="https://go.exlibris.link/qSfqP9dC" target="_blank"&gt;https://go.exlibris.link/qSfqP9dC&lt;/a&gt;&lt;span style="color:white"&gt;[.]{#williams_et_al_2002}&lt;/span&gt;&lt;br&gt;&lt;br&gt;</v>
      </c>
      <c r="T493" s="64" t="str">
        <f t="shared" si="47"/>
        <v xml:space="preserve">    rtxt_williams_et_al_2002: "&lt;a href=\"/08_references.html#williams_et_al_2002\" target=\"_blank\"&gt;Williams et al., 2002&lt;/a&gt;"</v>
      </c>
      <c r="U493" s="64" t="str">
        <f t="shared" si="46"/>
        <v xml:space="preserve">    rbib_williams_et_al_2002: "Williams, B. K., Nichols, J. D., &amp; Conroy, M. J. (2002). *Analysis and Management of Animal Populations: Modeling, Estimation, and Decision Making*. Book, Whole. San Diego: Academic Press. &lt;https://go.exlibris.link/qSfqP9dC&gt;"</v>
      </c>
      <c r="V493" s="64"/>
    </row>
    <row r="494" spans="1:22" ht="14.25" customHeight="1">
      <c r="A494" s="64"/>
      <c r="B494" s="77"/>
      <c r="C494" s="77"/>
      <c r="D494" s="77"/>
      <c r="E494" s="64" t="s">
        <v>1904</v>
      </c>
      <c r="F494" s="64" t="s">
        <v>1933</v>
      </c>
      <c r="G494" s="64" t="s">
        <v>1932</v>
      </c>
      <c r="H494" s="64" t="s">
        <v>1932</v>
      </c>
      <c r="I494" s="64" t="b">
        <v>1</v>
      </c>
      <c r="J494" s="66" t="s">
        <v>1931</v>
      </c>
      <c r="K494" s="66" t="s">
        <v>3960</v>
      </c>
      <c r="L494" s="64" t="s">
        <v>4291</v>
      </c>
      <c r="M494" s="64" t="s">
        <v>6022</v>
      </c>
      <c r="N494" s="65" t="str">
        <f t="shared" si="48"/>
        <v>[Windell, R. M., Lewis, J. S., Gramza, A. R., &amp; Crooks, K. R. (2019). Carnivore Carrying Behavior as Documented with Wildlife Camera Traps. &lt;i&gt;Western North American Naturalist, 79&lt;/i&gt;(4), 471. &lt;a target="_blank" href="https://doi.org/10.3398/064.079.0401"&gt;{https://doi.org/10.3398/064.079.0401}]{#windell_et_al_2019}&lt;br&gt;&lt;br&gt;</v>
      </c>
      <c r="O494" s="64" t="s">
        <v>1930</v>
      </c>
      <c r="P494" s="64" t="s">
        <v>984</v>
      </c>
      <c r="Q494" s="64" t="str">
        <f t="shared" si="44"/>
        <v>{{ rtxt_windell_et_al_2019 }}</v>
      </c>
      <c r="R494" s="64" t="str">
        <f t="shared" si="45"/>
        <v>{{ rbib_windell_et_al_2019 }}</v>
      </c>
      <c r="S494" s="63" t="str">
        <f t="shared" si="49"/>
        <v>Windell, R. M., Lewis, J. S., Gramza, A. R., &amp; Crooks, K. R. (2019). Carnivore Carrying Behavior as Documented with Wildlife Camera Traps. &lt;i&gt;Western North American Naturalist, 79&lt;/i&gt;(4), 471. &lt;a href="https://doi.org/10.3398/064.079.0401" target="_blank"&gt;https://doi.org/10.3398/064.079.0401&lt;/a&gt;&lt;span style="color:white"&gt;[.]{#windell_et_al_2019}&lt;/span&gt;&lt;br&gt;&lt;br&gt;</v>
      </c>
      <c r="T494" s="64" t="str">
        <f t="shared" si="47"/>
        <v xml:space="preserve">    rtxt_windell_et_al_2019: "&lt;a href=\"/08_references.html#windell_et_al_2019\" target=\"_blank\"&gt;Windell et al., 2019&lt;/a&gt;"</v>
      </c>
      <c r="U494" s="64" t="str">
        <f t="shared" si="46"/>
        <v xml:space="preserve">    rbib_windell_et_al_2019: "Windell, R. M., Lewis, J. S., Gramza, A. R., &amp; Crooks, K. R. (2019). Carnivore Carrying Behavior as Documented with Wildlife Camera Traps. *Western North American Naturalist, 79*(4), 471. &lt;https://doi.org/10.3398/064.079.0401&gt;"</v>
      </c>
      <c r="V494" s="64"/>
    </row>
    <row r="495" spans="1:22" ht="15.75">
      <c r="A495" s="64"/>
      <c r="B495" s="77" t="b">
        <v>1</v>
      </c>
      <c r="C495" s="77" t="b">
        <v>0</v>
      </c>
      <c r="D495" s="77" t="b">
        <v>0</v>
      </c>
      <c r="E495" s="64" t="s">
        <v>1904</v>
      </c>
      <c r="F495" s="64" t="s">
        <v>1929</v>
      </c>
      <c r="G495" s="64" t="s">
        <v>1928</v>
      </c>
      <c r="H495" s="64" t="s">
        <v>1927</v>
      </c>
      <c r="I495" s="64" t="b">
        <v>1</v>
      </c>
      <c r="J495" s="66" t="s">
        <v>1926</v>
      </c>
      <c r="K495" s="66" t="s">
        <v>3960</v>
      </c>
      <c r="L495" s="64" t="s">
        <v>4292</v>
      </c>
      <c r="M495" s="64" t="s">
        <v>5727</v>
      </c>
      <c r="N495" s="65" t="str">
        <f t="shared" si="48"/>
        <v>[Young, S., Rode-Margono, J., &amp; Amin, R. (2018). Software to facilitate and streamline camera trap data management: A review. &lt;i&gt;Ecology and Evolution, 8&lt;/i&gt;(19), 9947-9957. &lt;a target="_blank" href="https://doi.org/10.1002/ece3.4464"&gt;{https://doi.org/10.1002/ece3.4464}]{#young_et_al_2018}&lt;br&gt;&lt;br&gt;</v>
      </c>
      <c r="O495" s="64" t="s">
        <v>1925</v>
      </c>
      <c r="P495" s="64" t="s">
        <v>984</v>
      </c>
      <c r="Q495" s="64" t="str">
        <f t="shared" si="44"/>
        <v>{{ rtxt_young_et_al_2018 }}</v>
      </c>
      <c r="R495" s="64" t="str">
        <f t="shared" si="45"/>
        <v>{{ rbib_young_et_al_2018 }}</v>
      </c>
      <c r="S495" s="63" t="str">
        <f t="shared" si="49"/>
        <v>Young, S., Rode-Margono, J., &amp; Amin, R. (2018). Software to facilitate and streamline camera trap data management: A review. &lt;i&gt;Ecology and Evolution, 8&lt;/i&gt;(19), 9947-9957. &lt;a href="https://doi.org/10.1002/ece3.4464" target="_blank"&gt;https://doi.org/10.1002/ece3.4464&lt;/a&gt;&lt;span style="color:white"&gt;[.]{#young_et_al_2018}&lt;/span&gt;&lt;br&gt;&lt;br&gt;</v>
      </c>
      <c r="T495" s="64" t="str">
        <f t="shared" si="47"/>
        <v xml:space="preserve">    rtxt_young_et_al_2018: "&lt;a href=\"/08_references.html#young_et_al_2018\" target=\"_blank\"&gt;Young et al., 2018&lt;/a&gt;"</v>
      </c>
      <c r="U495" s="64" t="str">
        <f t="shared" si="46"/>
        <v xml:space="preserve">    rbib_young_et_al_2018: "Young, S., Rode-Margono, J., &amp; Amin, R. (2018). Software to facilitate and streamline camera trap data management: A review. *Ecology and Evolution, 8*(19), 9947-9957. &lt;https://doi.org/10.1002/ece3.4464&gt;"</v>
      </c>
      <c r="V495" s="64"/>
    </row>
    <row r="496" spans="1:22" ht="15.75">
      <c r="A496" s="64"/>
      <c r="B496" s="77"/>
      <c r="C496" s="77"/>
      <c r="D496" s="77"/>
      <c r="E496" s="64" t="s">
        <v>1904</v>
      </c>
      <c r="F496" s="64" t="s">
        <v>1924</v>
      </c>
      <c r="G496" s="64" t="s">
        <v>1923</v>
      </c>
      <c r="H496" s="64"/>
      <c r="I496" s="64" t="b">
        <v>1</v>
      </c>
      <c r="J496" s="66" t="s">
        <v>1922</v>
      </c>
      <c r="K496" s="66" t="s">
        <v>3960</v>
      </c>
      <c r="L496" s="64" t="s">
        <v>4293</v>
      </c>
      <c r="M496" s="64" t="s">
        <v>5725</v>
      </c>
      <c r="N496" s="65" t="str">
        <f t="shared" si="48"/>
        <v>[Yu, H., Lin, Z., &amp; F. Xiao. (2024). Role of Body Size and Shape in Animal Camouflage. &lt;i&gt;Ecology and Evolution, 14&lt;/i&gt;(5), e11434. &lt;a target="_blank" href="https://doi.org/10.1002/ece3.11434"&gt;{https://doi.org/10.1002/ece3.11434}]{#yu_et_al_2024}&lt;br&gt;&lt;br&gt;</v>
      </c>
      <c r="O496" s="64" t="s">
        <v>1921</v>
      </c>
      <c r="P496" s="64" t="s">
        <v>984</v>
      </c>
      <c r="Q496" s="64" t="str">
        <f t="shared" si="44"/>
        <v>{{ rtxt_yu_et_al_2024 }}</v>
      </c>
      <c r="R496" s="64" t="str">
        <f t="shared" si="45"/>
        <v>{{ rbib_yu_et_al_2024 }}</v>
      </c>
      <c r="S496" s="63" t="str">
        <f t="shared" si="49"/>
        <v>Yu, H., Lin, Z., &amp; F. Xiao. (2024). Role of Body Size and Shape in Animal Camouflage. &lt;i&gt;Ecology and Evolution, 14&lt;/i&gt;(5), e11434. &lt;a href="https://doi.org/10.1002/ece3.11434" target="_blank"&gt;https://doi.org/10.1002/ece3.11434&lt;/a&gt;&lt;span style="color:white"&gt;[.]{#yu_et_al_2024}&lt;/span&gt;&lt;br&gt;&lt;br&gt;</v>
      </c>
      <c r="T496" s="64" t="str">
        <f t="shared" si="47"/>
        <v xml:space="preserve">    rtxt_yu_et_al_2024: "&lt;a href=\"/08_references.html#yu_et_al_2024\" target=\"_blank\"&gt;Yu et al., 2024&lt;/a&gt;"</v>
      </c>
      <c r="U496" s="64" t="str">
        <f t="shared" si="46"/>
        <v xml:space="preserve">    rbib_yu_et_al_2024: "Yu, H., Lin, Z., &amp; F. Xiao. (2024). Role of Body Size and Shape in Animal Camouflage. *Ecology and Evolution, 14*(5), e11434. &lt;https://doi.org/10.1002/ece3.11434&gt;"</v>
      </c>
      <c r="V496" s="64"/>
    </row>
    <row r="497" spans="1:22" ht="15.75">
      <c r="A497" s="64"/>
      <c r="B497" s="77" t="b">
        <v>0</v>
      </c>
      <c r="C497" s="77" t="b">
        <v>0</v>
      </c>
      <c r="D497" s="77" t="b">
        <v>1</v>
      </c>
      <c r="E497" s="64" t="s">
        <v>1904</v>
      </c>
      <c r="F497" s="64" t="s">
        <v>1920</v>
      </c>
      <c r="G497" s="64" t="s">
        <v>1919</v>
      </c>
      <c r="H497" s="64" t="s">
        <v>1919</v>
      </c>
      <c r="I497" s="64" t="b">
        <v>1</v>
      </c>
      <c r="J497" s="66" t="s">
        <v>1918</v>
      </c>
      <c r="K497" s="66" t="s">
        <v>3960</v>
      </c>
      <c r="L497" s="64" t="s">
        <v>4294</v>
      </c>
      <c r="M497" s="64" t="s">
        <v>5998</v>
      </c>
      <c r="N497" s="65" t="str">
        <f t="shared" si="48"/>
        <v>[Yue, S., Brodie, J. F., Zipkin, E. F., &amp; Bernard, H. (2015). Oil palm plantations fail to support mammal diversity. &lt;i&gt;Ecological Applications, 25&lt;/i&gt;(8), 2285-2292. &lt;a target="_blank" href="https://doi.org/10.1890/14-1928.1"&gt;{https://doi.org/10.1890/14-1928.1}]{#yue_et_al_2015}&lt;br&gt;&lt;br&gt;</v>
      </c>
      <c r="O497" s="64" t="s">
        <v>1917</v>
      </c>
      <c r="P497" s="64" t="s">
        <v>984</v>
      </c>
      <c r="Q497" s="64" t="str">
        <f t="shared" si="44"/>
        <v>{{ rtxt_yue_et_al_2015 }}</v>
      </c>
      <c r="R497" s="64" t="str">
        <f t="shared" si="45"/>
        <v>{{ rbib_yue_et_al_2015 }}</v>
      </c>
      <c r="S497" s="63" t="str">
        <f t="shared" si="49"/>
        <v>Yue, S., Brodie, J. F., Zipkin, E. F., &amp; Bernard, H. (2015). Oil palm plantations fail to support mammal diversity. &lt;i&gt;Ecological Applications, 25&lt;/i&gt;(8), 2285-2292. &lt;a href="https://doi.org/10.1890/14-1928.1" target="_blank"&gt;https://doi.org/10.1890/14-1928.1&lt;/a&gt;&lt;span style="color:white"&gt;[.]{#yue_et_al_2015}&lt;/span&gt;&lt;br&gt;&lt;br&gt;</v>
      </c>
      <c r="T497" s="64" t="str">
        <f t="shared" si="47"/>
        <v xml:space="preserve">    rtxt_yue_et_al_2015: "&lt;a href=\"/08_references.html#yue_et_al_2015\" target=\"_blank\"&gt;Yue et al., 2015&lt;/a&gt;"</v>
      </c>
      <c r="U497" s="64" t="str">
        <f t="shared" si="46"/>
        <v xml:space="preserve">    rbib_yue_et_al_2015: "Yue, S., Brodie, J. F., Zipkin, E. F., &amp; Bernard, H. (2015). Oil palm plantations fail to support mammal diversity. *Ecological Applications, 25*(8), 2285-2292. &lt;https://doi.org/10.1890/14-1928.1&gt;"</v>
      </c>
      <c r="V497" s="64"/>
    </row>
    <row r="498" spans="1:22" ht="15.75">
      <c r="A498" s="64"/>
      <c r="B498" s="77" t="b">
        <v>0</v>
      </c>
      <c r="C498" s="77" t="b">
        <v>0</v>
      </c>
      <c r="D498" s="77" t="b">
        <v>1</v>
      </c>
      <c r="E498" s="64" t="s">
        <v>1904</v>
      </c>
      <c r="F498" s="64" t="s">
        <v>1916</v>
      </c>
      <c r="G498" s="64" t="s">
        <v>1915</v>
      </c>
      <c r="H498" s="64" t="s">
        <v>1915</v>
      </c>
      <c r="I498" s="64" t="b">
        <v>1</v>
      </c>
      <c r="J498" s="66" t="s">
        <v>1914</v>
      </c>
      <c r="K498" s="66" t="s">
        <v>3960</v>
      </c>
      <c r="L498" s="64" t="s">
        <v>4295</v>
      </c>
      <c r="M498" s="64" t="s">
        <v>5984</v>
      </c>
      <c r="N498" s="65" t="str">
        <f t="shared" si="48"/>
        <v>[Zeileis, A., Kleiber, C., &amp; Jackman, S. (2008). Regression Models for Count Data in R. &lt;i&gt;Journal of Statistical Software, 27&lt;/i&gt;(8). &lt;a target="_blank" href="https://doi.org/10.18637/jss.v027.i08"&gt;{https://doi.org/10.18637/jss.v027.i08}]{#zeileis_et_al_2008}&lt;br&gt;&lt;br&gt;</v>
      </c>
      <c r="O498" s="64" t="s">
        <v>1913</v>
      </c>
      <c r="P498" s="64" t="s">
        <v>984</v>
      </c>
      <c r="Q498" s="64" t="str">
        <f t="shared" si="44"/>
        <v>{{ rtxt_zeileis_et_al_2008 }}</v>
      </c>
      <c r="R498" s="64" t="str">
        <f t="shared" si="45"/>
        <v>{{ rbib_zeileis_et_al_2008 }}</v>
      </c>
      <c r="S498" s="63" t="str">
        <f t="shared" si="49"/>
        <v>Zeileis, A., Kleiber, C., &amp; Jackman, S. (2008). Regression Models for Count Data in R. &lt;i&gt;Journal of Statistical Software, 27&lt;/i&gt;(8). &lt;a href="https://doi.org/10.18637/jss.v027.i08" target="_blank"&gt;https://doi.org/10.18637/jss.v027.i08&lt;/a&gt;&lt;span style="color:white"&gt;[.]{#zeileis_et_al_2008}&lt;/span&gt;&lt;br&gt;&lt;br&gt;</v>
      </c>
      <c r="T498" s="64" t="str">
        <f t="shared" si="47"/>
        <v xml:space="preserve">    rtxt_zeileis_et_al_2008: "&lt;a href=\"/08_references.html#zeileis_et_al_2008\" target=\"_blank\"&gt;Zeileis et al., 2008&lt;/a&gt;"</v>
      </c>
      <c r="U498" s="64" t="str">
        <f t="shared" si="46"/>
        <v xml:space="preserve">    rbib_zeileis_et_al_2008: "Zeileis, A., Kleiber, C., &amp; Jackman, S. (2008). Regression Models for Count Data in R. *Journal of Statistical Software, 27*(8). &lt;https://doi.org/10.18637/jss.v027.i08&gt;"</v>
      </c>
      <c r="V498" s="64"/>
    </row>
    <row r="499" spans="1:22" ht="15.75">
      <c r="A499" s="64"/>
      <c r="B499" s="77" t="b">
        <v>1</v>
      </c>
      <c r="C499" s="77" t="b">
        <v>0</v>
      </c>
      <c r="D499" s="77" t="b">
        <v>0</v>
      </c>
      <c r="E499" s="64" t="s">
        <v>1904</v>
      </c>
      <c r="F499" s="64" t="s">
        <v>1912</v>
      </c>
      <c r="G499" s="64" t="s">
        <v>1911</v>
      </c>
      <c r="H499" s="64" t="s">
        <v>1911</v>
      </c>
      <c r="I499" s="64" t="b">
        <v>1</v>
      </c>
      <c r="J499" s="66" t="s">
        <v>1910</v>
      </c>
      <c r="K499" s="66" t="s">
        <v>3960</v>
      </c>
      <c r="L499" s="64" t="s">
        <v>4296</v>
      </c>
      <c r="M499" s="64" t="s">
        <v>5952</v>
      </c>
      <c r="N499" s="65" t="str">
        <f t="shared" si="48"/>
        <v>[Zorn, C. J. W. (1998). An Analytic and Empirical Examination of Zero-inflated and Hurdle Poisson Specifications. &lt;i&gt;Sociological Methods and Research 26&lt;/i&gt;(3), 368-400. &lt;a target="_blank" href="https://doi.org/10.1177/0049124198026003004"&gt;{https://doi.org/10.1177/0049124198026003004}]{#zorn_1998}&lt;br&gt;&lt;br&gt;</v>
      </c>
      <c r="O499" s="64" t="s">
        <v>1909</v>
      </c>
      <c r="P499" s="64" t="s">
        <v>984</v>
      </c>
      <c r="Q499" s="64" t="str">
        <f t="shared" si="44"/>
        <v>{{ rtxt_zorn_1998 }}</v>
      </c>
      <c r="R499" s="64" t="str">
        <f t="shared" si="45"/>
        <v>{{ rbib_zorn_1998 }}</v>
      </c>
      <c r="S499" s="63" t="str">
        <f t="shared" si="49"/>
        <v>Zorn, C. J. W. (1998). An Analytic and Empirical Examination of Zero-inflated and Hurdle Poisson Specifications. &lt;i&gt;Sociological Methods and Research 26&lt;/i&gt;(3), 368-400. &lt;a href="https://doi.org/10.1177/0049124198026003004" target="_blank"&gt;https://doi.org/10.1177/0049124198026003004&lt;/a&gt;&lt;span style="color:white"&gt;[.]{#zorn_1998}&lt;/span&gt;&lt;br&gt;&lt;br&gt;</v>
      </c>
      <c r="T499" s="64" t="str">
        <f t="shared" si="47"/>
        <v xml:space="preserve">    rtxt_zorn_1998: "&lt;a href=\"/08_references.html#zorn_1998\" target=\"_blank\"&gt;Zorn, 1998&lt;/a&gt;"</v>
      </c>
      <c r="U499" s="64" t="str">
        <f t="shared" si="46"/>
        <v xml:space="preserve">    rbib_zorn_1998: "Zorn, C. J. W. (1998). An Analytic and Empirical Examination of Zero-inflated and Hurdle Poisson Specifications. *Sociological Methods and Research 26*(3), 368-400. &lt;https://doi.org/10.1177/0049124198026003004&gt;"</v>
      </c>
      <c r="V499" s="64"/>
    </row>
    <row r="500" spans="1:22" ht="15.75">
      <c r="A500" s="64"/>
      <c r="B500" s="77" t="b">
        <v>0</v>
      </c>
      <c r="C500" s="77" t="b">
        <v>0</v>
      </c>
      <c r="D500" s="77" t="b">
        <v>1</v>
      </c>
      <c r="E500" s="64" t="s">
        <v>1904</v>
      </c>
      <c r="F500" s="64" t="s">
        <v>1908</v>
      </c>
      <c r="G500" s="64" t="s">
        <v>1907</v>
      </c>
      <c r="H500" s="64" t="s">
        <v>1907</v>
      </c>
      <c r="I500" s="64" t="b">
        <v>1</v>
      </c>
      <c r="J500" s="66" t="s">
        <v>1906</v>
      </c>
      <c r="K500" s="66" t="s">
        <v>3960</v>
      </c>
      <c r="L500" s="64" t="s">
        <v>4297</v>
      </c>
      <c r="M500" s="64" t="s">
        <v>5806</v>
      </c>
      <c r="N500" s="65" t="str">
        <f t="shared" si="48"/>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href="https://doi.org/10.1007/s40823-020-00059-4"&gt;{https://doi.org/10.1007/s40823-020-00059-4}]{#zuckerberg_et_al_2020}&lt;br&gt;&lt;br&gt;</v>
      </c>
      <c r="O500" s="64" t="s">
        <v>1905</v>
      </c>
      <c r="P500" s="64" t="s">
        <v>984</v>
      </c>
      <c r="Q500" s="64" t="str">
        <f t="shared" si="44"/>
        <v>{{ rtxt_zuckerberg_et_al_2020 }}</v>
      </c>
      <c r="R500" s="64" t="str">
        <f t="shared" si="45"/>
        <v>{{ rbib_zuckerberg_et_al_2020 }}</v>
      </c>
      <c r="S500" s="63" t="str">
        <f t="shared" si="49"/>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target="_blank"&gt;https://doi.org/10.1007/s40823-020-00059-4&lt;/a&gt;&lt;span style="color:white"&gt;[.]{#zuckerberg_et_al_2020}&lt;/span&gt;&lt;br&gt;&lt;br&gt;</v>
      </c>
      <c r="T500" s="64" t="str">
        <f t="shared" si="47"/>
        <v xml:space="preserve">    rtxt_zuckerberg_et_al_2020: "&lt;a href=\"/08_references.html#zuckerberg_et_al_2020\" target=\"_blank\"&gt;Zuckerberg et al., 2020&lt;/a&gt;"</v>
      </c>
      <c r="U500" s="64" t="str">
        <f t="shared" si="46"/>
        <v xml:space="preserve">    rbib_zuckerberg_et_al_2020: "Zuckerberg,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v>
      </c>
      <c r="V500" s="64"/>
    </row>
    <row r="501" spans="1:22" ht="15.75">
      <c r="A501" s="64"/>
      <c r="B501" s="77" t="b">
        <v>1</v>
      </c>
      <c r="C501" s="77" t="b">
        <v>0</v>
      </c>
      <c r="D501" s="77" t="b">
        <v>0</v>
      </c>
      <c r="E501" s="64" t="s">
        <v>1904</v>
      </c>
      <c r="F501" s="64" t="s">
        <v>1903</v>
      </c>
      <c r="G501" s="64" t="s">
        <v>1902</v>
      </c>
      <c r="H501" s="64" t="s">
        <v>1901</v>
      </c>
      <c r="I501" s="64" t="b">
        <v>1</v>
      </c>
      <c r="J501" s="66" t="s">
        <v>1900</v>
      </c>
      <c r="K501" s="66" t="s">
        <v>3960</v>
      </c>
      <c r="L501" s="64" t="s">
        <v>3961</v>
      </c>
      <c r="M501" s="64" t="s">
        <v>5939</v>
      </c>
      <c r="N501" s="65" t="str">
        <f t="shared" si="48"/>
        <v>[Zuur, A. K., Ieno, E. N., &amp; Smith, G. M. (2007). Generalised linear modelling. In, M. Gail, K. Krickeberg, J. Samet, A. Tsiatis, &amp; W. Wong (Eds.), &lt;i&gt;Analysing Ecological Data&lt;/i&gt; (pp 79-96). Springer. &lt;a target="_blank" href="https://doi.org/10.1111/j.1751-5823.2007.00030_17.x"&gt;{https://doi.org/10.1111/j.1751-5823.2007.00030_17.x}]{#zuur_et_al_2007}&lt;br&gt;&lt;br&gt;</v>
      </c>
      <c r="O501" s="64" t="s">
        <v>1899</v>
      </c>
      <c r="P501" s="64" t="s">
        <v>984</v>
      </c>
      <c r="Q501" s="64" t="str">
        <f t="shared" si="44"/>
        <v>{{ rtxt_zuur_et_al_2007 }}</v>
      </c>
      <c r="R501" s="64" t="str">
        <f t="shared" si="45"/>
        <v>{{ rbib_zuur_et_al_2007 }}</v>
      </c>
      <c r="S501" s="63" t="str">
        <f>M501&amp;IF(O501&lt;&gt;"-",(" &lt;a href="&amp;""""&amp;O501&amp;""""&amp;" target="&amp;""""&amp;"_blank"&amp;""""&amp;"&gt;"&amp;O501&amp;"&lt;/a&gt;&lt;span style="&amp;""""&amp;"color:white"&amp;""""&amp;"&gt;[.]{#"&amp;F501&amp;"}&lt;/span&gt;&lt;br&gt;&lt;br&gt;"),"")</f>
        <v>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target="_blank"&gt;https://doi.org/10.1111/j.1751-5823.2007.00030_17.x&lt;/a&gt;&lt;span style="color:white"&gt;[.]{#zuur_et_al_2007}&lt;/span&gt;&lt;br&gt;&lt;br&gt;</v>
      </c>
      <c r="T501" s="64" t="str">
        <f t="shared" si="47"/>
        <v xml:space="preserve">    rtxt_zuur_et_al_2007: "&lt;a href=\"/08_references.html#zuur_et_al_2007\" target=\"_blank\"&gt;Zuur et al., 2007&lt;/a&gt;"</v>
      </c>
      <c r="U501" s="64" t="str">
        <f t="shared" si="46"/>
        <v xml:space="preserve">    rbib_zuur_et_al_2007: "Zuur, A. K., Ieno, E. N., &amp; Smith, G. M. (2007). Generalised linear modelling. In, M. Gail, K. Krickeberg, J. Samet, A. Tsiatis, &amp; W. Wong (Eds.), *Analysing Ecological Data* (pp 79-96). Springer. &lt;https://doi.org/10.1111/j.1751-5823.2007.00030_17.x&gt;"</v>
      </c>
      <c r="V501" s="64"/>
    </row>
  </sheetData>
  <autoFilter ref="A1:V501" xr:uid="{AD7FDF34-47F1-4589-8184-0190809406A7}">
    <sortState xmlns:xlrd2="http://schemas.microsoft.com/office/spreadsheetml/2017/richdata2" ref="A2:V501">
      <sortCondition ref="J1:J501"/>
    </sortState>
  </autoFilter>
  <conditionalFormatting sqref="F1:F496 F499:F1048576">
    <cfRule type="duplicateValues" dxfId="16" priority="1"/>
  </conditionalFormatting>
  <hyperlinks>
    <hyperlink ref="O68" r:id="rId1" xr:uid="{10EE8A58-AA15-4717-92E9-C8C3387FE84C}"/>
    <hyperlink ref="P127" r:id="rId2" xr:uid="{E01E6499-B7F2-4592-A332-E85233A60E3C}"/>
    <hyperlink ref="O202" r:id="rId3" xr:uid="{1E344269-9457-4651-9DBC-3C68CA203D23}"/>
    <hyperlink ref="O351" r:id="rId4" xr:uid="{AAE198DE-9DF0-4C1F-A886-7C233A0FCBA2}"/>
    <hyperlink ref="O411" r:id="rId5" xr:uid="{733C3313-9764-4D69-9DE7-0B8804CE203B}"/>
    <hyperlink ref="O165" r:id="rId6" xr:uid="{880B13C0-5413-46E3-BBAF-42481FCFA051}"/>
  </hyperlinks>
  <pageMargins left="0.7" right="0.7" top="0.75" bottom="0.75" header="0.3" footer="0.3"/>
  <pageSetup orientation="portrait" r:id="rId7"/>
  <legacyDrawing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6063-AD25-400C-96A0-9F66E39047D7}">
  <dimension ref="A1:D1000"/>
  <sheetViews>
    <sheetView workbookViewId="0">
      <selection activeCell="D36" sqref="D36"/>
    </sheetView>
  </sheetViews>
  <sheetFormatPr defaultColWidth="12.625" defaultRowHeight="15" customHeight="1"/>
  <cols>
    <col min="1" max="1" width="14.25" style="112" customWidth="1"/>
    <col min="2" max="3" width="32.875" style="112" customWidth="1"/>
    <col min="4" max="4" width="32.75" style="112" customWidth="1"/>
    <col min="5" max="26" width="8.625" style="112" customWidth="1"/>
    <col min="27" max="16384" width="12.625" style="112"/>
  </cols>
  <sheetData>
    <row r="1" spans="1:4" ht="14.25" customHeight="1">
      <c r="A1" s="114" t="s">
        <v>6222</v>
      </c>
      <c r="B1" s="115" t="s">
        <v>6221</v>
      </c>
      <c r="C1" s="115" t="s">
        <v>6220</v>
      </c>
      <c r="D1" s="114" t="s">
        <v>6219</v>
      </c>
    </row>
    <row r="2" spans="1:4" ht="14.25" customHeight="1">
      <c r="A2" s="112" t="s">
        <v>6218</v>
      </c>
      <c r="B2" s="112" t="s">
        <v>6217</v>
      </c>
      <c r="C2" s="112" t="s">
        <v>6217</v>
      </c>
      <c r="D2" s="112" t="s">
        <v>6216</v>
      </c>
    </row>
    <row r="3" spans="1:4" ht="14.25" customHeight="1">
      <c r="A3" s="112" t="s">
        <v>6215</v>
      </c>
      <c r="B3" s="112" t="s">
        <v>6214</v>
      </c>
      <c r="C3" s="112" t="s">
        <v>6214</v>
      </c>
      <c r="D3" s="112" t="s">
        <v>6213</v>
      </c>
    </row>
    <row r="4" spans="1:4" ht="14.25" customHeight="1">
      <c r="A4" s="112" t="s">
        <v>6212</v>
      </c>
      <c r="B4" s="112" t="s">
        <v>6211</v>
      </c>
      <c r="C4" s="112" t="s">
        <v>6211</v>
      </c>
      <c r="D4" s="112" t="s">
        <v>6210</v>
      </c>
    </row>
    <row r="5" spans="1:4" ht="14.25" customHeight="1">
      <c r="A5" s="112" t="s">
        <v>6209</v>
      </c>
      <c r="B5" s="112" t="s">
        <v>6208</v>
      </c>
      <c r="C5" s="112" t="s">
        <v>6208</v>
      </c>
      <c r="D5" s="112" t="s">
        <v>6207</v>
      </c>
    </row>
    <row r="6" spans="1:4" ht="14.25" customHeight="1">
      <c r="A6" s="112" t="s">
        <v>6206</v>
      </c>
      <c r="B6" s="112" t="s">
        <v>6205</v>
      </c>
      <c r="C6" s="112" t="s">
        <v>6205</v>
      </c>
      <c r="D6" s="112" t="s">
        <v>6181</v>
      </c>
    </row>
    <row r="7" spans="1:4" ht="14.25" customHeight="1">
      <c r="A7" s="112" t="s">
        <v>6204</v>
      </c>
      <c r="B7" s="112" t="s">
        <v>6203</v>
      </c>
      <c r="C7" s="112" t="s">
        <v>6203</v>
      </c>
      <c r="D7" s="112" t="s">
        <v>6198</v>
      </c>
    </row>
    <row r="8" spans="1:4" ht="14.25" customHeight="1">
      <c r="A8" s="112" t="s">
        <v>6202</v>
      </c>
      <c r="B8" s="112" t="s">
        <v>6190</v>
      </c>
      <c r="C8" s="112" t="s">
        <v>6190</v>
      </c>
      <c r="D8" s="112" t="s">
        <v>6188</v>
      </c>
    </row>
    <row r="9" spans="1:4" ht="14.25" customHeight="1">
      <c r="A9" s="112" t="s">
        <v>6201</v>
      </c>
      <c r="B9" s="113" t="s">
        <v>51</v>
      </c>
      <c r="C9" s="112" t="s">
        <v>95</v>
      </c>
      <c r="D9" s="112" t="s">
        <v>6198</v>
      </c>
    </row>
    <row r="10" spans="1:4" ht="14.25" customHeight="1">
      <c r="A10" s="112" t="s">
        <v>6200</v>
      </c>
      <c r="B10" s="113" t="s">
        <v>51</v>
      </c>
      <c r="C10" s="112" t="s">
        <v>6199</v>
      </c>
      <c r="D10" s="112" t="s">
        <v>6198</v>
      </c>
    </row>
    <row r="11" spans="1:4" ht="14.25" customHeight="1">
      <c r="A11" s="112" t="s">
        <v>6197</v>
      </c>
      <c r="B11" s="113" t="s">
        <v>51</v>
      </c>
      <c r="C11" s="112" t="s">
        <v>6196</v>
      </c>
    </row>
    <row r="12" spans="1:4" ht="14.25" customHeight="1">
      <c r="A12" s="112" t="s">
        <v>6195</v>
      </c>
      <c r="B12" s="113" t="s">
        <v>51</v>
      </c>
      <c r="C12" s="112" t="s">
        <v>6194</v>
      </c>
    </row>
    <row r="13" spans="1:4" ht="14.25" customHeight="1">
      <c r="A13" s="112" t="s">
        <v>6193</v>
      </c>
      <c r="B13" s="112" t="s">
        <v>6190</v>
      </c>
      <c r="C13" s="112" t="s">
        <v>6192</v>
      </c>
      <c r="D13" s="112" t="s">
        <v>6188</v>
      </c>
    </row>
    <row r="14" spans="1:4" ht="14.25" customHeight="1">
      <c r="A14" s="112" t="s">
        <v>6191</v>
      </c>
      <c r="B14" s="112" t="s">
        <v>6190</v>
      </c>
      <c r="C14" s="112" t="s">
        <v>6189</v>
      </c>
      <c r="D14" s="112" t="s">
        <v>6188</v>
      </c>
    </row>
    <row r="15" spans="1:4" ht="14.25" customHeight="1">
      <c r="A15" s="112" t="s">
        <v>6187</v>
      </c>
      <c r="B15" s="113" t="s">
        <v>51</v>
      </c>
      <c r="C15" s="112" t="s">
        <v>6186</v>
      </c>
      <c r="D15" s="112" t="s">
        <v>6181</v>
      </c>
    </row>
    <row r="16" spans="1:4" ht="14.25" customHeight="1">
      <c r="A16" s="112" t="s">
        <v>6185</v>
      </c>
      <c r="B16" s="113" t="s">
        <v>51</v>
      </c>
      <c r="C16" s="112" t="s">
        <v>6184</v>
      </c>
      <c r="D16" s="112" t="s">
        <v>6181</v>
      </c>
    </row>
    <row r="17" spans="1:4" ht="14.25" customHeight="1">
      <c r="A17" s="112" t="s">
        <v>6183</v>
      </c>
      <c r="B17" s="113" t="s">
        <v>51</v>
      </c>
      <c r="C17" s="112" t="s">
        <v>6182</v>
      </c>
      <c r="D17" s="112" t="s">
        <v>6181</v>
      </c>
    </row>
    <row r="18" spans="1:4" ht="14.25" customHeight="1"/>
    <row r="19" spans="1:4" ht="14.25" customHeight="1"/>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s="112" customFormat="1" ht="14.25" customHeight="1"/>
    <row r="34" s="112" customFormat="1" ht="14.25" customHeight="1"/>
    <row r="35" s="112" customFormat="1" ht="14.25" customHeight="1"/>
    <row r="36" s="112" customFormat="1" ht="14.25" customHeight="1"/>
    <row r="37" s="112" customFormat="1" ht="14.25" customHeight="1"/>
    <row r="38" s="112" customFormat="1" ht="14.25" customHeight="1"/>
    <row r="39" s="112" customFormat="1" ht="14.25" customHeight="1"/>
    <row r="40" s="112" customFormat="1" ht="14.25" customHeight="1"/>
    <row r="41" s="112" customFormat="1" ht="14.25" customHeight="1"/>
    <row r="42" s="112" customFormat="1" ht="14.25" customHeight="1"/>
    <row r="43" s="112" customFormat="1" ht="14.25" customHeight="1"/>
    <row r="44" s="112" customFormat="1" ht="14.25" customHeight="1"/>
    <row r="45" s="112" customFormat="1" ht="14.25" customHeight="1"/>
    <row r="46" s="112" customFormat="1" ht="14.25" customHeight="1"/>
    <row r="47" s="112" customFormat="1" ht="14.25" customHeight="1"/>
    <row r="48" s="112" customFormat="1" ht="14.25" customHeight="1"/>
    <row r="49" s="112" customFormat="1" ht="14.25" customHeight="1"/>
    <row r="50" s="112" customFormat="1" ht="14.25" customHeight="1"/>
    <row r="51" s="112" customFormat="1" ht="14.25" customHeight="1"/>
    <row r="52" s="112" customFormat="1" ht="14.25" customHeight="1"/>
    <row r="53" s="112" customFormat="1" ht="14.25" customHeight="1"/>
    <row r="54" s="112" customFormat="1" ht="14.25" customHeight="1"/>
    <row r="55" s="112" customFormat="1" ht="14.25" customHeight="1"/>
    <row r="56" s="112" customFormat="1" ht="14.25" customHeight="1"/>
    <row r="57" s="112" customFormat="1" ht="14.25" customHeight="1"/>
    <row r="58" s="112" customFormat="1" ht="14.25" customHeight="1"/>
    <row r="59" s="112" customFormat="1" ht="14.25" customHeight="1"/>
    <row r="60" s="112" customFormat="1" ht="14.25" customHeight="1"/>
    <row r="61" s="112" customFormat="1" ht="14.25" customHeight="1"/>
    <row r="62" s="112" customFormat="1" ht="14.25" customHeight="1"/>
    <row r="63" s="112" customFormat="1" ht="14.25" customHeight="1"/>
    <row r="64" s="112" customFormat="1" ht="14.25" customHeight="1"/>
    <row r="65" s="112" customFormat="1" ht="14.25" customHeight="1"/>
    <row r="66" s="112" customFormat="1" ht="14.25" customHeight="1"/>
    <row r="67" s="112" customFormat="1" ht="14.25" customHeight="1"/>
    <row r="68" s="112" customFormat="1" ht="14.25" customHeight="1"/>
    <row r="69" s="112" customFormat="1" ht="14.25" customHeight="1"/>
    <row r="70" s="112" customFormat="1" ht="14.25" customHeight="1"/>
    <row r="71" s="112" customFormat="1" ht="14.25" customHeight="1"/>
    <row r="72" s="112" customFormat="1" ht="14.25" customHeight="1"/>
    <row r="73" s="112" customFormat="1" ht="14.25" customHeight="1"/>
    <row r="74" s="112" customFormat="1" ht="14.25" customHeight="1"/>
    <row r="75" s="112" customFormat="1" ht="14.25" customHeight="1"/>
    <row r="76" s="112" customFormat="1" ht="14.25" customHeight="1"/>
    <row r="77" s="112" customFormat="1" ht="14.25" customHeight="1"/>
    <row r="78" s="112" customFormat="1" ht="14.25" customHeight="1"/>
    <row r="79" s="112" customFormat="1" ht="14.25" customHeight="1"/>
    <row r="80" s="112" customFormat="1" ht="14.25" customHeight="1"/>
    <row r="81" s="112" customFormat="1" ht="14.25" customHeight="1"/>
    <row r="82" s="112" customFormat="1" ht="14.25" customHeight="1"/>
    <row r="83" s="112" customFormat="1" ht="14.25" customHeight="1"/>
    <row r="84" s="112" customFormat="1" ht="14.25" customHeight="1"/>
    <row r="85" s="112" customFormat="1" ht="14.25" customHeight="1"/>
    <row r="86" s="112" customFormat="1" ht="14.25" customHeight="1"/>
    <row r="87" s="112" customFormat="1" ht="14.25" customHeight="1"/>
    <row r="88" s="112" customFormat="1" ht="14.25" customHeight="1"/>
    <row r="89" s="112" customFormat="1" ht="14.25" customHeight="1"/>
    <row r="90" s="112" customFormat="1" ht="14.25" customHeight="1"/>
    <row r="91" s="112" customFormat="1" ht="14.25" customHeight="1"/>
    <row r="92" s="112" customFormat="1" ht="14.25" customHeight="1"/>
    <row r="93" s="112" customFormat="1" ht="14.25" customHeight="1"/>
    <row r="94" s="112" customFormat="1" ht="14.25" customHeight="1"/>
    <row r="95" s="112" customFormat="1" ht="14.25" customHeight="1"/>
    <row r="96" s="112" customFormat="1" ht="14.25" customHeight="1"/>
    <row r="97" s="112" customFormat="1" ht="14.25" customHeight="1"/>
    <row r="98" s="112" customFormat="1" ht="14.25" customHeight="1"/>
    <row r="99" s="112" customFormat="1" ht="14.25" customHeight="1"/>
    <row r="100" s="112" customFormat="1" ht="14.25" customHeight="1"/>
    <row r="101" s="112" customFormat="1" ht="14.25" customHeight="1"/>
    <row r="102" s="112" customFormat="1" ht="14.25" customHeight="1"/>
    <row r="103" s="112" customFormat="1" ht="14.25" customHeight="1"/>
    <row r="104" s="112" customFormat="1" ht="14.25" customHeight="1"/>
    <row r="105" s="112" customFormat="1" ht="14.25" customHeight="1"/>
    <row r="106" s="112" customFormat="1" ht="14.25" customHeight="1"/>
    <row r="107" s="112" customFormat="1" ht="14.25" customHeight="1"/>
    <row r="108" s="112" customFormat="1" ht="14.25" customHeight="1"/>
    <row r="109" s="112" customFormat="1" ht="14.25" customHeight="1"/>
    <row r="110" s="112" customFormat="1" ht="14.25" customHeight="1"/>
    <row r="111" s="112" customFormat="1" ht="14.25" customHeight="1"/>
    <row r="112" s="112" customFormat="1" ht="14.25" customHeight="1"/>
    <row r="113" s="112" customFormat="1" ht="14.25" customHeight="1"/>
    <row r="114" s="112" customFormat="1" ht="14.25" customHeight="1"/>
    <row r="115" s="112" customFormat="1" ht="14.25" customHeight="1"/>
    <row r="116" s="112" customFormat="1" ht="14.25" customHeight="1"/>
    <row r="117" s="112" customFormat="1" ht="14.25" customHeight="1"/>
    <row r="118" s="112" customFormat="1" ht="14.25" customHeight="1"/>
    <row r="119" s="112" customFormat="1" ht="14.25" customHeight="1"/>
    <row r="120" s="112" customFormat="1" ht="14.25" customHeight="1"/>
    <row r="121" s="112" customFormat="1" ht="14.25" customHeight="1"/>
    <row r="122" s="112" customFormat="1" ht="14.25" customHeight="1"/>
    <row r="123" s="112" customFormat="1" ht="14.25" customHeight="1"/>
    <row r="124" s="112" customFormat="1" ht="14.25" customHeight="1"/>
    <row r="125" s="112" customFormat="1" ht="14.25" customHeight="1"/>
    <row r="126" s="112" customFormat="1" ht="14.25" customHeight="1"/>
    <row r="127" s="112" customFormat="1" ht="14.25" customHeight="1"/>
    <row r="128" s="112" customFormat="1" ht="14.25" customHeight="1"/>
    <row r="129" s="112" customFormat="1" ht="14.25" customHeight="1"/>
    <row r="130" s="112" customFormat="1" ht="14.25" customHeight="1"/>
    <row r="131" s="112" customFormat="1" ht="14.25" customHeight="1"/>
    <row r="132" s="112" customFormat="1" ht="14.25" customHeight="1"/>
    <row r="133" s="112" customFormat="1" ht="14.25" customHeight="1"/>
    <row r="134" s="112" customFormat="1" ht="14.25" customHeight="1"/>
    <row r="135" s="112" customFormat="1" ht="14.25" customHeight="1"/>
    <row r="136" s="112" customFormat="1" ht="14.25" customHeight="1"/>
    <row r="137" s="112" customFormat="1" ht="14.25" customHeight="1"/>
    <row r="138" s="112" customFormat="1" ht="14.25" customHeight="1"/>
    <row r="139" s="112" customFormat="1" ht="14.25" customHeight="1"/>
    <row r="140" s="112" customFormat="1" ht="14.25" customHeight="1"/>
    <row r="141" s="112" customFormat="1" ht="14.25" customHeight="1"/>
    <row r="142" s="112" customFormat="1" ht="14.25" customHeight="1"/>
    <row r="143" s="112" customFormat="1" ht="14.25" customHeight="1"/>
    <row r="144" s="112" customFormat="1" ht="14.25" customHeight="1"/>
    <row r="145" s="112" customFormat="1" ht="14.25" customHeight="1"/>
    <row r="146" s="112" customFormat="1" ht="14.25" customHeight="1"/>
    <row r="147" s="112" customFormat="1" ht="14.25" customHeight="1"/>
    <row r="148" s="112" customFormat="1" ht="14.25" customHeight="1"/>
    <row r="149" s="112" customFormat="1" ht="14.25" customHeight="1"/>
    <row r="150" s="112" customFormat="1" ht="14.25" customHeight="1"/>
    <row r="151" s="112" customFormat="1" ht="14.25" customHeight="1"/>
    <row r="152" s="112" customFormat="1" ht="14.25" customHeight="1"/>
    <row r="153" s="112" customFormat="1" ht="14.25" customHeight="1"/>
    <row r="154" s="112" customFormat="1" ht="14.25" customHeight="1"/>
    <row r="155" s="112" customFormat="1" ht="14.25" customHeight="1"/>
    <row r="156" s="112" customFormat="1" ht="14.25" customHeight="1"/>
    <row r="157" s="112" customFormat="1" ht="14.25" customHeight="1"/>
    <row r="158" s="112" customFormat="1" ht="14.25" customHeight="1"/>
    <row r="159" s="112" customFormat="1" ht="14.25" customHeight="1"/>
    <row r="160" s="112" customFormat="1" ht="14.25" customHeight="1"/>
    <row r="161" s="112" customFormat="1" ht="14.25" customHeight="1"/>
    <row r="162" s="112" customFormat="1" ht="14.25" customHeight="1"/>
    <row r="163" s="112" customFormat="1" ht="14.25" customHeight="1"/>
    <row r="164" s="112" customFormat="1" ht="14.25" customHeight="1"/>
    <row r="165" s="112" customFormat="1" ht="14.25" customHeight="1"/>
    <row r="166" s="112" customFormat="1" ht="14.25" customHeight="1"/>
    <row r="167" s="112" customFormat="1" ht="14.25" customHeight="1"/>
    <row r="168" s="112" customFormat="1" ht="14.25" customHeight="1"/>
    <row r="169" s="112" customFormat="1" ht="14.25" customHeight="1"/>
    <row r="170" s="112" customFormat="1" ht="14.25" customHeight="1"/>
    <row r="171" s="112" customFormat="1" ht="14.25" customHeight="1"/>
    <row r="172" s="112" customFormat="1" ht="14.25" customHeight="1"/>
    <row r="173" s="112" customFormat="1" ht="14.25" customHeight="1"/>
    <row r="174" s="112" customFormat="1" ht="14.25" customHeight="1"/>
    <row r="175" s="112" customFormat="1" ht="14.25" customHeight="1"/>
    <row r="176" s="112" customFormat="1" ht="14.25" customHeight="1"/>
    <row r="177" s="112" customFormat="1" ht="14.25" customHeight="1"/>
    <row r="178" s="112" customFormat="1" ht="14.25" customHeight="1"/>
    <row r="179" s="112" customFormat="1" ht="14.25" customHeight="1"/>
    <row r="180" s="112" customFormat="1" ht="14.25" customHeight="1"/>
    <row r="181" s="112" customFormat="1" ht="14.25" customHeight="1"/>
    <row r="182" s="112" customFormat="1" ht="14.25" customHeight="1"/>
    <row r="183" s="112" customFormat="1" ht="14.25" customHeight="1"/>
    <row r="184" s="112" customFormat="1" ht="14.25" customHeight="1"/>
    <row r="185" s="112" customFormat="1" ht="14.25" customHeight="1"/>
    <row r="186" s="112" customFormat="1" ht="14.25" customHeight="1"/>
    <row r="187" s="112" customFormat="1" ht="14.25" customHeight="1"/>
    <row r="188" s="112" customFormat="1" ht="14.25" customHeight="1"/>
    <row r="189" s="112" customFormat="1" ht="14.25" customHeight="1"/>
    <row r="190" s="112" customFormat="1" ht="14.25" customHeight="1"/>
    <row r="191" s="112" customFormat="1" ht="14.25" customHeight="1"/>
    <row r="192" s="112" customFormat="1" ht="14.25" customHeight="1"/>
    <row r="193" s="112" customFormat="1" ht="14.25" customHeight="1"/>
    <row r="194" s="112" customFormat="1" ht="14.25" customHeight="1"/>
    <row r="195" s="112" customFormat="1" ht="14.25" customHeight="1"/>
    <row r="196" s="112" customFormat="1" ht="14.25" customHeight="1"/>
    <row r="197" s="112" customFormat="1" ht="14.25" customHeight="1"/>
    <row r="198" s="112" customFormat="1" ht="14.25" customHeight="1"/>
    <row r="199" s="112" customFormat="1" ht="14.25" customHeight="1"/>
    <row r="200" s="112" customFormat="1" ht="14.25" customHeight="1"/>
    <row r="201" s="112" customFormat="1" ht="14.25" customHeight="1"/>
    <row r="202" s="112" customFormat="1" ht="14.25" customHeight="1"/>
    <row r="203" s="112" customFormat="1" ht="14.25" customHeight="1"/>
    <row r="204" s="112" customFormat="1" ht="14.25" customHeight="1"/>
    <row r="205" s="112" customFormat="1" ht="14.25" customHeight="1"/>
    <row r="206" s="112" customFormat="1" ht="14.25" customHeight="1"/>
    <row r="207" s="112" customFormat="1" ht="14.25" customHeight="1"/>
    <row r="208" s="112" customFormat="1" ht="14.25" customHeight="1"/>
    <row r="209" s="112" customFormat="1" ht="14.25" customHeight="1"/>
    <row r="210" s="112" customFormat="1" ht="14.25" customHeight="1"/>
    <row r="211" s="112" customFormat="1" ht="14.25" customHeight="1"/>
    <row r="212" s="112" customFormat="1" ht="14.25" customHeight="1"/>
    <row r="213" s="112" customFormat="1" ht="14.25" customHeight="1"/>
    <row r="214" s="112" customFormat="1" ht="14.25" customHeight="1"/>
    <row r="215" s="112" customFormat="1" ht="14.25" customHeight="1"/>
    <row r="216" s="112" customFormat="1" ht="14.25" customHeight="1"/>
    <row r="217" s="112" customFormat="1" ht="14.25" customHeight="1"/>
    <row r="218" s="112" customFormat="1" ht="14.25" customHeight="1"/>
    <row r="219" s="112" customFormat="1" ht="14.25" customHeight="1"/>
    <row r="220" s="112" customFormat="1" ht="14.25" customHeight="1"/>
    <row r="221" s="112" customFormat="1" ht="14.25" customHeight="1"/>
    <row r="222" s="112" customFormat="1" ht="14.25" customHeight="1"/>
    <row r="223" s="112" customFormat="1" ht="14.25" customHeight="1"/>
    <row r="224" s="112" customFormat="1" ht="14.25" customHeight="1"/>
    <row r="225" s="112" customFormat="1" ht="14.25" customHeight="1"/>
    <row r="226" s="112" customFormat="1" ht="14.25" customHeight="1"/>
    <row r="227" s="112" customFormat="1" ht="14.25" customHeight="1"/>
    <row r="228" s="112" customFormat="1" ht="14.25" customHeight="1"/>
    <row r="229" s="112" customFormat="1" ht="14.25" customHeight="1"/>
    <row r="230" s="112" customFormat="1" ht="14.25" customHeight="1"/>
    <row r="231" s="112" customFormat="1" ht="14.25" customHeight="1"/>
    <row r="232" s="112" customFormat="1" ht="14.25" customHeight="1"/>
    <row r="233" s="112" customFormat="1" ht="14.25" customHeight="1"/>
    <row r="234" s="112" customFormat="1" ht="14.25" customHeight="1"/>
    <row r="235" s="112" customFormat="1" ht="14.25" customHeight="1"/>
    <row r="236" s="112" customFormat="1" ht="14.25" customHeight="1"/>
    <row r="237" s="112" customFormat="1" ht="14.25" customHeight="1"/>
    <row r="238" s="112" customFormat="1" ht="14.25" customHeight="1"/>
    <row r="239" s="112" customFormat="1" ht="14.25" customHeight="1"/>
    <row r="240" s="112" customFormat="1" ht="14.25" customHeight="1"/>
    <row r="241" s="112" customFormat="1" ht="14.25" customHeight="1"/>
    <row r="242" s="112" customFormat="1" ht="14.25" customHeight="1"/>
    <row r="243" s="112" customFormat="1" ht="14.25" customHeight="1"/>
    <row r="244" s="112" customFormat="1" ht="14.25" customHeight="1"/>
    <row r="245" s="112" customFormat="1" ht="14.25" customHeight="1"/>
    <row r="246" s="112" customFormat="1" ht="14.25" customHeight="1"/>
    <row r="247" s="112" customFormat="1" ht="14.25" customHeight="1"/>
    <row r="248" s="112" customFormat="1" ht="14.25" customHeight="1"/>
    <row r="249" s="112" customFormat="1" ht="14.25" customHeight="1"/>
    <row r="250" s="112" customFormat="1" ht="14.25" customHeight="1"/>
    <row r="251" s="112" customFormat="1" ht="14.25" customHeight="1"/>
    <row r="252" s="112" customFormat="1" ht="14.25" customHeight="1"/>
    <row r="253" s="112" customFormat="1" ht="14.25" customHeight="1"/>
    <row r="254" s="112" customFormat="1" ht="14.25" customHeight="1"/>
    <row r="255" s="112" customFormat="1" ht="14.25" customHeight="1"/>
    <row r="256" s="112" customFormat="1" ht="14.25" customHeight="1"/>
    <row r="257" s="112" customFormat="1" ht="14.25" customHeight="1"/>
    <row r="258" s="112" customFormat="1" ht="14.25" customHeight="1"/>
    <row r="259" s="112" customFormat="1" ht="14.25" customHeight="1"/>
    <row r="260" s="112" customFormat="1" ht="14.25" customHeight="1"/>
    <row r="261" s="112" customFormat="1" ht="14.25" customHeight="1"/>
    <row r="262" s="112" customFormat="1" ht="14.25" customHeight="1"/>
    <row r="263" s="112" customFormat="1" ht="14.25" customHeight="1"/>
    <row r="264" s="112" customFormat="1" ht="14.25" customHeight="1"/>
    <row r="265" s="112" customFormat="1" ht="14.25" customHeight="1"/>
    <row r="266" s="112" customFormat="1" ht="14.25" customHeight="1"/>
    <row r="267" s="112" customFormat="1" ht="14.25" customHeight="1"/>
    <row r="268" s="112" customFormat="1" ht="14.25" customHeight="1"/>
    <row r="269" s="112" customFormat="1" ht="14.25" customHeight="1"/>
    <row r="270" s="112" customFormat="1" ht="14.25" customHeight="1"/>
    <row r="271" s="112" customFormat="1" ht="14.25" customHeight="1"/>
    <row r="272" s="112" customFormat="1" ht="14.25" customHeight="1"/>
    <row r="273" s="112" customFormat="1" ht="14.25" customHeight="1"/>
    <row r="274" s="112" customFormat="1" ht="14.25" customHeight="1"/>
    <row r="275" s="112" customFormat="1" ht="14.25" customHeight="1"/>
    <row r="276" s="112" customFormat="1" ht="14.25" customHeight="1"/>
    <row r="277" s="112" customFormat="1" ht="14.25" customHeight="1"/>
    <row r="278" s="112" customFormat="1" ht="14.25" customHeight="1"/>
    <row r="279" s="112" customFormat="1" ht="14.25" customHeight="1"/>
    <row r="280" s="112" customFormat="1" ht="14.25" customHeight="1"/>
    <row r="281" s="112" customFormat="1" ht="14.25" customHeight="1"/>
    <row r="282" s="112" customFormat="1" ht="14.25" customHeight="1"/>
    <row r="283" s="112" customFormat="1" ht="14.25" customHeight="1"/>
    <row r="284" s="112" customFormat="1" ht="14.25" customHeight="1"/>
    <row r="285" s="112" customFormat="1" ht="14.25" customHeight="1"/>
    <row r="286" s="112" customFormat="1" ht="14.25" customHeight="1"/>
    <row r="287" s="112" customFormat="1" ht="14.25" customHeight="1"/>
    <row r="288" s="112" customFormat="1" ht="14.25" customHeight="1"/>
    <row r="289" s="112" customFormat="1" ht="14.25" customHeight="1"/>
    <row r="290" s="112" customFormat="1" ht="14.25" customHeight="1"/>
    <row r="291" s="112" customFormat="1" ht="14.25" customHeight="1"/>
    <row r="292" s="112" customFormat="1" ht="14.25" customHeight="1"/>
    <row r="293" s="112" customFormat="1" ht="14.25" customHeight="1"/>
    <row r="294" s="112" customFormat="1" ht="14.25" customHeight="1"/>
    <row r="295" s="112" customFormat="1" ht="14.25" customHeight="1"/>
    <row r="296" s="112" customFormat="1" ht="14.25" customHeight="1"/>
    <row r="297" s="112" customFormat="1" ht="14.25" customHeight="1"/>
    <row r="298" s="112" customFormat="1" ht="14.25" customHeight="1"/>
    <row r="299" s="112" customFormat="1" ht="14.25" customHeight="1"/>
    <row r="300" s="112" customFormat="1" ht="14.25" customHeight="1"/>
    <row r="301" s="112" customFormat="1" ht="14.25" customHeight="1"/>
    <row r="302" s="112" customFormat="1" ht="14.25" customHeight="1"/>
    <row r="303" s="112" customFormat="1" ht="14.25" customHeight="1"/>
    <row r="304" s="112" customFormat="1" ht="14.25" customHeight="1"/>
    <row r="305" s="112" customFormat="1" ht="14.25" customHeight="1"/>
    <row r="306" s="112" customFormat="1" ht="14.25" customHeight="1"/>
    <row r="307" s="112" customFormat="1" ht="14.25" customHeight="1"/>
    <row r="308" s="112" customFormat="1" ht="14.25" customHeight="1"/>
    <row r="309" s="112" customFormat="1" ht="14.25" customHeight="1"/>
    <row r="310" s="112" customFormat="1" ht="14.25" customHeight="1"/>
    <row r="311" s="112" customFormat="1" ht="14.25" customHeight="1"/>
    <row r="312" s="112" customFormat="1" ht="14.25" customHeight="1"/>
    <row r="313" s="112" customFormat="1" ht="14.25" customHeight="1"/>
    <row r="314" s="112" customFormat="1" ht="14.25" customHeight="1"/>
    <row r="315" s="112" customFormat="1" ht="14.25" customHeight="1"/>
    <row r="316" s="112" customFormat="1" ht="14.25" customHeight="1"/>
    <row r="317" s="112" customFormat="1" ht="14.25" customHeight="1"/>
    <row r="318" s="112" customFormat="1" ht="14.25" customHeight="1"/>
    <row r="319" s="112" customFormat="1" ht="14.25" customHeight="1"/>
    <row r="320" s="112" customFormat="1" ht="14.25" customHeight="1"/>
    <row r="321" s="112" customFormat="1" ht="14.25" customHeight="1"/>
    <row r="322" s="112" customFormat="1" ht="14.25" customHeight="1"/>
    <row r="323" s="112" customFormat="1" ht="14.25" customHeight="1"/>
    <row r="324" s="112" customFormat="1" ht="14.25" customHeight="1"/>
    <row r="325" s="112" customFormat="1" ht="14.25" customHeight="1"/>
    <row r="326" s="112" customFormat="1" ht="14.25" customHeight="1"/>
    <row r="327" s="112" customFormat="1" ht="14.25" customHeight="1"/>
    <row r="328" s="112" customFormat="1" ht="14.25" customHeight="1"/>
    <row r="329" s="112" customFormat="1" ht="14.25" customHeight="1"/>
    <row r="330" s="112" customFormat="1" ht="14.25" customHeight="1"/>
    <row r="331" s="112" customFormat="1" ht="14.25" customHeight="1"/>
    <row r="332" s="112" customFormat="1" ht="14.25" customHeight="1"/>
    <row r="333" s="112" customFormat="1" ht="14.25" customHeight="1"/>
    <row r="334" s="112" customFormat="1" ht="14.25" customHeight="1"/>
    <row r="335" s="112" customFormat="1" ht="14.25" customHeight="1"/>
    <row r="336" s="112" customFormat="1" ht="14.25" customHeight="1"/>
    <row r="337" s="112" customFormat="1" ht="14.25" customHeight="1"/>
    <row r="338" s="112" customFormat="1" ht="14.25" customHeight="1"/>
    <row r="339" s="112" customFormat="1" ht="14.25" customHeight="1"/>
    <row r="340" s="112" customFormat="1" ht="14.25" customHeight="1"/>
    <row r="341" s="112" customFormat="1" ht="14.25" customHeight="1"/>
    <row r="342" s="112" customFormat="1" ht="14.25" customHeight="1"/>
    <row r="343" s="112" customFormat="1" ht="14.25" customHeight="1"/>
    <row r="344" s="112" customFormat="1" ht="14.25" customHeight="1"/>
    <row r="345" s="112" customFormat="1" ht="14.25" customHeight="1"/>
    <row r="346" s="112" customFormat="1" ht="14.25" customHeight="1"/>
    <row r="347" s="112" customFormat="1" ht="14.25" customHeight="1"/>
    <row r="348" s="112" customFormat="1" ht="14.25" customHeight="1"/>
    <row r="349" s="112" customFormat="1" ht="14.25" customHeight="1"/>
    <row r="350" s="112" customFormat="1" ht="14.25" customHeight="1"/>
    <row r="351" s="112" customFormat="1" ht="14.25" customHeight="1"/>
    <row r="352" s="112" customFormat="1" ht="14.25" customHeight="1"/>
    <row r="353" s="112" customFormat="1" ht="14.25" customHeight="1"/>
    <row r="354" s="112" customFormat="1" ht="14.25" customHeight="1"/>
    <row r="355" s="112" customFormat="1" ht="14.25" customHeight="1"/>
    <row r="356" s="112" customFormat="1" ht="14.25" customHeight="1"/>
    <row r="357" s="112" customFormat="1" ht="14.25" customHeight="1"/>
    <row r="358" s="112" customFormat="1" ht="14.25" customHeight="1"/>
    <row r="359" s="112" customFormat="1" ht="14.25" customHeight="1"/>
    <row r="360" s="112" customFormat="1" ht="14.25" customHeight="1"/>
    <row r="361" s="112" customFormat="1" ht="14.25" customHeight="1"/>
    <row r="362" s="112" customFormat="1" ht="14.25" customHeight="1"/>
    <row r="363" s="112" customFormat="1" ht="14.25" customHeight="1"/>
    <row r="364" s="112" customFormat="1" ht="14.25" customHeight="1"/>
    <row r="365" s="112" customFormat="1" ht="14.25" customHeight="1"/>
    <row r="366" s="112" customFormat="1" ht="14.25" customHeight="1"/>
    <row r="367" s="112" customFormat="1" ht="14.25" customHeight="1"/>
    <row r="368" s="112" customFormat="1" ht="14.25" customHeight="1"/>
    <row r="369" s="112" customFormat="1" ht="14.25" customHeight="1"/>
    <row r="370" s="112" customFormat="1" ht="14.25" customHeight="1"/>
    <row r="371" s="112" customFormat="1" ht="14.25" customHeight="1"/>
    <row r="372" s="112" customFormat="1" ht="14.25" customHeight="1"/>
    <row r="373" s="112" customFormat="1" ht="14.25" customHeight="1"/>
    <row r="374" s="112" customFormat="1" ht="14.25" customHeight="1"/>
    <row r="375" s="112" customFormat="1" ht="14.25" customHeight="1"/>
    <row r="376" s="112" customFormat="1" ht="14.25" customHeight="1"/>
    <row r="377" s="112" customFormat="1" ht="14.25" customHeight="1"/>
    <row r="378" s="112" customFormat="1" ht="14.25" customHeight="1"/>
    <row r="379" s="112" customFormat="1" ht="14.25" customHeight="1"/>
    <row r="380" s="112" customFormat="1" ht="14.25" customHeight="1"/>
    <row r="381" s="112" customFormat="1" ht="14.25" customHeight="1"/>
    <row r="382" s="112" customFormat="1" ht="14.25" customHeight="1"/>
    <row r="383" s="112" customFormat="1" ht="14.25" customHeight="1"/>
    <row r="384" s="112" customFormat="1" ht="14.25" customHeight="1"/>
    <row r="385" s="112" customFormat="1" ht="14.25" customHeight="1"/>
    <row r="386" s="112" customFormat="1" ht="14.25" customHeight="1"/>
    <row r="387" s="112" customFormat="1" ht="14.25" customHeight="1"/>
    <row r="388" s="112" customFormat="1" ht="14.25" customHeight="1"/>
    <row r="389" s="112" customFormat="1" ht="14.25" customHeight="1"/>
    <row r="390" s="112" customFormat="1" ht="14.25" customHeight="1"/>
    <row r="391" s="112" customFormat="1" ht="14.25" customHeight="1"/>
    <row r="392" s="112" customFormat="1" ht="14.25" customHeight="1"/>
    <row r="393" s="112" customFormat="1" ht="14.25" customHeight="1"/>
    <row r="394" s="112" customFormat="1" ht="14.25" customHeight="1"/>
    <row r="395" s="112" customFormat="1" ht="14.25" customHeight="1"/>
    <row r="396" s="112" customFormat="1" ht="14.25" customHeight="1"/>
    <row r="397" s="112" customFormat="1" ht="14.25" customHeight="1"/>
    <row r="398" s="112" customFormat="1" ht="14.25" customHeight="1"/>
    <row r="399" s="112" customFormat="1" ht="14.25" customHeight="1"/>
    <row r="400" s="112" customFormat="1" ht="14.25" customHeight="1"/>
    <row r="401" s="112" customFormat="1" ht="14.25" customHeight="1"/>
    <row r="402" s="112" customFormat="1" ht="14.25" customHeight="1"/>
    <row r="403" s="112" customFormat="1" ht="14.25" customHeight="1"/>
    <row r="404" s="112" customFormat="1" ht="14.25" customHeight="1"/>
    <row r="405" s="112" customFormat="1" ht="14.25" customHeight="1"/>
    <row r="406" s="112" customFormat="1" ht="14.25" customHeight="1"/>
    <row r="407" s="112" customFormat="1" ht="14.25" customHeight="1"/>
    <row r="408" s="112" customFormat="1" ht="14.25" customHeight="1"/>
    <row r="409" s="112" customFormat="1" ht="14.25" customHeight="1"/>
    <row r="410" s="112" customFormat="1" ht="14.25" customHeight="1"/>
    <row r="411" s="112" customFormat="1" ht="14.25" customHeight="1"/>
    <row r="412" s="112" customFormat="1" ht="14.25" customHeight="1"/>
    <row r="413" s="112" customFormat="1" ht="14.25" customHeight="1"/>
    <row r="414" s="112" customFormat="1" ht="14.25" customHeight="1"/>
    <row r="415" s="112" customFormat="1" ht="14.25" customHeight="1"/>
    <row r="416" s="112" customFormat="1" ht="14.25" customHeight="1"/>
    <row r="417" s="112" customFormat="1" ht="14.25" customHeight="1"/>
    <row r="418" s="112" customFormat="1" ht="14.25" customHeight="1"/>
    <row r="419" s="112" customFormat="1" ht="14.25" customHeight="1"/>
    <row r="420" s="112" customFormat="1" ht="14.25" customHeight="1"/>
    <row r="421" s="112" customFormat="1" ht="14.25" customHeight="1"/>
    <row r="422" s="112" customFormat="1" ht="14.25" customHeight="1"/>
    <row r="423" s="112" customFormat="1" ht="14.25" customHeight="1"/>
    <row r="424" s="112" customFormat="1" ht="14.25" customHeight="1"/>
    <row r="425" s="112" customFormat="1" ht="14.25" customHeight="1"/>
    <row r="426" s="112" customFormat="1" ht="14.25" customHeight="1"/>
    <row r="427" s="112" customFormat="1" ht="14.25" customHeight="1"/>
    <row r="428" s="112" customFormat="1" ht="14.25" customHeight="1"/>
    <row r="429" s="112" customFormat="1" ht="14.25" customHeight="1"/>
    <row r="430" s="112" customFormat="1" ht="14.25" customHeight="1"/>
    <row r="431" s="112" customFormat="1" ht="14.25" customHeight="1"/>
    <row r="432" s="112" customFormat="1" ht="14.25" customHeight="1"/>
    <row r="433" s="112" customFormat="1" ht="14.25" customHeight="1"/>
    <row r="434" s="112" customFormat="1" ht="14.25" customHeight="1"/>
    <row r="435" s="112" customFormat="1" ht="14.25" customHeight="1"/>
    <row r="436" s="112" customFormat="1" ht="14.25" customHeight="1"/>
    <row r="437" s="112" customFormat="1" ht="14.25" customHeight="1"/>
    <row r="438" s="112" customFormat="1" ht="14.25" customHeight="1"/>
    <row r="439" s="112" customFormat="1" ht="14.25" customHeight="1"/>
    <row r="440" s="112" customFormat="1" ht="14.25" customHeight="1"/>
    <row r="441" s="112" customFormat="1" ht="14.25" customHeight="1"/>
    <row r="442" s="112" customFormat="1" ht="14.25" customHeight="1"/>
    <row r="443" s="112" customFormat="1" ht="14.25" customHeight="1"/>
    <row r="444" s="112" customFormat="1" ht="14.25" customHeight="1"/>
    <row r="445" s="112" customFormat="1" ht="14.25" customHeight="1"/>
    <row r="446" s="112" customFormat="1" ht="14.25" customHeight="1"/>
    <row r="447" s="112" customFormat="1" ht="14.25" customHeight="1"/>
    <row r="448" s="112" customFormat="1" ht="14.25" customHeight="1"/>
    <row r="449" s="112" customFormat="1" ht="14.25" customHeight="1"/>
    <row r="450" s="112" customFormat="1" ht="14.25" customHeight="1"/>
    <row r="451" s="112" customFormat="1" ht="14.25" customHeight="1"/>
    <row r="452" s="112" customFormat="1" ht="14.25" customHeight="1"/>
    <row r="453" s="112" customFormat="1" ht="14.25" customHeight="1"/>
    <row r="454" s="112" customFormat="1" ht="14.25" customHeight="1"/>
    <row r="455" s="112" customFormat="1" ht="14.25" customHeight="1"/>
    <row r="456" s="112" customFormat="1" ht="14.25" customHeight="1"/>
    <row r="457" s="112" customFormat="1" ht="14.25" customHeight="1"/>
    <row r="458" s="112" customFormat="1" ht="14.25" customHeight="1"/>
    <row r="459" s="112" customFormat="1" ht="14.25" customHeight="1"/>
    <row r="460" s="112" customFormat="1" ht="14.25" customHeight="1"/>
    <row r="461" s="112" customFormat="1" ht="14.25" customHeight="1"/>
    <row r="462" s="112" customFormat="1" ht="14.25" customHeight="1"/>
    <row r="463" s="112" customFormat="1" ht="14.25" customHeight="1"/>
    <row r="464" s="112" customFormat="1" ht="14.25" customHeight="1"/>
    <row r="465" s="112" customFormat="1" ht="14.25" customHeight="1"/>
    <row r="466" s="112" customFormat="1" ht="14.25" customHeight="1"/>
    <row r="467" s="112" customFormat="1" ht="14.25" customHeight="1"/>
    <row r="468" s="112" customFormat="1" ht="14.25" customHeight="1"/>
    <row r="469" s="112" customFormat="1" ht="14.25" customHeight="1"/>
    <row r="470" s="112" customFormat="1" ht="14.25" customHeight="1"/>
    <row r="471" s="112" customFormat="1" ht="14.25" customHeight="1"/>
    <row r="472" s="112" customFormat="1" ht="14.25" customHeight="1"/>
    <row r="473" s="112" customFormat="1" ht="14.25" customHeight="1"/>
    <row r="474" s="112" customFormat="1" ht="14.25" customHeight="1"/>
    <row r="475" s="112" customFormat="1" ht="14.25" customHeight="1"/>
    <row r="476" s="112" customFormat="1" ht="14.25" customHeight="1"/>
    <row r="477" s="112" customFormat="1" ht="14.25" customHeight="1"/>
    <row r="478" s="112" customFormat="1" ht="14.25" customHeight="1"/>
    <row r="479" s="112" customFormat="1" ht="14.25" customHeight="1"/>
    <row r="480" s="112" customFormat="1" ht="14.25" customHeight="1"/>
    <row r="481" s="112" customFormat="1" ht="14.25" customHeight="1"/>
    <row r="482" s="112" customFormat="1" ht="14.25" customHeight="1"/>
    <row r="483" s="112" customFormat="1" ht="14.25" customHeight="1"/>
    <row r="484" s="112" customFormat="1" ht="14.25" customHeight="1"/>
    <row r="485" s="112" customFormat="1" ht="14.25" customHeight="1"/>
    <row r="486" s="112" customFormat="1" ht="14.25" customHeight="1"/>
    <row r="487" s="112" customFormat="1" ht="14.25" customHeight="1"/>
    <row r="488" s="112" customFormat="1" ht="14.25" customHeight="1"/>
    <row r="489" s="112" customFormat="1" ht="14.25" customHeight="1"/>
    <row r="490" s="112" customFormat="1" ht="14.25" customHeight="1"/>
    <row r="491" s="112" customFormat="1" ht="14.25" customHeight="1"/>
    <row r="492" s="112" customFormat="1" ht="14.25" customHeight="1"/>
    <row r="493" s="112" customFormat="1" ht="14.25" customHeight="1"/>
    <row r="494" s="112" customFormat="1" ht="14.25" customHeight="1"/>
    <row r="495" s="112" customFormat="1" ht="14.25" customHeight="1"/>
    <row r="496" s="112" customFormat="1" ht="14.25" customHeight="1"/>
    <row r="497" s="112" customFormat="1" ht="14.25" customHeight="1"/>
    <row r="498" s="112" customFormat="1" ht="14.25" customHeight="1"/>
    <row r="499" s="112" customFormat="1" ht="14.25" customHeight="1"/>
    <row r="500" s="112" customFormat="1" ht="14.25" customHeight="1"/>
    <row r="501" s="112" customFormat="1" ht="14.25" customHeight="1"/>
    <row r="502" s="112" customFormat="1" ht="14.25" customHeight="1"/>
    <row r="503" s="112" customFormat="1" ht="14.25" customHeight="1"/>
    <row r="504" s="112" customFormat="1" ht="14.25" customHeight="1"/>
    <row r="505" s="112" customFormat="1" ht="14.25" customHeight="1"/>
    <row r="506" s="112" customFormat="1" ht="14.25" customHeight="1"/>
    <row r="507" s="112" customFormat="1" ht="14.25" customHeight="1"/>
    <row r="508" s="112" customFormat="1" ht="14.25" customHeight="1"/>
    <row r="509" s="112" customFormat="1" ht="14.25" customHeight="1"/>
    <row r="510" s="112" customFormat="1" ht="14.25" customHeight="1"/>
    <row r="511" s="112" customFormat="1" ht="14.25" customHeight="1"/>
    <row r="512" s="112" customFormat="1" ht="14.25" customHeight="1"/>
    <row r="513" s="112" customFormat="1" ht="14.25" customHeight="1"/>
    <row r="514" s="112" customFormat="1" ht="14.25" customHeight="1"/>
    <row r="515" s="112" customFormat="1" ht="14.25" customHeight="1"/>
    <row r="516" s="112" customFormat="1" ht="14.25" customHeight="1"/>
    <row r="517" s="112" customFormat="1" ht="14.25" customHeight="1"/>
    <row r="518" s="112" customFormat="1" ht="14.25" customHeight="1"/>
    <row r="519" s="112" customFormat="1" ht="14.25" customHeight="1"/>
    <row r="520" s="112" customFormat="1" ht="14.25" customHeight="1"/>
    <row r="521" s="112" customFormat="1" ht="14.25" customHeight="1"/>
    <row r="522" s="112" customFormat="1" ht="14.25" customHeight="1"/>
    <row r="523" s="112" customFormat="1" ht="14.25" customHeight="1"/>
    <row r="524" s="112" customFormat="1" ht="14.25" customHeight="1"/>
    <row r="525" s="112" customFormat="1" ht="14.25" customHeight="1"/>
    <row r="526" s="112" customFormat="1" ht="14.25" customHeight="1"/>
    <row r="527" s="112" customFormat="1" ht="14.25" customHeight="1"/>
    <row r="528" s="112" customFormat="1" ht="14.25" customHeight="1"/>
    <row r="529" s="112" customFormat="1" ht="14.25" customHeight="1"/>
    <row r="530" s="112" customFormat="1" ht="14.25" customHeight="1"/>
    <row r="531" s="112" customFormat="1" ht="14.25" customHeight="1"/>
    <row r="532" s="112" customFormat="1" ht="14.25" customHeight="1"/>
    <row r="533" s="112" customFormat="1" ht="14.25" customHeight="1"/>
    <row r="534" s="112" customFormat="1" ht="14.25" customHeight="1"/>
    <row r="535" s="112" customFormat="1" ht="14.25" customHeight="1"/>
    <row r="536" s="112" customFormat="1" ht="14.25" customHeight="1"/>
    <row r="537" s="112" customFormat="1" ht="14.25" customHeight="1"/>
    <row r="538" s="112" customFormat="1" ht="14.25" customHeight="1"/>
    <row r="539" s="112" customFormat="1" ht="14.25" customHeight="1"/>
    <row r="540" s="112" customFormat="1" ht="14.25" customHeight="1"/>
    <row r="541" s="112" customFormat="1" ht="14.25" customHeight="1"/>
    <row r="542" s="112" customFormat="1" ht="14.25" customHeight="1"/>
    <row r="543" s="112" customFormat="1" ht="14.25" customHeight="1"/>
    <row r="544" s="112" customFormat="1" ht="14.25" customHeight="1"/>
    <row r="545" s="112" customFormat="1" ht="14.25" customHeight="1"/>
    <row r="546" s="112" customFormat="1" ht="14.25" customHeight="1"/>
    <row r="547" s="112" customFormat="1" ht="14.25" customHeight="1"/>
    <row r="548" s="112" customFormat="1" ht="14.25" customHeight="1"/>
    <row r="549" s="112" customFormat="1" ht="14.25" customHeight="1"/>
    <row r="550" s="112" customFormat="1" ht="14.25" customHeight="1"/>
    <row r="551" s="112" customFormat="1" ht="14.25" customHeight="1"/>
    <row r="552" s="112" customFormat="1" ht="14.25" customHeight="1"/>
    <row r="553" s="112" customFormat="1" ht="14.25" customHeight="1"/>
    <row r="554" s="112" customFormat="1" ht="14.25" customHeight="1"/>
    <row r="555" s="112" customFormat="1" ht="14.25" customHeight="1"/>
    <row r="556" s="112" customFormat="1" ht="14.25" customHeight="1"/>
    <row r="557" s="112" customFormat="1" ht="14.25" customHeight="1"/>
    <row r="558" s="112" customFormat="1" ht="14.25" customHeight="1"/>
    <row r="559" s="112" customFormat="1" ht="14.25" customHeight="1"/>
    <row r="560" s="112" customFormat="1" ht="14.25" customHeight="1"/>
    <row r="561" s="112" customFormat="1" ht="14.25" customHeight="1"/>
    <row r="562" s="112" customFormat="1" ht="14.25" customHeight="1"/>
    <row r="563" s="112" customFormat="1" ht="14.25" customHeight="1"/>
    <row r="564" s="112" customFormat="1" ht="14.25" customHeight="1"/>
    <row r="565" s="112" customFormat="1" ht="14.25" customHeight="1"/>
    <row r="566" s="112" customFormat="1" ht="14.25" customHeight="1"/>
    <row r="567" s="112" customFormat="1" ht="14.25" customHeight="1"/>
    <row r="568" s="112" customFormat="1" ht="14.25" customHeight="1"/>
    <row r="569" s="112" customFormat="1" ht="14.25" customHeight="1"/>
    <row r="570" s="112" customFormat="1" ht="14.25" customHeight="1"/>
    <row r="571" s="112" customFormat="1" ht="14.25" customHeight="1"/>
    <row r="572" s="112" customFormat="1" ht="14.25" customHeight="1"/>
    <row r="573" s="112" customFormat="1" ht="14.25" customHeight="1"/>
    <row r="574" s="112" customFormat="1" ht="14.25" customHeight="1"/>
    <row r="575" s="112" customFormat="1" ht="14.25" customHeight="1"/>
    <row r="576" s="112" customFormat="1" ht="14.25" customHeight="1"/>
    <row r="577" s="112" customFormat="1" ht="14.25" customHeight="1"/>
    <row r="578" s="112" customFormat="1" ht="14.25" customHeight="1"/>
    <row r="579" s="112" customFormat="1" ht="14.25" customHeight="1"/>
    <row r="580" s="112" customFormat="1" ht="14.25" customHeight="1"/>
    <row r="581" s="112" customFormat="1" ht="14.25" customHeight="1"/>
    <row r="582" s="112" customFormat="1" ht="14.25" customHeight="1"/>
    <row r="583" s="112" customFormat="1" ht="14.25" customHeight="1"/>
    <row r="584" s="112" customFormat="1" ht="14.25" customHeight="1"/>
    <row r="585" s="112" customFormat="1" ht="14.25" customHeight="1"/>
    <row r="586" s="112" customFormat="1" ht="14.25" customHeight="1"/>
    <row r="587" s="112" customFormat="1" ht="14.25" customHeight="1"/>
    <row r="588" s="112" customFormat="1" ht="14.25" customHeight="1"/>
    <row r="589" s="112" customFormat="1" ht="14.25" customHeight="1"/>
    <row r="590" s="112" customFormat="1" ht="14.25" customHeight="1"/>
    <row r="591" s="112" customFormat="1" ht="14.25" customHeight="1"/>
    <row r="592" s="112" customFormat="1" ht="14.25" customHeight="1"/>
    <row r="593" s="112" customFormat="1" ht="14.25" customHeight="1"/>
    <row r="594" s="112" customFormat="1" ht="14.25" customHeight="1"/>
    <row r="595" s="112" customFormat="1" ht="14.25" customHeight="1"/>
    <row r="596" s="112" customFormat="1" ht="14.25" customHeight="1"/>
    <row r="597" s="112" customFormat="1" ht="14.25" customHeight="1"/>
    <row r="598" s="112" customFormat="1" ht="14.25" customHeight="1"/>
    <row r="599" s="112" customFormat="1" ht="14.25" customHeight="1"/>
    <row r="600" s="112" customFormat="1" ht="14.25" customHeight="1"/>
    <row r="601" s="112" customFormat="1" ht="14.25" customHeight="1"/>
    <row r="602" s="112" customFormat="1" ht="14.25" customHeight="1"/>
    <row r="603" s="112" customFormat="1" ht="14.25" customHeight="1"/>
    <row r="604" s="112" customFormat="1" ht="14.25" customHeight="1"/>
    <row r="605" s="112" customFormat="1" ht="14.25" customHeight="1"/>
    <row r="606" s="112" customFormat="1" ht="14.25" customHeight="1"/>
    <row r="607" s="112" customFormat="1" ht="14.25" customHeight="1"/>
    <row r="608" s="112" customFormat="1" ht="14.25" customHeight="1"/>
    <row r="609" s="112" customFormat="1" ht="14.25" customHeight="1"/>
    <row r="610" s="112" customFormat="1" ht="14.25" customHeight="1"/>
    <row r="611" s="112" customFormat="1" ht="14.25" customHeight="1"/>
    <row r="612" s="112" customFormat="1" ht="14.25" customHeight="1"/>
    <row r="613" s="112" customFormat="1" ht="14.25" customHeight="1"/>
    <row r="614" s="112" customFormat="1" ht="14.25" customHeight="1"/>
    <row r="615" s="112" customFormat="1" ht="14.25" customHeight="1"/>
    <row r="616" s="112" customFormat="1" ht="14.25" customHeight="1"/>
    <row r="617" s="112" customFormat="1" ht="14.25" customHeight="1"/>
    <row r="618" s="112" customFormat="1" ht="14.25" customHeight="1"/>
    <row r="619" s="112" customFormat="1" ht="14.25" customHeight="1"/>
    <row r="620" s="112" customFormat="1" ht="14.25" customHeight="1"/>
    <row r="621" s="112" customFormat="1" ht="14.25" customHeight="1"/>
    <row r="622" s="112" customFormat="1" ht="14.25" customHeight="1"/>
    <row r="623" s="112" customFormat="1" ht="14.25" customHeight="1"/>
    <row r="624" s="112" customFormat="1" ht="14.25" customHeight="1"/>
    <row r="625" s="112" customFormat="1" ht="14.25" customHeight="1"/>
    <row r="626" s="112" customFormat="1" ht="14.25" customHeight="1"/>
    <row r="627" s="112" customFormat="1" ht="14.25" customHeight="1"/>
    <row r="628" s="112" customFormat="1" ht="14.25" customHeight="1"/>
    <row r="629" s="112" customFormat="1" ht="14.25" customHeight="1"/>
    <row r="630" s="112" customFormat="1" ht="14.25" customHeight="1"/>
    <row r="631" s="112" customFormat="1" ht="14.25" customHeight="1"/>
    <row r="632" s="112" customFormat="1" ht="14.25" customHeight="1"/>
    <row r="633" s="112" customFormat="1" ht="14.25" customHeight="1"/>
    <row r="634" s="112" customFormat="1" ht="14.25" customHeight="1"/>
    <row r="635" s="112" customFormat="1" ht="14.25" customHeight="1"/>
    <row r="636" s="112" customFormat="1" ht="14.25" customHeight="1"/>
    <row r="637" s="112" customFormat="1" ht="14.25" customHeight="1"/>
    <row r="638" s="112" customFormat="1" ht="14.25" customHeight="1"/>
    <row r="639" s="112" customFormat="1" ht="14.25" customHeight="1"/>
    <row r="640" s="112" customFormat="1" ht="14.25" customHeight="1"/>
    <row r="641" s="112" customFormat="1" ht="14.25" customHeight="1"/>
    <row r="642" s="112" customFormat="1" ht="14.25" customHeight="1"/>
    <row r="643" s="112" customFormat="1" ht="14.25" customHeight="1"/>
    <row r="644" s="112" customFormat="1" ht="14.25" customHeight="1"/>
    <row r="645" s="112" customFormat="1" ht="14.25" customHeight="1"/>
    <row r="646" s="112" customFormat="1" ht="14.25" customHeight="1"/>
    <row r="647" s="112" customFormat="1" ht="14.25" customHeight="1"/>
    <row r="648" s="112" customFormat="1" ht="14.25" customHeight="1"/>
    <row r="649" s="112" customFormat="1" ht="14.25" customHeight="1"/>
    <row r="650" s="112" customFormat="1" ht="14.25" customHeight="1"/>
    <row r="651" s="112" customFormat="1" ht="14.25" customHeight="1"/>
    <row r="652" s="112" customFormat="1" ht="14.25" customHeight="1"/>
    <row r="653" s="112" customFormat="1" ht="14.25" customHeight="1"/>
    <row r="654" s="112" customFormat="1" ht="14.25" customHeight="1"/>
    <row r="655" s="112" customFormat="1" ht="14.25" customHeight="1"/>
    <row r="656" s="112" customFormat="1" ht="14.25" customHeight="1"/>
    <row r="657" s="112" customFormat="1" ht="14.25" customHeight="1"/>
    <row r="658" s="112" customFormat="1" ht="14.25" customHeight="1"/>
    <row r="659" s="112" customFormat="1" ht="14.25" customHeight="1"/>
    <row r="660" s="112" customFormat="1" ht="14.25" customHeight="1"/>
    <row r="661" s="112" customFormat="1" ht="14.25" customHeight="1"/>
    <row r="662" s="112" customFormat="1" ht="14.25" customHeight="1"/>
    <row r="663" s="112" customFormat="1" ht="14.25" customHeight="1"/>
    <row r="664" s="112" customFormat="1" ht="14.25" customHeight="1"/>
    <row r="665" s="112" customFormat="1" ht="14.25" customHeight="1"/>
    <row r="666" s="112" customFormat="1" ht="14.25" customHeight="1"/>
    <row r="667" s="112" customFormat="1" ht="14.25" customHeight="1"/>
    <row r="668" s="112" customFormat="1" ht="14.25" customHeight="1"/>
    <row r="669" s="112" customFormat="1" ht="14.25" customHeight="1"/>
    <row r="670" s="112" customFormat="1" ht="14.25" customHeight="1"/>
    <row r="671" s="112" customFormat="1" ht="14.25" customHeight="1"/>
    <row r="672" s="112" customFormat="1" ht="14.25" customHeight="1"/>
    <row r="673" s="112" customFormat="1" ht="14.25" customHeight="1"/>
    <row r="674" s="112" customFormat="1" ht="14.25" customHeight="1"/>
    <row r="675" s="112" customFormat="1" ht="14.25" customHeight="1"/>
    <row r="676" s="112" customFormat="1" ht="14.25" customHeight="1"/>
    <row r="677" s="112" customFormat="1" ht="14.25" customHeight="1"/>
    <row r="678" s="112" customFormat="1" ht="14.25" customHeight="1"/>
    <row r="679" s="112" customFormat="1" ht="14.25" customHeight="1"/>
    <row r="680" s="112" customFormat="1" ht="14.25" customHeight="1"/>
    <row r="681" s="112" customFormat="1" ht="14.25" customHeight="1"/>
    <row r="682" s="112" customFormat="1" ht="14.25" customHeight="1"/>
    <row r="683" s="112" customFormat="1" ht="14.25" customHeight="1"/>
    <row r="684" s="112" customFormat="1" ht="14.25" customHeight="1"/>
    <row r="685" s="112" customFormat="1" ht="14.25" customHeight="1"/>
    <row r="686" s="112" customFormat="1" ht="14.25" customHeight="1"/>
    <row r="687" s="112" customFormat="1" ht="14.25" customHeight="1"/>
    <row r="688" s="112" customFormat="1" ht="14.25" customHeight="1"/>
    <row r="689" s="112" customFormat="1" ht="14.25" customHeight="1"/>
    <row r="690" s="112" customFormat="1" ht="14.25" customHeight="1"/>
    <row r="691" s="112" customFormat="1" ht="14.25" customHeight="1"/>
    <row r="692" s="112" customFormat="1" ht="14.25" customHeight="1"/>
    <row r="693" s="112" customFormat="1" ht="14.25" customHeight="1"/>
    <row r="694" s="112" customFormat="1" ht="14.25" customHeight="1"/>
    <row r="695" s="112" customFormat="1" ht="14.25" customHeight="1"/>
    <row r="696" s="112" customFormat="1" ht="14.25" customHeight="1"/>
    <row r="697" s="112" customFormat="1" ht="14.25" customHeight="1"/>
    <row r="698" s="112" customFormat="1" ht="14.25" customHeight="1"/>
    <row r="699" s="112" customFormat="1" ht="14.25" customHeight="1"/>
    <row r="700" s="112" customFormat="1" ht="14.25" customHeight="1"/>
    <row r="701" s="112" customFormat="1" ht="14.25" customHeight="1"/>
    <row r="702" s="112" customFormat="1" ht="14.25" customHeight="1"/>
    <row r="703" s="112" customFormat="1" ht="14.25" customHeight="1"/>
    <row r="704" s="112" customFormat="1" ht="14.25" customHeight="1"/>
    <row r="705" s="112" customFormat="1" ht="14.25" customHeight="1"/>
    <row r="706" s="112" customFormat="1" ht="14.25" customHeight="1"/>
    <row r="707" s="112" customFormat="1" ht="14.25" customHeight="1"/>
    <row r="708" s="112" customFormat="1" ht="14.25" customHeight="1"/>
    <row r="709" s="112" customFormat="1" ht="14.25" customHeight="1"/>
    <row r="710" s="112" customFormat="1" ht="14.25" customHeight="1"/>
    <row r="711" s="112" customFormat="1" ht="14.25" customHeight="1"/>
    <row r="712" s="112" customFormat="1" ht="14.25" customHeight="1"/>
    <row r="713" s="112" customFormat="1" ht="14.25" customHeight="1"/>
    <row r="714" s="112" customFormat="1" ht="14.25" customHeight="1"/>
    <row r="715" s="112" customFormat="1" ht="14.25" customHeight="1"/>
    <row r="716" s="112" customFormat="1" ht="14.25" customHeight="1"/>
    <row r="717" s="112" customFormat="1" ht="14.25" customHeight="1"/>
    <row r="718" s="112" customFormat="1" ht="14.25" customHeight="1"/>
    <row r="719" s="112" customFormat="1" ht="14.25" customHeight="1"/>
    <row r="720" s="112" customFormat="1" ht="14.25" customHeight="1"/>
    <row r="721" s="112" customFormat="1" ht="14.25" customHeight="1"/>
    <row r="722" s="112" customFormat="1" ht="14.25" customHeight="1"/>
    <row r="723" s="112" customFormat="1" ht="14.25" customHeight="1"/>
    <row r="724" s="112" customFormat="1" ht="14.25" customHeight="1"/>
    <row r="725" s="112" customFormat="1" ht="14.25" customHeight="1"/>
    <row r="726" s="112" customFormat="1" ht="14.25" customHeight="1"/>
    <row r="727" s="112" customFormat="1" ht="14.25" customHeight="1"/>
    <row r="728" s="112" customFormat="1" ht="14.25" customHeight="1"/>
    <row r="729" s="112" customFormat="1" ht="14.25" customHeight="1"/>
    <row r="730" s="112" customFormat="1" ht="14.25" customHeight="1"/>
    <row r="731" s="112" customFormat="1" ht="14.25" customHeight="1"/>
    <row r="732" s="112" customFormat="1" ht="14.25" customHeight="1"/>
    <row r="733" s="112" customFormat="1" ht="14.25" customHeight="1"/>
    <row r="734" s="112" customFormat="1" ht="14.25" customHeight="1"/>
    <row r="735" s="112" customFormat="1" ht="14.25" customHeight="1"/>
    <row r="736" s="112" customFormat="1" ht="14.25" customHeight="1"/>
    <row r="737" s="112" customFormat="1" ht="14.25" customHeight="1"/>
    <row r="738" s="112" customFormat="1" ht="14.25" customHeight="1"/>
    <row r="739" s="112" customFormat="1" ht="14.25" customHeight="1"/>
    <row r="740" s="112" customFormat="1" ht="14.25" customHeight="1"/>
    <row r="741" s="112" customFormat="1" ht="14.25" customHeight="1"/>
    <row r="742" s="112" customFormat="1" ht="14.25" customHeight="1"/>
    <row r="743" s="112" customFormat="1" ht="14.25" customHeight="1"/>
    <row r="744" s="112" customFormat="1" ht="14.25" customHeight="1"/>
    <row r="745" s="112" customFormat="1" ht="14.25" customHeight="1"/>
    <row r="746" s="112" customFormat="1" ht="14.25" customHeight="1"/>
    <row r="747" s="112" customFormat="1" ht="14.25" customHeight="1"/>
    <row r="748" s="112" customFormat="1" ht="14.25" customHeight="1"/>
    <row r="749" s="112" customFormat="1" ht="14.25" customHeight="1"/>
    <row r="750" s="112" customFormat="1" ht="14.25" customHeight="1"/>
    <row r="751" s="112" customFormat="1" ht="14.25" customHeight="1"/>
    <row r="752" s="112" customFormat="1" ht="14.25" customHeight="1"/>
    <row r="753" s="112" customFormat="1" ht="14.25" customHeight="1"/>
    <row r="754" s="112" customFormat="1" ht="14.25" customHeight="1"/>
    <row r="755" s="112" customFormat="1" ht="14.25" customHeight="1"/>
    <row r="756" s="112" customFormat="1" ht="14.25" customHeight="1"/>
    <row r="757" s="112" customFormat="1" ht="14.25" customHeight="1"/>
    <row r="758" s="112" customFormat="1" ht="14.25" customHeight="1"/>
    <row r="759" s="112" customFormat="1" ht="14.25" customHeight="1"/>
    <row r="760" s="112" customFormat="1" ht="14.25" customHeight="1"/>
    <row r="761" s="112" customFormat="1" ht="14.25" customHeight="1"/>
    <row r="762" s="112" customFormat="1" ht="14.25" customHeight="1"/>
    <row r="763" s="112" customFormat="1" ht="14.25" customHeight="1"/>
    <row r="764" s="112" customFormat="1" ht="14.25" customHeight="1"/>
    <row r="765" s="112" customFormat="1" ht="14.25" customHeight="1"/>
    <row r="766" s="112" customFormat="1" ht="14.25" customHeight="1"/>
    <row r="767" s="112" customFormat="1" ht="14.25" customHeight="1"/>
    <row r="768" s="112" customFormat="1" ht="14.25" customHeight="1"/>
    <row r="769" s="112" customFormat="1" ht="14.25" customHeight="1"/>
    <row r="770" s="112" customFormat="1" ht="14.25" customHeight="1"/>
    <row r="771" s="112" customFormat="1" ht="14.25" customHeight="1"/>
    <row r="772" s="112" customFormat="1" ht="14.25" customHeight="1"/>
    <row r="773" s="112" customFormat="1" ht="14.25" customHeight="1"/>
    <row r="774" s="112" customFormat="1" ht="14.25" customHeight="1"/>
    <row r="775" s="112" customFormat="1" ht="14.25" customHeight="1"/>
    <row r="776" s="112" customFormat="1" ht="14.25" customHeight="1"/>
    <row r="777" s="112" customFormat="1" ht="14.25" customHeight="1"/>
    <row r="778" s="112" customFormat="1" ht="14.25" customHeight="1"/>
    <row r="779" s="112" customFormat="1" ht="14.25" customHeight="1"/>
    <row r="780" s="112" customFormat="1" ht="14.25" customHeight="1"/>
    <row r="781" s="112" customFormat="1" ht="14.25" customHeight="1"/>
    <row r="782" s="112" customFormat="1" ht="14.25" customHeight="1"/>
    <row r="783" s="112" customFormat="1" ht="14.25" customHeight="1"/>
    <row r="784" s="112" customFormat="1" ht="14.25" customHeight="1"/>
    <row r="785" s="112" customFormat="1" ht="14.25" customHeight="1"/>
    <row r="786" s="112" customFormat="1" ht="14.25" customHeight="1"/>
    <row r="787" s="112" customFormat="1" ht="14.25" customHeight="1"/>
    <row r="788" s="112" customFormat="1" ht="14.25" customHeight="1"/>
    <row r="789" s="112" customFormat="1" ht="14.25" customHeight="1"/>
    <row r="790" s="112" customFormat="1" ht="14.25" customHeight="1"/>
    <row r="791" s="112" customFormat="1" ht="14.25" customHeight="1"/>
    <row r="792" s="112" customFormat="1" ht="14.25" customHeight="1"/>
    <row r="793" s="112" customFormat="1" ht="14.25" customHeight="1"/>
    <row r="794" s="112" customFormat="1" ht="14.25" customHeight="1"/>
    <row r="795" s="112" customFormat="1" ht="14.25" customHeight="1"/>
    <row r="796" s="112" customFormat="1" ht="14.25" customHeight="1"/>
    <row r="797" s="112" customFormat="1" ht="14.25" customHeight="1"/>
    <row r="798" s="112" customFormat="1" ht="14.25" customHeight="1"/>
    <row r="799" s="112" customFormat="1" ht="14.25" customHeight="1"/>
    <row r="800" s="112" customFormat="1" ht="14.25" customHeight="1"/>
    <row r="801" s="112" customFormat="1" ht="14.25" customHeight="1"/>
    <row r="802" s="112" customFormat="1" ht="14.25" customHeight="1"/>
    <row r="803" s="112" customFormat="1" ht="14.25" customHeight="1"/>
    <row r="804" s="112" customFormat="1" ht="14.25" customHeight="1"/>
    <row r="805" s="112" customFormat="1" ht="14.25" customHeight="1"/>
    <row r="806" s="112" customFormat="1" ht="14.25" customHeight="1"/>
    <row r="807" s="112" customFormat="1" ht="14.25" customHeight="1"/>
    <row r="808" s="112" customFormat="1" ht="14.25" customHeight="1"/>
    <row r="809" s="112" customFormat="1" ht="14.25" customHeight="1"/>
    <row r="810" s="112" customFormat="1" ht="14.25" customHeight="1"/>
    <row r="811" s="112" customFormat="1" ht="14.25" customHeight="1"/>
    <row r="812" s="112" customFormat="1" ht="14.25" customHeight="1"/>
    <row r="813" s="112" customFormat="1" ht="14.25" customHeight="1"/>
    <row r="814" s="112" customFormat="1" ht="14.25" customHeight="1"/>
    <row r="815" s="112" customFormat="1" ht="14.25" customHeight="1"/>
    <row r="816" s="112" customFormat="1" ht="14.25" customHeight="1"/>
    <row r="817" s="112" customFormat="1" ht="14.25" customHeight="1"/>
    <row r="818" s="112" customFormat="1" ht="14.25" customHeight="1"/>
    <row r="819" s="112" customFormat="1" ht="14.25" customHeight="1"/>
    <row r="820" s="112" customFormat="1" ht="14.25" customHeight="1"/>
    <row r="821" s="112" customFormat="1" ht="14.25" customHeight="1"/>
    <row r="822" s="112" customFormat="1" ht="14.25" customHeight="1"/>
    <row r="823" s="112" customFormat="1" ht="14.25" customHeight="1"/>
    <row r="824" s="112" customFormat="1" ht="14.25" customHeight="1"/>
    <row r="825" s="112" customFormat="1" ht="14.25" customHeight="1"/>
    <row r="826" s="112" customFormat="1" ht="14.25" customHeight="1"/>
    <row r="827" s="112" customFormat="1" ht="14.25" customHeight="1"/>
    <row r="828" s="112" customFormat="1" ht="14.25" customHeight="1"/>
    <row r="829" s="112" customFormat="1" ht="14.25" customHeight="1"/>
    <row r="830" s="112" customFormat="1" ht="14.25" customHeight="1"/>
    <row r="831" s="112" customFormat="1" ht="14.25" customHeight="1"/>
    <row r="832" s="112" customFormat="1" ht="14.25" customHeight="1"/>
    <row r="833" s="112" customFormat="1" ht="14.25" customHeight="1"/>
    <row r="834" s="112" customFormat="1" ht="14.25" customHeight="1"/>
    <row r="835" s="112" customFormat="1" ht="14.25" customHeight="1"/>
    <row r="836" s="112" customFormat="1" ht="14.25" customHeight="1"/>
    <row r="837" s="112" customFormat="1" ht="14.25" customHeight="1"/>
    <row r="838" s="112" customFormat="1" ht="14.25" customHeight="1"/>
    <row r="839" s="112" customFormat="1" ht="14.25" customHeight="1"/>
    <row r="840" s="112" customFormat="1" ht="14.25" customHeight="1"/>
    <row r="841" s="112" customFormat="1" ht="14.25" customHeight="1"/>
    <row r="842" s="112" customFormat="1" ht="14.25" customHeight="1"/>
    <row r="843" s="112" customFormat="1" ht="14.25" customHeight="1"/>
    <row r="844" s="112" customFormat="1" ht="14.25" customHeight="1"/>
    <row r="845" s="112" customFormat="1" ht="14.25" customHeight="1"/>
    <row r="846" s="112" customFormat="1" ht="14.25" customHeight="1"/>
    <row r="847" s="112" customFormat="1" ht="14.25" customHeight="1"/>
    <row r="848" s="112" customFormat="1" ht="14.25" customHeight="1"/>
    <row r="849" s="112" customFormat="1" ht="14.25" customHeight="1"/>
    <row r="850" s="112" customFormat="1" ht="14.25" customHeight="1"/>
    <row r="851" s="112" customFormat="1" ht="14.25" customHeight="1"/>
    <row r="852" s="112" customFormat="1" ht="14.25" customHeight="1"/>
    <row r="853" s="112" customFormat="1" ht="14.25" customHeight="1"/>
    <row r="854" s="112" customFormat="1" ht="14.25" customHeight="1"/>
    <row r="855" s="112" customFormat="1" ht="14.25" customHeight="1"/>
    <row r="856" s="112" customFormat="1" ht="14.25" customHeight="1"/>
    <row r="857" s="112" customFormat="1" ht="14.25" customHeight="1"/>
    <row r="858" s="112" customFormat="1" ht="14.25" customHeight="1"/>
    <row r="859" s="112" customFormat="1" ht="14.25" customHeight="1"/>
    <row r="860" s="112" customFormat="1" ht="14.25" customHeight="1"/>
    <row r="861" s="112" customFormat="1" ht="14.25" customHeight="1"/>
    <row r="862" s="112" customFormat="1" ht="14.25" customHeight="1"/>
    <row r="863" s="112" customFormat="1" ht="14.25" customHeight="1"/>
    <row r="864" s="112" customFormat="1" ht="14.25" customHeight="1"/>
    <row r="865" s="112" customFormat="1" ht="14.25" customHeight="1"/>
    <row r="866" s="112" customFormat="1" ht="14.25" customHeight="1"/>
    <row r="867" s="112" customFormat="1" ht="14.25" customHeight="1"/>
    <row r="868" s="112" customFormat="1" ht="14.25" customHeight="1"/>
    <row r="869" s="112" customFormat="1" ht="14.25" customHeight="1"/>
    <row r="870" s="112" customFormat="1" ht="14.25" customHeight="1"/>
    <row r="871" s="112" customFormat="1" ht="14.25" customHeight="1"/>
    <row r="872" s="112" customFormat="1" ht="14.25" customHeight="1"/>
    <row r="873" s="112" customFormat="1" ht="14.25" customHeight="1"/>
    <row r="874" s="112" customFormat="1" ht="14.25" customHeight="1"/>
    <row r="875" s="112" customFormat="1" ht="14.25" customHeight="1"/>
    <row r="876" s="112" customFormat="1" ht="14.25" customHeight="1"/>
    <row r="877" s="112" customFormat="1" ht="14.25" customHeight="1"/>
    <row r="878" s="112" customFormat="1" ht="14.25" customHeight="1"/>
    <row r="879" s="112" customFormat="1" ht="14.25" customHeight="1"/>
    <row r="880" s="112" customFormat="1" ht="14.25" customHeight="1"/>
    <row r="881" s="112" customFormat="1" ht="14.25" customHeight="1"/>
    <row r="882" s="112" customFormat="1" ht="14.25" customHeight="1"/>
    <row r="883" s="112" customFormat="1" ht="14.25" customHeight="1"/>
    <row r="884" s="112" customFormat="1" ht="14.25" customHeight="1"/>
    <row r="885" s="112" customFormat="1" ht="14.25" customHeight="1"/>
    <row r="886" s="112" customFormat="1" ht="14.25" customHeight="1"/>
    <row r="887" s="112" customFormat="1" ht="14.25" customHeight="1"/>
    <row r="888" s="112" customFormat="1" ht="14.25" customHeight="1"/>
    <row r="889" s="112" customFormat="1" ht="14.25" customHeight="1"/>
    <row r="890" s="112" customFormat="1" ht="14.25" customHeight="1"/>
    <row r="891" s="112" customFormat="1" ht="14.25" customHeight="1"/>
    <row r="892" s="112" customFormat="1" ht="14.25" customHeight="1"/>
    <row r="893" s="112" customFormat="1" ht="14.25" customHeight="1"/>
    <row r="894" s="112" customFormat="1" ht="14.25" customHeight="1"/>
    <row r="895" s="112" customFormat="1" ht="14.25" customHeight="1"/>
    <row r="896" s="112" customFormat="1" ht="14.25" customHeight="1"/>
    <row r="897" s="112" customFormat="1" ht="14.25" customHeight="1"/>
    <row r="898" s="112" customFormat="1" ht="14.25" customHeight="1"/>
    <row r="899" s="112" customFormat="1" ht="14.25" customHeight="1"/>
    <row r="900" s="112" customFormat="1" ht="14.25" customHeight="1"/>
    <row r="901" s="112" customFormat="1" ht="14.25" customHeight="1"/>
    <row r="902" s="112" customFormat="1" ht="14.25" customHeight="1"/>
    <row r="903" s="112" customFormat="1" ht="14.25" customHeight="1"/>
    <row r="904" s="112" customFormat="1" ht="14.25" customHeight="1"/>
    <row r="905" s="112" customFormat="1" ht="14.25" customHeight="1"/>
    <row r="906" s="112" customFormat="1" ht="14.25" customHeight="1"/>
    <row r="907" s="112" customFormat="1" ht="14.25" customHeight="1"/>
    <row r="908" s="112" customFormat="1" ht="14.25" customHeight="1"/>
    <row r="909" s="112" customFormat="1" ht="14.25" customHeight="1"/>
    <row r="910" s="112" customFormat="1" ht="14.25" customHeight="1"/>
    <row r="911" s="112" customFormat="1" ht="14.25" customHeight="1"/>
    <row r="912" s="112" customFormat="1" ht="14.25" customHeight="1"/>
    <row r="913" s="112" customFormat="1" ht="14.25" customHeight="1"/>
    <row r="914" s="112" customFormat="1" ht="14.25" customHeight="1"/>
    <row r="915" s="112" customFormat="1" ht="14.25" customHeight="1"/>
    <row r="916" s="112" customFormat="1" ht="14.25" customHeight="1"/>
    <row r="917" s="112" customFormat="1" ht="14.25" customHeight="1"/>
    <row r="918" s="112" customFormat="1" ht="14.25" customHeight="1"/>
    <row r="919" s="112" customFormat="1" ht="14.25" customHeight="1"/>
    <row r="920" s="112" customFormat="1" ht="14.25" customHeight="1"/>
    <row r="921" s="112" customFormat="1" ht="14.25" customHeight="1"/>
    <row r="922" s="112" customFormat="1" ht="14.25" customHeight="1"/>
    <row r="923" s="112" customFormat="1" ht="14.25" customHeight="1"/>
    <row r="924" s="112" customFormat="1" ht="14.25" customHeight="1"/>
    <row r="925" s="112" customFormat="1" ht="14.25" customHeight="1"/>
    <row r="926" s="112" customFormat="1" ht="14.25" customHeight="1"/>
    <row r="927" s="112" customFormat="1" ht="14.25" customHeight="1"/>
    <row r="928" s="112" customFormat="1" ht="14.25" customHeight="1"/>
    <row r="929" s="112" customFormat="1" ht="14.25" customHeight="1"/>
    <row r="930" s="112" customFormat="1" ht="14.25" customHeight="1"/>
    <row r="931" s="112" customFormat="1" ht="14.25" customHeight="1"/>
    <row r="932" s="112" customFormat="1" ht="14.25" customHeight="1"/>
    <row r="933" s="112" customFormat="1" ht="14.25" customHeight="1"/>
    <row r="934" s="112" customFormat="1" ht="14.25" customHeight="1"/>
    <row r="935" s="112" customFormat="1" ht="14.25" customHeight="1"/>
    <row r="936" s="112" customFormat="1" ht="14.25" customHeight="1"/>
    <row r="937" s="112" customFormat="1" ht="14.25" customHeight="1"/>
    <row r="938" s="112" customFormat="1" ht="14.25" customHeight="1"/>
    <row r="939" s="112" customFormat="1" ht="14.25" customHeight="1"/>
    <row r="940" s="112" customFormat="1" ht="14.25" customHeight="1"/>
    <row r="941" s="112" customFormat="1" ht="14.25" customHeight="1"/>
    <row r="942" s="112" customFormat="1" ht="14.25" customHeight="1"/>
    <row r="943" s="112" customFormat="1" ht="14.25" customHeight="1"/>
    <row r="944" s="112" customFormat="1" ht="14.25" customHeight="1"/>
    <row r="945" s="112" customFormat="1" ht="14.25" customHeight="1"/>
    <row r="946" s="112" customFormat="1" ht="14.25" customHeight="1"/>
    <row r="947" s="112" customFormat="1" ht="14.25" customHeight="1"/>
    <row r="948" s="112" customFormat="1" ht="14.25" customHeight="1"/>
    <row r="949" s="112" customFormat="1" ht="14.25" customHeight="1"/>
    <row r="950" s="112" customFormat="1" ht="14.25" customHeight="1"/>
    <row r="951" s="112" customFormat="1" ht="14.25" customHeight="1"/>
    <row r="952" s="112" customFormat="1" ht="14.25" customHeight="1"/>
    <row r="953" s="112" customFormat="1" ht="14.25" customHeight="1"/>
    <row r="954" s="112" customFormat="1" ht="14.25" customHeight="1"/>
    <row r="955" s="112" customFormat="1" ht="14.25" customHeight="1"/>
    <row r="956" s="112" customFormat="1" ht="14.25" customHeight="1"/>
    <row r="957" s="112" customFormat="1" ht="14.25" customHeight="1"/>
    <row r="958" s="112" customFormat="1" ht="14.25" customHeight="1"/>
    <row r="959" s="112" customFormat="1" ht="14.25" customHeight="1"/>
    <row r="960" s="112" customFormat="1" ht="14.25" customHeight="1"/>
    <row r="961" s="112" customFormat="1" ht="14.25" customHeight="1"/>
    <row r="962" s="112" customFormat="1" ht="14.25" customHeight="1"/>
    <row r="963" s="112" customFormat="1" ht="14.25" customHeight="1"/>
    <row r="964" s="112" customFormat="1" ht="14.25" customHeight="1"/>
    <row r="965" s="112" customFormat="1" ht="14.25" customHeight="1"/>
    <row r="966" s="112" customFormat="1" ht="14.25" customHeight="1"/>
    <row r="967" s="112" customFormat="1" ht="14.25" customHeight="1"/>
    <row r="968" s="112" customFormat="1" ht="14.25" customHeight="1"/>
    <row r="969" s="112" customFormat="1" ht="14.25" customHeight="1"/>
    <row r="970" s="112" customFormat="1" ht="14.25" customHeight="1"/>
    <row r="971" s="112" customFormat="1" ht="14.25" customHeight="1"/>
    <row r="972" s="112" customFormat="1" ht="14.25" customHeight="1"/>
    <row r="973" s="112" customFormat="1" ht="14.25" customHeight="1"/>
    <row r="974" s="112" customFormat="1" ht="14.25" customHeight="1"/>
    <row r="975" s="112" customFormat="1" ht="14.25" customHeight="1"/>
    <row r="976" s="112" customFormat="1" ht="14.25" customHeight="1"/>
    <row r="977" s="112" customFormat="1" ht="14.25" customHeight="1"/>
    <row r="978" s="112" customFormat="1" ht="14.25" customHeight="1"/>
    <row r="979" s="112" customFormat="1" ht="14.25" customHeight="1"/>
    <row r="980" s="112" customFormat="1" ht="14.25" customHeight="1"/>
    <row r="981" s="112" customFormat="1" ht="14.25" customHeight="1"/>
    <row r="982" s="112" customFormat="1" ht="14.25" customHeight="1"/>
    <row r="983" s="112" customFormat="1" ht="14.25" customHeight="1"/>
    <row r="984" s="112" customFormat="1" ht="14.25" customHeight="1"/>
    <row r="985" s="112" customFormat="1" ht="14.25" customHeight="1"/>
    <row r="986" s="112" customFormat="1" ht="14.25" customHeight="1"/>
    <row r="987" s="112" customFormat="1" ht="14.25" customHeight="1"/>
    <row r="988" s="112" customFormat="1" ht="14.25" customHeight="1"/>
    <row r="989" s="112" customFormat="1" ht="14.25" customHeight="1"/>
    <row r="990" s="112" customFormat="1" ht="14.25" customHeight="1"/>
    <row r="991" s="112" customFormat="1" ht="14.25" customHeight="1"/>
    <row r="992" s="112" customFormat="1" ht="14.25" customHeight="1"/>
    <row r="993" s="112" customFormat="1" ht="14.25" customHeight="1"/>
    <row r="994" s="112" customFormat="1" ht="14.25" customHeight="1"/>
    <row r="995" s="112" customFormat="1" ht="14.25" customHeight="1"/>
    <row r="996" s="112" customFormat="1" ht="14.25" customHeight="1"/>
    <row r="997" s="112" customFormat="1" ht="14.25" customHeight="1"/>
    <row r="998" s="112" customFormat="1" ht="14.25" customHeight="1"/>
    <row r="999" s="112" customFormat="1" ht="14.25" customHeight="1"/>
    <row r="1000" s="112" customFormat="1" ht="14.25" customHeight="1"/>
  </sheetData>
  <autoFilter ref="A1:D8" xr:uid="{00000000-0001-0000-0D00-000000000000}">
    <sortState xmlns:xlrd2="http://schemas.microsoft.com/office/spreadsheetml/2017/richdata2" ref="A2:D8">
      <sortCondition ref="B1:B8"/>
    </sortState>
  </autoFilter>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CC3-FA85-451D-87C7-8D5B6ED1E60D}">
  <dimension ref="A1:Z1000"/>
  <sheetViews>
    <sheetView workbookViewId="0">
      <pane ySplit="1" topLeftCell="A2" activePane="bottomLeft" state="frozen"/>
      <selection pane="bottomLeft" activeCell="B33" sqref="B33"/>
    </sheetView>
  </sheetViews>
  <sheetFormatPr defaultColWidth="12.625" defaultRowHeight="15" customHeight="1"/>
  <cols>
    <col min="1" max="1" width="38.25" style="112" customWidth="1"/>
    <col min="2" max="2" width="12.375" style="112" customWidth="1"/>
    <col min="3" max="9" width="12.625" style="112" customWidth="1"/>
    <col min="10" max="16384" width="12.625" style="112"/>
  </cols>
  <sheetData>
    <row r="1" spans="1:26" ht="15.75">
      <c r="A1" s="149" t="s">
        <v>5663</v>
      </c>
      <c r="B1" s="162" t="s">
        <v>49</v>
      </c>
      <c r="C1" s="162" t="s">
        <v>48</v>
      </c>
      <c r="D1" s="162" t="s">
        <v>47</v>
      </c>
      <c r="E1" s="162" t="s">
        <v>6557</v>
      </c>
      <c r="F1" s="162" t="s">
        <v>537</v>
      </c>
      <c r="G1" s="162" t="s">
        <v>43</v>
      </c>
      <c r="H1" s="162" t="s">
        <v>45</v>
      </c>
      <c r="I1" s="162" t="s">
        <v>39</v>
      </c>
      <c r="J1" s="116"/>
      <c r="K1" s="116"/>
      <c r="L1" s="116"/>
      <c r="M1" s="116"/>
      <c r="N1" s="116"/>
      <c r="O1" s="116"/>
      <c r="P1" s="116"/>
      <c r="Q1" s="116"/>
      <c r="R1" s="116"/>
      <c r="S1" s="116"/>
      <c r="T1" s="116"/>
      <c r="U1" s="116"/>
      <c r="V1" s="116"/>
      <c r="W1" s="116"/>
      <c r="X1" s="116"/>
      <c r="Y1" s="116"/>
      <c r="Z1" s="116"/>
    </row>
    <row r="2" spans="1:26" ht="15.75">
      <c r="A2" s="149" t="s">
        <v>5605</v>
      </c>
      <c r="B2" s="153" t="b">
        <v>1</v>
      </c>
      <c r="C2" s="153" t="s">
        <v>984</v>
      </c>
      <c r="D2" s="153" t="s">
        <v>984</v>
      </c>
      <c r="E2" s="153" t="s">
        <v>984</v>
      </c>
      <c r="F2" s="153" t="s">
        <v>984</v>
      </c>
      <c r="G2" s="153" t="s">
        <v>984</v>
      </c>
      <c r="H2" s="153" t="s">
        <v>984</v>
      </c>
      <c r="I2" s="153" t="s">
        <v>984</v>
      </c>
      <c r="J2" s="116"/>
      <c r="K2" s="116"/>
      <c r="L2" s="116"/>
      <c r="M2" s="116"/>
      <c r="N2" s="116"/>
      <c r="O2" s="116"/>
      <c r="P2" s="116"/>
      <c r="Q2" s="116"/>
      <c r="R2" s="116"/>
      <c r="S2" s="116"/>
      <c r="T2" s="116"/>
      <c r="U2" s="116"/>
      <c r="V2" s="116"/>
      <c r="W2" s="116"/>
      <c r="X2" s="116"/>
      <c r="Y2" s="116"/>
      <c r="Z2" s="116"/>
    </row>
    <row r="3" spans="1:26" ht="15.75">
      <c r="A3" s="149" t="s">
        <v>5592</v>
      </c>
      <c r="B3" s="153" t="s">
        <v>984</v>
      </c>
      <c r="C3" s="153" t="b">
        <v>1</v>
      </c>
      <c r="D3" s="153" t="s">
        <v>984</v>
      </c>
      <c r="E3" s="153" t="s">
        <v>984</v>
      </c>
      <c r="F3" s="153" t="s">
        <v>984</v>
      </c>
      <c r="G3" s="153" t="s">
        <v>984</v>
      </c>
      <c r="H3" s="153" t="b">
        <v>1</v>
      </c>
      <c r="I3" s="153" t="b">
        <v>1</v>
      </c>
      <c r="J3" s="116"/>
      <c r="K3" s="116"/>
      <c r="L3" s="116"/>
      <c r="M3" s="116"/>
      <c r="N3" s="116"/>
      <c r="O3" s="116"/>
      <c r="P3" s="116"/>
      <c r="Q3" s="116"/>
      <c r="R3" s="116"/>
      <c r="S3" s="116"/>
      <c r="T3" s="116"/>
      <c r="U3" s="116"/>
      <c r="V3" s="116"/>
      <c r="W3" s="116"/>
      <c r="X3" s="116"/>
      <c r="Y3" s="116"/>
      <c r="Z3" s="116"/>
    </row>
    <row r="4" spans="1:26" ht="14.25">
      <c r="A4" s="161" t="s">
        <v>6554</v>
      </c>
      <c r="B4" s="153" t="s">
        <v>984</v>
      </c>
      <c r="C4" s="153" t="s">
        <v>984</v>
      </c>
      <c r="D4" s="153" t="b">
        <v>1</v>
      </c>
      <c r="E4" s="153" t="s">
        <v>984</v>
      </c>
      <c r="F4" s="153" t="b">
        <v>1</v>
      </c>
      <c r="G4" s="153" t="s">
        <v>984</v>
      </c>
      <c r="H4" s="153" t="b">
        <v>1</v>
      </c>
      <c r="I4" s="153" t="b">
        <v>1</v>
      </c>
      <c r="J4" s="116"/>
      <c r="K4" s="116"/>
      <c r="L4" s="116"/>
      <c r="M4" s="116"/>
      <c r="N4" s="116"/>
      <c r="O4" s="116"/>
      <c r="P4" s="116"/>
      <c r="Q4" s="116"/>
      <c r="R4" s="116"/>
      <c r="S4" s="116"/>
      <c r="T4" s="116"/>
      <c r="U4" s="116"/>
      <c r="V4" s="116"/>
      <c r="W4" s="116"/>
      <c r="X4" s="116"/>
      <c r="Y4" s="116"/>
      <c r="Z4" s="116"/>
    </row>
    <row r="5" spans="1:26" ht="15.75">
      <c r="A5" s="149" t="s">
        <v>5558</v>
      </c>
      <c r="B5" s="137" t="s">
        <v>984</v>
      </c>
      <c r="C5" s="137" t="s">
        <v>984</v>
      </c>
      <c r="D5" s="137" t="s">
        <v>984</v>
      </c>
      <c r="E5" s="137" t="s">
        <v>984</v>
      </c>
      <c r="F5" s="137" t="s">
        <v>984</v>
      </c>
      <c r="G5" s="137" t="s">
        <v>984</v>
      </c>
      <c r="H5" s="137" t="s">
        <v>984</v>
      </c>
      <c r="I5" s="137" t="s">
        <v>984</v>
      </c>
      <c r="J5" s="116"/>
      <c r="K5" s="116"/>
      <c r="L5" s="116"/>
      <c r="M5" s="116"/>
      <c r="N5" s="116"/>
      <c r="O5" s="116"/>
      <c r="P5" s="116"/>
      <c r="Q5" s="116"/>
      <c r="R5" s="116"/>
      <c r="S5" s="116"/>
      <c r="T5" s="116"/>
      <c r="U5" s="116"/>
      <c r="V5" s="116"/>
      <c r="W5" s="116"/>
      <c r="X5" s="116"/>
      <c r="Y5" s="116"/>
      <c r="Z5" s="116"/>
    </row>
    <row r="6" spans="1:26" ht="15.75">
      <c r="A6" s="149" t="s">
        <v>5555</v>
      </c>
      <c r="B6" s="153" t="s">
        <v>984</v>
      </c>
      <c r="C6" s="153" t="s">
        <v>984</v>
      </c>
      <c r="D6" s="153" t="s">
        <v>984</v>
      </c>
      <c r="E6" s="153" t="s">
        <v>984</v>
      </c>
      <c r="F6" s="153" t="s">
        <v>984</v>
      </c>
      <c r="G6" s="153" t="s">
        <v>984</v>
      </c>
      <c r="H6" s="153" t="s">
        <v>984</v>
      </c>
      <c r="I6" s="153" t="s">
        <v>984</v>
      </c>
      <c r="J6" s="116"/>
      <c r="K6" s="116"/>
      <c r="L6" s="116"/>
      <c r="M6" s="116"/>
      <c r="N6" s="116"/>
      <c r="O6" s="116"/>
      <c r="P6" s="116"/>
      <c r="Q6" s="116"/>
      <c r="R6" s="116"/>
      <c r="S6" s="116"/>
      <c r="T6" s="116"/>
      <c r="U6" s="116"/>
      <c r="V6" s="116"/>
      <c r="W6" s="116"/>
      <c r="X6" s="116"/>
      <c r="Y6" s="116"/>
      <c r="Z6" s="116"/>
    </row>
    <row r="7" spans="1:26" ht="15.75">
      <c r="A7" s="149" t="s">
        <v>40</v>
      </c>
      <c r="B7" s="137" t="s">
        <v>984</v>
      </c>
      <c r="C7" s="137" t="s">
        <v>984</v>
      </c>
      <c r="D7" s="137" t="s">
        <v>984</v>
      </c>
      <c r="E7" s="137" t="s">
        <v>984</v>
      </c>
      <c r="F7" s="137" t="s">
        <v>984</v>
      </c>
      <c r="G7" s="137" t="s">
        <v>984</v>
      </c>
      <c r="H7" s="137" t="s">
        <v>984</v>
      </c>
      <c r="I7" s="137" t="s">
        <v>984</v>
      </c>
      <c r="J7" s="116"/>
      <c r="K7" s="116"/>
      <c r="L7" s="116"/>
      <c r="M7" s="116"/>
      <c r="N7" s="116"/>
      <c r="O7" s="116"/>
      <c r="P7" s="116"/>
      <c r="Q7" s="116"/>
      <c r="R7" s="116"/>
      <c r="S7" s="116"/>
      <c r="T7" s="116"/>
      <c r="U7" s="116"/>
      <c r="V7" s="116"/>
      <c r="W7" s="116"/>
      <c r="X7" s="116"/>
      <c r="Y7" s="116"/>
      <c r="Z7" s="116"/>
    </row>
    <row r="8" spans="1:26" ht="15.75">
      <c r="A8" s="149" t="s">
        <v>5543</v>
      </c>
      <c r="B8" s="153" t="s">
        <v>984</v>
      </c>
      <c r="C8" s="153" t="b">
        <v>1</v>
      </c>
      <c r="D8" s="153" t="s">
        <v>984</v>
      </c>
      <c r="E8" s="153" t="s">
        <v>984</v>
      </c>
      <c r="F8" s="153" t="s">
        <v>984</v>
      </c>
      <c r="G8" s="153" t="s">
        <v>984</v>
      </c>
      <c r="H8" s="153" t="s">
        <v>984</v>
      </c>
      <c r="I8" s="153" t="s">
        <v>984</v>
      </c>
      <c r="J8" s="116"/>
      <c r="K8" s="116"/>
      <c r="L8" s="116"/>
      <c r="M8" s="116"/>
      <c r="N8" s="116"/>
      <c r="O8" s="116"/>
      <c r="P8" s="116"/>
      <c r="Q8" s="116"/>
      <c r="R8" s="116"/>
      <c r="S8" s="116"/>
      <c r="T8" s="116"/>
      <c r="U8" s="116"/>
      <c r="V8" s="116"/>
      <c r="W8" s="116"/>
      <c r="X8" s="116"/>
      <c r="Y8" s="116"/>
      <c r="Z8" s="116"/>
    </row>
    <row r="9" spans="1:26" ht="15.75">
      <c r="A9" s="149" t="s">
        <v>5508</v>
      </c>
      <c r="B9" s="153" t="b">
        <v>1</v>
      </c>
      <c r="C9" s="153" t="s">
        <v>984</v>
      </c>
      <c r="D9" s="153" t="b">
        <v>1</v>
      </c>
      <c r="E9" s="153" t="s">
        <v>984</v>
      </c>
      <c r="F9" s="153" t="b">
        <v>1</v>
      </c>
      <c r="G9" s="153" t="s">
        <v>984</v>
      </c>
      <c r="H9" s="153" t="s">
        <v>984</v>
      </c>
      <c r="I9" s="153" t="s">
        <v>984</v>
      </c>
      <c r="J9" s="116"/>
      <c r="K9" s="116"/>
      <c r="L9" s="116"/>
      <c r="M9" s="116"/>
      <c r="N9" s="116"/>
      <c r="O9" s="116"/>
      <c r="P9" s="116"/>
      <c r="Q9" s="116"/>
      <c r="R9" s="116"/>
      <c r="S9" s="116"/>
      <c r="T9" s="116"/>
      <c r="U9" s="116"/>
      <c r="V9" s="116"/>
      <c r="W9" s="116"/>
      <c r="X9" s="116"/>
      <c r="Y9" s="116"/>
      <c r="Z9" s="116"/>
    </row>
    <row r="10" spans="1:26" ht="15.75">
      <c r="A10" s="149" t="s">
        <v>5480</v>
      </c>
      <c r="B10" s="153" t="s">
        <v>984</v>
      </c>
      <c r="C10" s="153" t="s">
        <v>984</v>
      </c>
      <c r="D10" s="153" t="s">
        <v>984</v>
      </c>
      <c r="E10" s="153" t="s">
        <v>984</v>
      </c>
      <c r="F10" s="153" t="s">
        <v>984</v>
      </c>
      <c r="G10" s="153" t="s">
        <v>984</v>
      </c>
      <c r="H10" s="153" t="s">
        <v>984</v>
      </c>
      <c r="I10" s="153" t="s">
        <v>984</v>
      </c>
      <c r="J10" s="116"/>
      <c r="K10" s="116"/>
      <c r="L10" s="116"/>
      <c r="M10" s="116"/>
      <c r="N10" s="116"/>
      <c r="O10" s="116"/>
      <c r="P10" s="116"/>
      <c r="Q10" s="116"/>
      <c r="R10" s="116"/>
      <c r="S10" s="116"/>
      <c r="T10" s="116"/>
      <c r="U10" s="116"/>
      <c r="V10" s="116"/>
      <c r="W10" s="116"/>
      <c r="X10" s="116"/>
      <c r="Y10" s="116"/>
      <c r="Z10" s="116"/>
    </row>
    <row r="11" spans="1:26" ht="15.75">
      <c r="A11" s="149" t="s">
        <v>5472</v>
      </c>
      <c r="B11" s="153" t="b">
        <v>1</v>
      </c>
      <c r="C11" s="153" t="s">
        <v>984</v>
      </c>
      <c r="D11" s="153" t="s">
        <v>984</v>
      </c>
      <c r="E11" s="153" t="s">
        <v>984</v>
      </c>
      <c r="F11" s="153" t="b">
        <v>1</v>
      </c>
      <c r="G11" s="153" t="s">
        <v>984</v>
      </c>
      <c r="H11" s="153" t="s">
        <v>984</v>
      </c>
      <c r="I11" s="153" t="s">
        <v>984</v>
      </c>
      <c r="J11" s="116"/>
      <c r="K11" s="116"/>
      <c r="L11" s="116"/>
      <c r="M11" s="116"/>
      <c r="N11" s="116"/>
      <c r="O11" s="116"/>
      <c r="P11" s="116"/>
      <c r="Q11" s="116"/>
      <c r="R11" s="116"/>
      <c r="S11" s="116"/>
      <c r="T11" s="116"/>
      <c r="U11" s="116"/>
      <c r="V11" s="116"/>
      <c r="W11" s="116"/>
      <c r="X11" s="116"/>
      <c r="Y11" s="116"/>
      <c r="Z11" s="116"/>
    </row>
    <row r="12" spans="1:26" ht="15.75">
      <c r="A12" s="149" t="s">
        <v>458</v>
      </c>
      <c r="B12" s="153" t="s">
        <v>984</v>
      </c>
      <c r="C12" s="153" t="s">
        <v>984</v>
      </c>
      <c r="D12" s="153" t="b">
        <v>1</v>
      </c>
      <c r="E12" s="153" t="s">
        <v>984</v>
      </c>
      <c r="F12" s="153" t="b">
        <v>1</v>
      </c>
      <c r="G12" s="153" t="s">
        <v>984</v>
      </c>
      <c r="H12" s="153" t="b">
        <v>1</v>
      </c>
      <c r="I12" s="153" t="s">
        <v>984</v>
      </c>
      <c r="J12" s="116"/>
      <c r="K12" s="116"/>
      <c r="L12" s="116"/>
      <c r="M12" s="116"/>
      <c r="N12" s="116"/>
      <c r="O12" s="116"/>
      <c r="P12" s="116"/>
      <c r="Q12" s="116"/>
      <c r="R12" s="116"/>
      <c r="S12" s="116"/>
      <c r="T12" s="116"/>
      <c r="U12" s="116"/>
      <c r="V12" s="116"/>
      <c r="W12" s="116"/>
      <c r="X12" s="116"/>
      <c r="Y12" s="116"/>
      <c r="Z12" s="116"/>
    </row>
    <row r="13" spans="1:26" ht="15.75">
      <c r="A13" s="149" t="s">
        <v>5419</v>
      </c>
      <c r="B13" s="153" t="s">
        <v>984</v>
      </c>
      <c r="C13" s="153" t="b">
        <v>1</v>
      </c>
      <c r="D13" s="153" t="s">
        <v>984</v>
      </c>
      <c r="E13" s="153" t="s">
        <v>984</v>
      </c>
      <c r="F13" s="153" t="s">
        <v>984</v>
      </c>
      <c r="G13" s="153" t="s">
        <v>984</v>
      </c>
      <c r="H13" s="153" t="s">
        <v>984</v>
      </c>
      <c r="I13" s="153" t="s">
        <v>984</v>
      </c>
      <c r="J13" s="116"/>
      <c r="K13" s="116"/>
      <c r="L13" s="116"/>
      <c r="M13" s="116"/>
      <c r="N13" s="116"/>
      <c r="O13" s="116"/>
      <c r="P13" s="116"/>
      <c r="Q13" s="116"/>
      <c r="R13" s="116"/>
      <c r="S13" s="116"/>
      <c r="T13" s="116"/>
      <c r="U13" s="116"/>
      <c r="V13" s="116"/>
      <c r="W13" s="116"/>
      <c r="X13" s="116"/>
      <c r="Y13" s="116"/>
      <c r="Z13" s="116"/>
    </row>
    <row r="14" spans="1:26" ht="15.75">
      <c r="A14" s="149" t="s">
        <v>5406</v>
      </c>
      <c r="B14" s="153" t="s">
        <v>984</v>
      </c>
      <c r="C14" s="153" t="s">
        <v>984</v>
      </c>
      <c r="D14" s="153" t="s">
        <v>984</v>
      </c>
      <c r="E14" s="153" t="s">
        <v>984</v>
      </c>
      <c r="F14" s="153" t="b">
        <v>1</v>
      </c>
      <c r="G14" s="153" t="s">
        <v>984</v>
      </c>
      <c r="H14" s="153" t="b">
        <v>1</v>
      </c>
      <c r="I14" s="153" t="s">
        <v>984</v>
      </c>
      <c r="J14" s="116"/>
      <c r="K14" s="116"/>
      <c r="L14" s="116"/>
      <c r="M14" s="116"/>
      <c r="N14" s="116"/>
      <c r="O14" s="116"/>
      <c r="P14" s="116"/>
      <c r="Q14" s="116"/>
      <c r="R14" s="116"/>
      <c r="S14" s="116"/>
      <c r="T14" s="116"/>
      <c r="U14" s="116"/>
      <c r="V14" s="116"/>
      <c r="W14" s="116"/>
      <c r="X14" s="116"/>
      <c r="Y14" s="116"/>
      <c r="Z14" s="116"/>
    </row>
    <row r="15" spans="1:26" ht="14.25">
      <c r="A15" s="161" t="s">
        <v>6546</v>
      </c>
      <c r="B15" s="153" t="s">
        <v>984</v>
      </c>
      <c r="C15" s="153" t="s">
        <v>984</v>
      </c>
      <c r="D15" s="153" t="s">
        <v>984</v>
      </c>
      <c r="E15" s="153" t="s">
        <v>984</v>
      </c>
      <c r="F15" s="153" t="s">
        <v>984</v>
      </c>
      <c r="G15" s="153" t="s">
        <v>984</v>
      </c>
      <c r="H15" s="153" t="s">
        <v>984</v>
      </c>
      <c r="I15" s="153" t="s">
        <v>984</v>
      </c>
      <c r="J15" s="116"/>
      <c r="K15" s="116"/>
      <c r="L15" s="116"/>
      <c r="M15" s="116"/>
      <c r="N15" s="116"/>
      <c r="O15" s="116"/>
      <c r="P15" s="116"/>
      <c r="Q15" s="116"/>
      <c r="R15" s="116"/>
      <c r="S15" s="116"/>
      <c r="T15" s="116"/>
      <c r="U15" s="116"/>
      <c r="V15" s="116"/>
      <c r="W15" s="116"/>
      <c r="X15" s="116"/>
      <c r="Y15" s="116"/>
      <c r="Z15" s="116"/>
    </row>
    <row r="16" spans="1:26" ht="15.75">
      <c r="A16" s="149" t="s">
        <v>6544</v>
      </c>
      <c r="B16" s="153" t="s">
        <v>984</v>
      </c>
      <c r="C16" s="153" t="s">
        <v>984</v>
      </c>
      <c r="D16" s="153" t="s">
        <v>984</v>
      </c>
      <c r="E16" s="153" t="s">
        <v>984</v>
      </c>
      <c r="F16" s="153" t="s">
        <v>984</v>
      </c>
      <c r="G16" s="153" t="s">
        <v>984</v>
      </c>
      <c r="H16" s="153" t="s">
        <v>984</v>
      </c>
      <c r="I16" s="153" t="s">
        <v>984</v>
      </c>
      <c r="J16" s="116"/>
      <c r="K16" s="116"/>
      <c r="L16" s="116"/>
      <c r="M16" s="116"/>
      <c r="N16" s="116"/>
      <c r="O16" s="116"/>
      <c r="P16" s="116"/>
      <c r="Q16" s="116"/>
      <c r="R16" s="116"/>
      <c r="S16" s="116"/>
      <c r="T16" s="116"/>
      <c r="U16" s="116"/>
      <c r="V16" s="116"/>
      <c r="W16" s="116"/>
      <c r="X16" s="116"/>
      <c r="Y16" s="116"/>
      <c r="Z16" s="116"/>
    </row>
    <row r="17" spans="1:26" ht="15.75">
      <c r="A17" s="149" t="s">
        <v>5655</v>
      </c>
      <c r="B17" s="153" t="s">
        <v>984</v>
      </c>
      <c r="C17" s="153" t="s">
        <v>984</v>
      </c>
      <c r="D17" s="153" t="s">
        <v>984</v>
      </c>
      <c r="E17" s="153" t="b">
        <v>1</v>
      </c>
      <c r="F17" s="153" t="b">
        <v>1</v>
      </c>
      <c r="G17" s="153" t="b">
        <v>1</v>
      </c>
      <c r="H17" s="153" t="s">
        <v>984</v>
      </c>
      <c r="I17" s="153" t="s">
        <v>984</v>
      </c>
      <c r="J17" s="116"/>
      <c r="K17" s="116"/>
      <c r="L17" s="116"/>
      <c r="M17" s="116"/>
      <c r="N17" s="116"/>
      <c r="O17" s="116"/>
      <c r="P17" s="116"/>
      <c r="Q17" s="116"/>
      <c r="R17" s="116"/>
      <c r="S17" s="116"/>
      <c r="T17" s="116"/>
      <c r="U17" s="116"/>
      <c r="V17" s="116"/>
      <c r="W17" s="116"/>
      <c r="X17" s="116"/>
      <c r="Y17" s="116"/>
      <c r="Z17" s="116"/>
    </row>
    <row r="18" spans="1:26" ht="15.75">
      <c r="A18" s="149" t="s">
        <v>5653</v>
      </c>
      <c r="B18" s="153" t="s">
        <v>984</v>
      </c>
      <c r="C18" s="153" t="s">
        <v>984</v>
      </c>
      <c r="D18" s="153" t="s">
        <v>984</v>
      </c>
      <c r="E18" s="153" t="b">
        <v>1</v>
      </c>
      <c r="F18" s="153" t="b">
        <v>1</v>
      </c>
      <c r="G18" s="153" t="b">
        <v>1</v>
      </c>
      <c r="H18" s="153" t="s">
        <v>984</v>
      </c>
      <c r="I18" s="153" t="s">
        <v>984</v>
      </c>
      <c r="J18" s="116"/>
      <c r="K18" s="116"/>
      <c r="L18" s="116"/>
      <c r="M18" s="116"/>
      <c r="N18" s="116"/>
      <c r="O18" s="116"/>
      <c r="P18" s="116"/>
      <c r="Q18" s="116"/>
      <c r="R18" s="116"/>
      <c r="S18" s="116"/>
      <c r="T18" s="116"/>
      <c r="U18" s="116"/>
      <c r="V18" s="116"/>
      <c r="W18" s="116"/>
      <c r="X18" s="116"/>
      <c r="Y18" s="116"/>
      <c r="Z18" s="116"/>
    </row>
    <row r="19" spans="1:26" ht="15.75">
      <c r="A19" s="157" t="s">
        <v>5635</v>
      </c>
      <c r="B19" s="153" t="s">
        <v>984</v>
      </c>
      <c r="C19" s="153" t="s">
        <v>984</v>
      </c>
      <c r="D19" s="153" t="s">
        <v>984</v>
      </c>
      <c r="E19" s="153" t="b">
        <v>1</v>
      </c>
      <c r="F19" s="153" t="b">
        <v>1</v>
      </c>
      <c r="G19" s="153" t="b">
        <v>1</v>
      </c>
      <c r="H19" s="153" t="s">
        <v>984</v>
      </c>
      <c r="I19" s="153" t="s">
        <v>984</v>
      </c>
      <c r="J19" s="116"/>
      <c r="K19" s="116"/>
      <c r="L19" s="116"/>
      <c r="M19" s="116"/>
      <c r="N19" s="116"/>
      <c r="O19" s="116"/>
      <c r="P19" s="116"/>
      <c r="Q19" s="116"/>
      <c r="R19" s="116"/>
      <c r="S19" s="116"/>
      <c r="T19" s="116"/>
      <c r="U19" s="116"/>
      <c r="V19" s="116"/>
      <c r="W19" s="116"/>
      <c r="X19" s="116"/>
      <c r="Y19" s="116"/>
      <c r="Z19" s="116"/>
    </row>
    <row r="20" spans="1:26" ht="15.75">
      <c r="A20" s="149" t="s">
        <v>5614</v>
      </c>
      <c r="B20" s="153" t="s">
        <v>984</v>
      </c>
      <c r="C20" s="153" t="s">
        <v>984</v>
      </c>
      <c r="D20" s="153" t="s">
        <v>984</v>
      </c>
      <c r="E20" s="153" t="s">
        <v>984</v>
      </c>
      <c r="F20" s="153" t="b">
        <v>1</v>
      </c>
      <c r="G20" s="153" t="s">
        <v>984</v>
      </c>
      <c r="H20" s="153" t="s">
        <v>984</v>
      </c>
      <c r="I20" s="153" t="s">
        <v>984</v>
      </c>
      <c r="J20" s="116"/>
      <c r="K20" s="116"/>
      <c r="L20" s="116"/>
      <c r="M20" s="116"/>
      <c r="N20" s="116"/>
      <c r="O20" s="116"/>
      <c r="P20" s="116"/>
      <c r="Q20" s="116"/>
      <c r="R20" s="116"/>
      <c r="S20" s="116"/>
      <c r="T20" s="116"/>
      <c r="U20" s="116"/>
      <c r="V20" s="116"/>
      <c r="W20" s="116"/>
      <c r="X20" s="116"/>
      <c r="Y20" s="116"/>
      <c r="Z20" s="116"/>
    </row>
    <row r="21" spans="1:26" ht="15.75" customHeight="1">
      <c r="A21" s="149" t="s">
        <v>5611</v>
      </c>
      <c r="B21" s="153" t="s">
        <v>984</v>
      </c>
      <c r="C21" s="153" t="s">
        <v>984</v>
      </c>
      <c r="D21" s="153" t="s">
        <v>984</v>
      </c>
      <c r="E21" s="153" t="s">
        <v>984</v>
      </c>
      <c r="F21" s="153" t="b">
        <v>1</v>
      </c>
      <c r="G21" s="153" t="s">
        <v>984</v>
      </c>
      <c r="H21" s="153" t="s">
        <v>984</v>
      </c>
      <c r="I21" s="153" t="s">
        <v>984</v>
      </c>
      <c r="J21" s="116"/>
      <c r="K21" s="116"/>
      <c r="L21" s="116"/>
      <c r="M21" s="116"/>
      <c r="N21" s="116"/>
      <c r="O21" s="116"/>
      <c r="P21" s="116"/>
      <c r="Q21" s="116"/>
      <c r="R21" s="116"/>
      <c r="S21" s="116"/>
      <c r="T21" s="116"/>
      <c r="U21" s="116"/>
      <c r="V21" s="116"/>
      <c r="W21" s="116"/>
      <c r="X21" s="116"/>
      <c r="Y21" s="116"/>
      <c r="Z21" s="116"/>
    </row>
    <row r="22" spans="1:26" ht="15.75" customHeight="1">
      <c r="A22" s="157" t="s">
        <v>5608</v>
      </c>
      <c r="B22" s="156" t="s">
        <v>984</v>
      </c>
      <c r="C22" s="156" t="s">
        <v>984</v>
      </c>
      <c r="D22" s="156" t="s">
        <v>984</v>
      </c>
      <c r="E22" s="156" t="b">
        <v>1</v>
      </c>
      <c r="F22" s="156" t="b">
        <v>1</v>
      </c>
      <c r="G22" s="156" t="b">
        <v>1</v>
      </c>
      <c r="H22" s="156" t="s">
        <v>984</v>
      </c>
      <c r="I22" s="156" t="s">
        <v>984</v>
      </c>
      <c r="J22" s="116"/>
      <c r="K22" s="116"/>
      <c r="L22" s="116"/>
      <c r="M22" s="116"/>
      <c r="N22" s="116"/>
      <c r="O22" s="116"/>
      <c r="P22" s="116"/>
      <c r="Q22" s="116"/>
      <c r="R22" s="116"/>
      <c r="S22" s="116"/>
      <c r="T22" s="116"/>
      <c r="U22" s="116"/>
      <c r="V22" s="116"/>
      <c r="W22" s="116"/>
      <c r="X22" s="116"/>
      <c r="Y22" s="116"/>
      <c r="Z22" s="116"/>
    </row>
    <row r="23" spans="1:26" ht="15.75" customHeight="1">
      <c r="A23" s="149" t="s">
        <v>5577</v>
      </c>
      <c r="B23" s="153" t="s">
        <v>984</v>
      </c>
      <c r="C23" s="153" t="s">
        <v>984</v>
      </c>
      <c r="D23" s="153" t="s">
        <v>984</v>
      </c>
      <c r="E23" s="153" t="b">
        <v>1</v>
      </c>
      <c r="F23" s="153" t="b">
        <v>1</v>
      </c>
      <c r="G23" s="153" t="b">
        <v>1</v>
      </c>
      <c r="H23" s="153" t="s">
        <v>984</v>
      </c>
      <c r="I23" s="153" t="s">
        <v>984</v>
      </c>
      <c r="J23" s="116"/>
      <c r="K23" s="116"/>
      <c r="L23" s="116"/>
      <c r="M23" s="116"/>
      <c r="N23" s="116"/>
      <c r="O23" s="116"/>
      <c r="P23" s="116"/>
      <c r="Q23" s="116"/>
      <c r="R23" s="116"/>
      <c r="S23" s="116"/>
      <c r="T23" s="116"/>
      <c r="U23" s="116"/>
      <c r="V23" s="116"/>
      <c r="W23" s="116"/>
      <c r="X23" s="116"/>
      <c r="Y23" s="116"/>
      <c r="Z23" s="116"/>
    </row>
    <row r="24" spans="1:26" ht="15.75" customHeight="1">
      <c r="A24" s="149" t="s">
        <v>5572</v>
      </c>
      <c r="B24" s="153" t="s">
        <v>984</v>
      </c>
      <c r="C24" s="153" t="s">
        <v>984</v>
      </c>
      <c r="D24" s="153" t="s">
        <v>984</v>
      </c>
      <c r="E24" s="153" t="b">
        <v>1</v>
      </c>
      <c r="F24" s="153" t="b">
        <v>1</v>
      </c>
      <c r="G24" s="153" t="b">
        <v>1</v>
      </c>
      <c r="H24" s="153" t="s">
        <v>984</v>
      </c>
      <c r="I24" s="153" t="s">
        <v>984</v>
      </c>
      <c r="J24" s="116"/>
      <c r="K24" s="116"/>
      <c r="L24" s="116"/>
      <c r="M24" s="116"/>
      <c r="N24" s="116"/>
      <c r="O24" s="116"/>
      <c r="P24" s="116"/>
      <c r="Q24" s="116"/>
      <c r="R24" s="116"/>
      <c r="S24" s="116"/>
      <c r="T24" s="116"/>
      <c r="U24" s="116"/>
      <c r="V24" s="116"/>
      <c r="W24" s="116"/>
      <c r="X24" s="116"/>
      <c r="Y24" s="116"/>
      <c r="Z24" s="116"/>
    </row>
    <row r="25" spans="1:26" ht="15.75" customHeight="1">
      <c r="A25" s="149" t="s">
        <v>5567</v>
      </c>
      <c r="B25" s="153" t="s">
        <v>984</v>
      </c>
      <c r="C25" s="153" t="s">
        <v>984</v>
      </c>
      <c r="D25" s="153" t="s">
        <v>984</v>
      </c>
      <c r="E25" s="153" t="s">
        <v>984</v>
      </c>
      <c r="F25" s="153" t="s">
        <v>984</v>
      </c>
      <c r="G25" s="153" t="s">
        <v>984</v>
      </c>
      <c r="H25" s="153" t="s">
        <v>984</v>
      </c>
      <c r="I25" s="153" t="s">
        <v>984</v>
      </c>
      <c r="J25" s="116"/>
      <c r="K25" s="116"/>
      <c r="L25" s="116"/>
      <c r="M25" s="116"/>
      <c r="N25" s="116"/>
      <c r="O25" s="116"/>
      <c r="P25" s="116"/>
      <c r="Q25" s="116"/>
      <c r="R25" s="116"/>
      <c r="S25" s="116"/>
      <c r="T25" s="116"/>
      <c r="U25" s="116"/>
      <c r="V25" s="116"/>
      <c r="W25" s="116"/>
      <c r="X25" s="116"/>
      <c r="Y25" s="116"/>
      <c r="Z25" s="116"/>
    </row>
    <row r="26" spans="1:26" ht="15.75" customHeight="1">
      <c r="A26" s="149" t="s">
        <v>5561</v>
      </c>
      <c r="B26" s="153" t="s">
        <v>984</v>
      </c>
      <c r="C26" s="153" t="s">
        <v>984</v>
      </c>
      <c r="D26" s="153" t="s">
        <v>984</v>
      </c>
      <c r="E26" s="153" t="s">
        <v>984</v>
      </c>
      <c r="F26" s="153" t="s">
        <v>984</v>
      </c>
      <c r="G26" s="153" t="s">
        <v>984</v>
      </c>
      <c r="H26" s="153" t="b">
        <v>1</v>
      </c>
      <c r="I26" s="153" t="s">
        <v>984</v>
      </c>
      <c r="J26" s="116"/>
      <c r="K26" s="116"/>
      <c r="L26" s="116"/>
      <c r="M26" s="116"/>
      <c r="N26" s="116"/>
      <c r="O26" s="116"/>
      <c r="P26" s="116"/>
      <c r="Q26" s="116"/>
      <c r="R26" s="116"/>
      <c r="S26" s="116"/>
      <c r="T26" s="116"/>
      <c r="U26" s="116"/>
      <c r="V26" s="116"/>
      <c r="W26" s="116"/>
      <c r="X26" s="116"/>
      <c r="Y26" s="116"/>
      <c r="Z26" s="116"/>
    </row>
    <row r="27" spans="1:26" ht="15.75" customHeight="1">
      <c r="A27" s="149" t="s">
        <v>5514</v>
      </c>
      <c r="B27" s="153" t="s">
        <v>984</v>
      </c>
      <c r="C27" s="153" t="s">
        <v>984</v>
      </c>
      <c r="D27" s="153" t="s">
        <v>984</v>
      </c>
      <c r="E27" s="153" t="b">
        <v>1</v>
      </c>
      <c r="F27" s="153" t="b">
        <v>1</v>
      </c>
      <c r="G27" s="153" t="b">
        <v>1</v>
      </c>
      <c r="H27" s="153" t="s">
        <v>984</v>
      </c>
      <c r="I27" s="153" t="s">
        <v>984</v>
      </c>
      <c r="J27" s="116"/>
      <c r="K27" s="116"/>
      <c r="L27" s="116"/>
      <c r="M27" s="116"/>
      <c r="N27" s="116"/>
      <c r="O27" s="116"/>
      <c r="P27" s="116"/>
      <c r="Q27" s="116"/>
      <c r="R27" s="116"/>
      <c r="S27" s="116"/>
      <c r="T27" s="116"/>
      <c r="U27" s="116"/>
      <c r="V27" s="116"/>
      <c r="W27" s="116"/>
      <c r="X27" s="116"/>
      <c r="Y27" s="116"/>
      <c r="Z27" s="116"/>
    </row>
    <row r="28" spans="1:26" ht="15.75" customHeight="1">
      <c r="A28" s="149" t="s">
        <v>5510</v>
      </c>
      <c r="B28" s="153" t="s">
        <v>984</v>
      </c>
      <c r="C28" s="153" t="s">
        <v>984</v>
      </c>
      <c r="D28" s="153" t="s">
        <v>984</v>
      </c>
      <c r="E28" s="153" t="s">
        <v>984</v>
      </c>
      <c r="F28" s="153" t="b">
        <v>1</v>
      </c>
      <c r="G28" s="153" t="s">
        <v>984</v>
      </c>
      <c r="H28" s="153" t="b">
        <v>1</v>
      </c>
      <c r="I28" s="153" t="s">
        <v>984</v>
      </c>
      <c r="J28" s="116"/>
      <c r="K28" s="116"/>
      <c r="L28" s="116"/>
      <c r="M28" s="116"/>
      <c r="N28" s="116"/>
      <c r="O28" s="116"/>
      <c r="P28" s="116"/>
      <c r="Q28" s="116"/>
      <c r="R28" s="116"/>
      <c r="S28" s="116"/>
      <c r="T28" s="116"/>
      <c r="U28" s="116"/>
      <c r="V28" s="116"/>
      <c r="W28" s="116"/>
      <c r="X28" s="116"/>
      <c r="Y28" s="116"/>
      <c r="Z28" s="116"/>
    </row>
    <row r="29" spans="1:26" ht="15.75" customHeight="1">
      <c r="A29" s="149" t="s">
        <v>6430</v>
      </c>
      <c r="B29" s="153" t="b">
        <v>1</v>
      </c>
      <c r="C29" s="153" t="s">
        <v>984</v>
      </c>
      <c r="D29" s="153" t="s">
        <v>984</v>
      </c>
      <c r="E29" s="153" t="s">
        <v>984</v>
      </c>
      <c r="F29" s="153" t="b">
        <v>1</v>
      </c>
      <c r="G29" s="153" t="s">
        <v>984</v>
      </c>
      <c r="H29" s="153" t="s">
        <v>984</v>
      </c>
      <c r="I29" s="153" t="b">
        <v>1</v>
      </c>
      <c r="J29" s="116"/>
      <c r="K29" s="116"/>
      <c r="L29" s="116"/>
      <c r="M29" s="116"/>
      <c r="N29" s="116"/>
      <c r="O29" s="116"/>
      <c r="P29" s="116"/>
      <c r="Q29" s="116"/>
      <c r="R29" s="116"/>
      <c r="S29" s="116"/>
      <c r="T29" s="116"/>
      <c r="U29" s="116"/>
      <c r="V29" s="116"/>
      <c r="W29" s="116"/>
      <c r="X29" s="116"/>
      <c r="Y29" s="116"/>
      <c r="Z29" s="116"/>
    </row>
    <row r="30" spans="1:26" ht="15.75" customHeight="1">
      <c r="A30" s="149" t="s">
        <v>6431</v>
      </c>
      <c r="B30" s="153" t="s">
        <v>984</v>
      </c>
      <c r="C30" s="153" t="s">
        <v>984</v>
      </c>
      <c r="D30" s="153" t="s">
        <v>984</v>
      </c>
      <c r="E30" s="153" t="s">
        <v>984</v>
      </c>
      <c r="F30" s="153" t="b">
        <v>1</v>
      </c>
      <c r="G30" s="153" t="s">
        <v>984</v>
      </c>
      <c r="H30" s="153" t="s">
        <v>984</v>
      </c>
      <c r="I30" s="153" t="s">
        <v>984</v>
      </c>
      <c r="J30" s="116"/>
      <c r="K30" s="116"/>
      <c r="L30" s="116"/>
      <c r="M30" s="116"/>
      <c r="N30" s="116"/>
      <c r="O30" s="116"/>
      <c r="P30" s="116"/>
      <c r="Q30" s="116"/>
      <c r="R30" s="116"/>
      <c r="S30" s="116"/>
      <c r="T30" s="116"/>
      <c r="U30" s="116"/>
      <c r="V30" s="116"/>
      <c r="W30" s="116"/>
      <c r="X30" s="116"/>
      <c r="Y30" s="116"/>
      <c r="Z30" s="116"/>
    </row>
    <row r="31" spans="1:26" ht="15.75" customHeight="1">
      <c r="A31" s="149" t="s">
        <v>6429</v>
      </c>
      <c r="B31" s="153" t="s">
        <v>984</v>
      </c>
      <c r="C31" s="153" t="s">
        <v>984</v>
      </c>
      <c r="D31" s="153" t="s">
        <v>984</v>
      </c>
      <c r="E31" s="153" t="s">
        <v>984</v>
      </c>
      <c r="F31" s="153" t="b">
        <v>1</v>
      </c>
      <c r="G31" s="153" t="s">
        <v>984</v>
      </c>
      <c r="H31" s="153" t="s">
        <v>984</v>
      </c>
      <c r="I31" s="153" t="s">
        <v>984</v>
      </c>
      <c r="J31" s="116"/>
      <c r="K31" s="116"/>
      <c r="L31" s="116"/>
      <c r="M31" s="116"/>
      <c r="N31" s="116"/>
      <c r="O31" s="116"/>
      <c r="P31" s="116"/>
      <c r="Q31" s="116"/>
      <c r="R31" s="116"/>
      <c r="S31" s="116"/>
      <c r="T31" s="116"/>
      <c r="U31" s="116"/>
      <c r="V31" s="116"/>
      <c r="W31" s="116"/>
      <c r="X31" s="116"/>
      <c r="Y31" s="116"/>
      <c r="Z31" s="116"/>
    </row>
    <row r="32" spans="1:26" ht="15.75" customHeight="1">
      <c r="A32" s="149" t="s">
        <v>464</v>
      </c>
      <c r="B32" s="153" t="s">
        <v>984</v>
      </c>
      <c r="C32" s="153" t="s">
        <v>984</v>
      </c>
      <c r="D32" s="153" t="s">
        <v>984</v>
      </c>
      <c r="E32" s="153" t="s">
        <v>984</v>
      </c>
      <c r="F32" s="153" t="s">
        <v>984</v>
      </c>
      <c r="G32" s="153" t="s">
        <v>984</v>
      </c>
      <c r="H32" s="153" t="b">
        <v>1</v>
      </c>
      <c r="I32" s="153" t="s">
        <v>984</v>
      </c>
      <c r="J32" s="116"/>
      <c r="K32" s="116"/>
      <c r="L32" s="116"/>
      <c r="M32" s="116"/>
      <c r="N32" s="116"/>
      <c r="O32" s="116"/>
      <c r="P32" s="116"/>
      <c r="Q32" s="116"/>
      <c r="R32" s="116"/>
      <c r="S32" s="116"/>
      <c r="T32" s="116"/>
      <c r="U32" s="116"/>
      <c r="V32" s="116"/>
      <c r="W32" s="116"/>
      <c r="X32" s="116"/>
      <c r="Y32" s="116"/>
      <c r="Z32" s="116"/>
    </row>
    <row r="33" spans="1:26" ht="15.75" customHeight="1">
      <c r="A33" s="149" t="s">
        <v>5383</v>
      </c>
      <c r="B33" s="153" t="s">
        <v>984</v>
      </c>
      <c r="C33" s="153" t="s">
        <v>984</v>
      </c>
      <c r="D33" s="153" t="s">
        <v>984</v>
      </c>
      <c r="E33" s="153" t="s">
        <v>984</v>
      </c>
      <c r="F33" s="153" t="s">
        <v>984</v>
      </c>
      <c r="G33" s="153" t="s">
        <v>984</v>
      </c>
      <c r="H33" s="153" t="b">
        <v>1</v>
      </c>
      <c r="I33" s="153" t="s">
        <v>984</v>
      </c>
      <c r="J33" s="116"/>
      <c r="K33" s="116"/>
      <c r="L33" s="116"/>
      <c r="M33" s="116"/>
      <c r="N33" s="116"/>
      <c r="O33" s="116"/>
      <c r="P33" s="116"/>
      <c r="Q33" s="116"/>
      <c r="R33" s="116"/>
      <c r="S33" s="116"/>
      <c r="T33" s="116"/>
      <c r="U33" s="116"/>
      <c r="V33" s="116"/>
      <c r="W33" s="116"/>
      <c r="X33" s="116"/>
      <c r="Y33" s="116"/>
      <c r="Z33" s="116"/>
    </row>
    <row r="34" spans="1:26" ht="15.75" customHeight="1">
      <c r="A34" s="149" t="s">
        <v>5380</v>
      </c>
      <c r="B34" s="153" t="s">
        <v>984</v>
      </c>
      <c r="C34" s="153" t="s">
        <v>984</v>
      </c>
      <c r="D34" s="153" t="s">
        <v>984</v>
      </c>
      <c r="E34" s="153" t="s">
        <v>984</v>
      </c>
      <c r="F34" s="153" t="s">
        <v>984</v>
      </c>
      <c r="G34" s="153" t="s">
        <v>984</v>
      </c>
      <c r="H34" s="153" t="b">
        <v>1</v>
      </c>
      <c r="I34" s="153" t="s">
        <v>984</v>
      </c>
      <c r="J34" s="116"/>
      <c r="K34" s="116"/>
      <c r="L34" s="116"/>
      <c r="M34" s="116"/>
      <c r="N34" s="116"/>
      <c r="O34" s="116"/>
      <c r="P34" s="116"/>
      <c r="Q34" s="116"/>
      <c r="R34" s="116"/>
      <c r="S34" s="116"/>
      <c r="T34" s="116"/>
      <c r="U34" s="116"/>
      <c r="V34" s="116"/>
      <c r="W34" s="116"/>
      <c r="X34" s="116"/>
      <c r="Y34" s="116"/>
      <c r="Z34" s="116"/>
    </row>
    <row r="35" spans="1:26" ht="15.75" customHeight="1">
      <c r="A35" s="149" t="s">
        <v>5377</v>
      </c>
      <c r="B35" s="153" t="s">
        <v>984</v>
      </c>
      <c r="C35" s="153" t="s">
        <v>984</v>
      </c>
      <c r="D35" s="153" t="s">
        <v>984</v>
      </c>
      <c r="E35" s="153" t="s">
        <v>984</v>
      </c>
      <c r="F35" s="153" t="s">
        <v>984</v>
      </c>
      <c r="G35" s="153" t="s">
        <v>984</v>
      </c>
      <c r="H35" s="153" t="b">
        <v>1</v>
      </c>
      <c r="I35" s="153" t="s">
        <v>984</v>
      </c>
      <c r="J35" s="116"/>
      <c r="K35" s="116"/>
      <c r="L35" s="116"/>
      <c r="M35" s="116"/>
      <c r="N35" s="116"/>
      <c r="O35" s="116"/>
      <c r="P35" s="116"/>
      <c r="Q35" s="116"/>
      <c r="R35" s="116"/>
      <c r="S35" s="116"/>
      <c r="T35" s="116"/>
      <c r="U35" s="116"/>
      <c r="V35" s="116"/>
      <c r="W35" s="116"/>
      <c r="X35" s="116"/>
      <c r="Y35" s="116"/>
      <c r="Z35" s="116"/>
    </row>
    <row r="36" spans="1:26" ht="15.75" customHeight="1">
      <c r="A36" s="149" t="s">
        <v>5372</v>
      </c>
      <c r="B36" s="153" t="s">
        <v>984</v>
      </c>
      <c r="C36" s="153" t="s">
        <v>984</v>
      </c>
      <c r="D36" s="153" t="s">
        <v>984</v>
      </c>
      <c r="E36" s="153" t="s">
        <v>984</v>
      </c>
      <c r="F36" s="153" t="s">
        <v>984</v>
      </c>
      <c r="G36" s="153" t="s">
        <v>984</v>
      </c>
      <c r="H36" s="153" t="b">
        <v>1</v>
      </c>
      <c r="I36" s="153" t="s">
        <v>984</v>
      </c>
      <c r="J36" s="116"/>
      <c r="K36" s="116"/>
      <c r="L36" s="116"/>
      <c r="M36" s="116"/>
      <c r="N36" s="116"/>
      <c r="O36" s="116"/>
      <c r="P36" s="116"/>
      <c r="Q36" s="116"/>
      <c r="R36" s="116"/>
      <c r="S36" s="116"/>
      <c r="T36" s="116"/>
      <c r="U36" s="116"/>
      <c r="V36" s="116"/>
      <c r="W36" s="116"/>
      <c r="X36" s="116"/>
      <c r="Y36" s="116"/>
      <c r="Z36" s="116"/>
    </row>
    <row r="37" spans="1:26" ht="15.75" customHeight="1">
      <c r="A37" s="149" t="s">
        <v>5626</v>
      </c>
      <c r="B37" s="137" t="s">
        <v>984</v>
      </c>
      <c r="C37" s="137" t="s">
        <v>984</v>
      </c>
      <c r="D37" s="137" t="s">
        <v>984</v>
      </c>
      <c r="E37" s="137" t="s">
        <v>984</v>
      </c>
      <c r="F37" s="137" t="s">
        <v>984</v>
      </c>
      <c r="G37" s="137" t="s">
        <v>984</v>
      </c>
      <c r="H37" s="137" t="s">
        <v>984</v>
      </c>
      <c r="I37" s="137" t="s">
        <v>984</v>
      </c>
      <c r="J37" s="116"/>
      <c r="K37" s="116"/>
      <c r="L37" s="116"/>
      <c r="M37" s="116"/>
      <c r="N37" s="116"/>
      <c r="O37" s="116"/>
      <c r="P37" s="116"/>
      <c r="Q37" s="116"/>
      <c r="R37" s="116"/>
      <c r="S37" s="116"/>
      <c r="T37" s="116"/>
      <c r="U37" s="116"/>
      <c r="V37" s="116"/>
      <c r="W37" s="116"/>
      <c r="X37" s="116"/>
      <c r="Y37" s="116"/>
      <c r="Z37" s="116"/>
    </row>
    <row r="38" spans="1:26" ht="15.75" customHeight="1">
      <c r="A38" s="149" t="s">
        <v>5619</v>
      </c>
      <c r="B38" s="160" t="s">
        <v>984</v>
      </c>
      <c r="C38" s="160" t="s">
        <v>984</v>
      </c>
      <c r="D38" s="160" t="s">
        <v>984</v>
      </c>
      <c r="E38" s="160" t="s">
        <v>984</v>
      </c>
      <c r="F38" s="160" t="s">
        <v>984</v>
      </c>
      <c r="G38" s="160" t="s">
        <v>984</v>
      </c>
      <c r="H38" s="160" t="s">
        <v>984</v>
      </c>
      <c r="I38" s="160" t="s">
        <v>984</v>
      </c>
      <c r="J38" s="116"/>
      <c r="K38" s="116"/>
      <c r="L38" s="116"/>
      <c r="M38" s="116"/>
      <c r="N38" s="116"/>
      <c r="O38" s="116"/>
      <c r="P38" s="116"/>
      <c r="Q38" s="116"/>
      <c r="R38" s="116"/>
      <c r="S38" s="116"/>
      <c r="T38" s="116"/>
      <c r="U38" s="116"/>
      <c r="V38" s="116"/>
      <c r="W38" s="116"/>
      <c r="X38" s="116"/>
      <c r="Y38" s="116"/>
      <c r="Z38" s="116"/>
    </row>
    <row r="39" spans="1:26" ht="15.75" customHeight="1">
      <c r="A39" s="149" t="s">
        <v>5602</v>
      </c>
      <c r="B39" s="137" t="s">
        <v>984</v>
      </c>
      <c r="C39" s="137" t="s">
        <v>984</v>
      </c>
      <c r="D39" s="137" t="s">
        <v>984</v>
      </c>
      <c r="E39" s="137" t="s">
        <v>984</v>
      </c>
      <c r="F39" s="137" t="s">
        <v>984</v>
      </c>
      <c r="G39" s="137" t="s">
        <v>984</v>
      </c>
      <c r="H39" s="137" t="s">
        <v>984</v>
      </c>
      <c r="I39" s="137" t="s">
        <v>984</v>
      </c>
      <c r="J39" s="116"/>
      <c r="K39" s="116"/>
      <c r="L39" s="116"/>
      <c r="M39" s="116"/>
      <c r="N39" s="116"/>
      <c r="O39" s="116"/>
      <c r="P39" s="116"/>
      <c r="Q39" s="116"/>
      <c r="R39" s="116"/>
      <c r="S39" s="116"/>
      <c r="T39" s="116"/>
      <c r="U39" s="116"/>
      <c r="V39" s="116"/>
      <c r="W39" s="116"/>
      <c r="X39" s="116"/>
      <c r="Y39" s="116"/>
      <c r="Z39" s="116"/>
    </row>
    <row r="40" spans="1:26" ht="15.75" customHeight="1">
      <c r="A40" s="149" t="s">
        <v>5598</v>
      </c>
      <c r="B40" s="137" t="s">
        <v>984</v>
      </c>
      <c r="C40" s="137" t="s">
        <v>984</v>
      </c>
      <c r="D40" s="137" t="s">
        <v>984</v>
      </c>
      <c r="E40" s="137" t="s">
        <v>984</v>
      </c>
      <c r="F40" s="137" t="s">
        <v>984</v>
      </c>
      <c r="G40" s="137" t="s">
        <v>984</v>
      </c>
      <c r="H40" s="137" t="s">
        <v>984</v>
      </c>
      <c r="I40" s="137" t="s">
        <v>984</v>
      </c>
      <c r="J40" s="116"/>
      <c r="K40" s="116"/>
      <c r="L40" s="116"/>
      <c r="M40" s="116"/>
      <c r="N40" s="116"/>
      <c r="O40" s="116"/>
      <c r="P40" s="116"/>
      <c r="Q40" s="116"/>
      <c r="R40" s="116"/>
      <c r="S40" s="116"/>
      <c r="T40" s="116"/>
      <c r="U40" s="116"/>
      <c r="V40" s="116"/>
      <c r="W40" s="116"/>
      <c r="X40" s="116"/>
      <c r="Y40" s="116"/>
      <c r="Z40" s="116"/>
    </row>
    <row r="41" spans="1:26" ht="15.75" customHeight="1">
      <c r="A41" s="149" t="s">
        <v>5595</v>
      </c>
      <c r="B41" s="137" t="s">
        <v>984</v>
      </c>
      <c r="C41" s="137" t="s">
        <v>984</v>
      </c>
      <c r="D41" s="137" t="s">
        <v>984</v>
      </c>
      <c r="E41" s="137" t="s">
        <v>984</v>
      </c>
      <c r="F41" s="137" t="s">
        <v>984</v>
      </c>
      <c r="G41" s="137" t="s">
        <v>984</v>
      </c>
      <c r="H41" s="137" t="s">
        <v>984</v>
      </c>
      <c r="I41" s="137" t="s">
        <v>984</v>
      </c>
      <c r="J41" s="116"/>
      <c r="K41" s="116"/>
      <c r="L41" s="116"/>
      <c r="M41" s="116"/>
      <c r="N41" s="116"/>
      <c r="O41" s="116"/>
      <c r="P41" s="116"/>
      <c r="Q41" s="116"/>
      <c r="R41" s="116"/>
      <c r="S41" s="116"/>
      <c r="T41" s="116"/>
      <c r="U41" s="116"/>
      <c r="V41" s="116"/>
      <c r="W41" s="116"/>
      <c r="X41" s="116"/>
      <c r="Y41" s="116"/>
      <c r="Z41" s="116"/>
    </row>
    <row r="42" spans="1:26" ht="15.75" customHeight="1">
      <c r="A42" s="149" t="s">
        <v>5589</v>
      </c>
      <c r="B42" s="137" t="s">
        <v>984</v>
      </c>
      <c r="C42" s="137" t="s">
        <v>984</v>
      </c>
      <c r="D42" s="137" t="s">
        <v>984</v>
      </c>
      <c r="E42" s="137" t="s">
        <v>984</v>
      </c>
      <c r="F42" s="137" t="s">
        <v>984</v>
      </c>
      <c r="G42" s="137" t="s">
        <v>984</v>
      </c>
      <c r="H42" s="137" t="s">
        <v>984</v>
      </c>
      <c r="I42" s="137" t="s">
        <v>984</v>
      </c>
      <c r="J42" s="116"/>
      <c r="K42" s="116"/>
      <c r="L42" s="116"/>
      <c r="M42" s="116"/>
      <c r="N42" s="116"/>
      <c r="O42" s="116"/>
      <c r="P42" s="116"/>
      <c r="Q42" s="116"/>
      <c r="R42" s="116"/>
      <c r="S42" s="116"/>
      <c r="T42" s="116"/>
      <c r="U42" s="116"/>
      <c r="V42" s="116"/>
      <c r="W42" s="116"/>
      <c r="X42" s="116"/>
      <c r="Y42" s="116"/>
      <c r="Z42" s="116"/>
    </row>
    <row r="43" spans="1:26" ht="15.75" customHeight="1">
      <c r="A43" s="149" t="s">
        <v>5586</v>
      </c>
      <c r="B43" s="137" t="s">
        <v>984</v>
      </c>
      <c r="C43" s="137" t="s">
        <v>984</v>
      </c>
      <c r="D43" s="137" t="s">
        <v>984</v>
      </c>
      <c r="E43" s="137" t="s">
        <v>984</v>
      </c>
      <c r="F43" s="137" t="s">
        <v>984</v>
      </c>
      <c r="G43" s="137" t="s">
        <v>984</v>
      </c>
      <c r="H43" s="137" t="s">
        <v>984</v>
      </c>
      <c r="I43" s="137" t="s">
        <v>984</v>
      </c>
      <c r="J43" s="116"/>
      <c r="K43" s="116"/>
      <c r="L43" s="116"/>
      <c r="M43" s="116"/>
      <c r="N43" s="116"/>
      <c r="O43" s="116"/>
      <c r="P43" s="116"/>
      <c r="Q43" s="116"/>
      <c r="R43" s="116"/>
      <c r="S43" s="116"/>
      <c r="T43" s="116"/>
      <c r="U43" s="116"/>
      <c r="V43" s="116"/>
      <c r="W43" s="116"/>
      <c r="X43" s="116"/>
      <c r="Y43" s="116"/>
      <c r="Z43" s="116"/>
    </row>
    <row r="44" spans="1:26" ht="15.75" customHeight="1">
      <c r="A44" s="149" t="s">
        <v>5564</v>
      </c>
      <c r="B44" s="153" t="s">
        <v>984</v>
      </c>
      <c r="C44" s="153" t="s">
        <v>984</v>
      </c>
      <c r="D44" s="153" t="s">
        <v>984</v>
      </c>
      <c r="E44" s="153" t="s">
        <v>984</v>
      </c>
      <c r="F44" s="153" t="b">
        <v>1</v>
      </c>
      <c r="G44" s="153" t="s">
        <v>984</v>
      </c>
      <c r="H44" s="153" t="b">
        <v>1</v>
      </c>
      <c r="I44" s="153" t="s">
        <v>984</v>
      </c>
      <c r="J44" s="116"/>
      <c r="K44" s="116"/>
      <c r="L44" s="116"/>
      <c r="M44" s="116"/>
      <c r="N44" s="116"/>
      <c r="O44" s="116"/>
      <c r="P44" s="116"/>
      <c r="Q44" s="116"/>
      <c r="R44" s="116"/>
      <c r="S44" s="116"/>
      <c r="T44" s="116"/>
      <c r="U44" s="116"/>
      <c r="V44" s="116"/>
      <c r="W44" s="116"/>
      <c r="X44" s="116"/>
      <c r="Y44" s="116"/>
      <c r="Z44" s="116"/>
    </row>
    <row r="45" spans="1:26" ht="15.75" customHeight="1">
      <c r="A45" s="149" t="s">
        <v>5400</v>
      </c>
      <c r="B45" s="137" t="s">
        <v>984</v>
      </c>
      <c r="C45" s="137" t="s">
        <v>984</v>
      </c>
      <c r="D45" s="137" t="s">
        <v>984</v>
      </c>
      <c r="E45" s="137" t="s">
        <v>984</v>
      </c>
      <c r="F45" s="137" t="s">
        <v>984</v>
      </c>
      <c r="G45" s="137" t="s">
        <v>984</v>
      </c>
      <c r="H45" s="137" t="s">
        <v>984</v>
      </c>
      <c r="I45" s="137" t="s">
        <v>984</v>
      </c>
      <c r="J45" s="116"/>
      <c r="K45" s="116"/>
      <c r="L45" s="116"/>
      <c r="M45" s="116"/>
      <c r="N45" s="116"/>
      <c r="O45" s="116"/>
      <c r="P45" s="116"/>
      <c r="Q45" s="116"/>
      <c r="R45" s="116"/>
      <c r="S45" s="116"/>
      <c r="T45" s="116"/>
      <c r="U45" s="116"/>
      <c r="V45" s="116"/>
      <c r="W45" s="116"/>
      <c r="X45" s="116"/>
      <c r="Y45" s="116"/>
      <c r="Z45" s="116"/>
    </row>
    <row r="46" spans="1:26" ht="15.75" customHeight="1">
      <c r="A46" s="149" t="s">
        <v>6396</v>
      </c>
      <c r="B46" s="137" t="s">
        <v>984</v>
      </c>
      <c r="C46" s="137" t="s">
        <v>984</v>
      </c>
      <c r="D46" s="137" t="s">
        <v>984</v>
      </c>
      <c r="E46" s="137" t="s">
        <v>984</v>
      </c>
      <c r="F46" s="137" t="s">
        <v>984</v>
      </c>
      <c r="G46" s="137" t="s">
        <v>984</v>
      </c>
      <c r="H46" s="137" t="s">
        <v>984</v>
      </c>
      <c r="I46" s="137" t="s">
        <v>984</v>
      </c>
      <c r="J46" s="116"/>
      <c r="K46" s="116"/>
      <c r="L46" s="116"/>
      <c r="M46" s="116"/>
      <c r="N46" s="116"/>
      <c r="O46" s="116"/>
      <c r="P46" s="116"/>
      <c r="Q46" s="116"/>
      <c r="R46" s="116"/>
      <c r="S46" s="116"/>
      <c r="T46" s="116"/>
      <c r="U46" s="116"/>
      <c r="V46" s="116"/>
      <c r="W46" s="116"/>
      <c r="X46" s="116"/>
      <c r="Y46" s="116"/>
      <c r="Z46" s="116"/>
    </row>
    <row r="47" spans="1:26" ht="15.75" customHeight="1">
      <c r="A47" s="159" t="s">
        <v>5538</v>
      </c>
      <c r="B47" s="153" t="s">
        <v>984</v>
      </c>
      <c r="C47" s="153" t="s">
        <v>984</v>
      </c>
      <c r="D47" s="153" t="s">
        <v>984</v>
      </c>
      <c r="E47" s="153" t="s">
        <v>984</v>
      </c>
      <c r="F47" s="153" t="s">
        <v>984</v>
      </c>
      <c r="G47" s="153" t="s">
        <v>984</v>
      </c>
      <c r="H47" s="153" t="s">
        <v>984</v>
      </c>
      <c r="I47" s="153" t="s">
        <v>984</v>
      </c>
      <c r="J47" s="116"/>
      <c r="K47" s="116"/>
      <c r="L47" s="116"/>
      <c r="M47" s="116"/>
      <c r="N47" s="116"/>
      <c r="O47" s="116"/>
      <c r="P47" s="116"/>
      <c r="Q47" s="116"/>
      <c r="R47" s="116"/>
      <c r="S47" s="116"/>
      <c r="T47" s="116"/>
      <c r="U47" s="116"/>
      <c r="V47" s="116"/>
      <c r="W47" s="116"/>
      <c r="X47" s="116"/>
      <c r="Y47" s="116"/>
      <c r="Z47" s="116"/>
    </row>
    <row r="48" spans="1:26" ht="15.75" customHeight="1">
      <c r="A48" s="149" t="s">
        <v>5538</v>
      </c>
      <c r="B48" s="153" t="s">
        <v>984</v>
      </c>
      <c r="C48" s="153" t="s">
        <v>984</v>
      </c>
      <c r="D48" s="153" t="s">
        <v>984</v>
      </c>
      <c r="E48" s="153" t="s">
        <v>984</v>
      </c>
      <c r="F48" s="153" t="s">
        <v>984</v>
      </c>
      <c r="G48" s="153" t="s">
        <v>984</v>
      </c>
      <c r="H48" s="153" t="s">
        <v>984</v>
      </c>
      <c r="I48" s="153" t="s">
        <v>984</v>
      </c>
      <c r="J48" s="116"/>
      <c r="K48" s="116"/>
      <c r="L48" s="116"/>
      <c r="M48" s="116"/>
      <c r="N48" s="116"/>
      <c r="O48" s="116"/>
      <c r="P48" s="116"/>
      <c r="Q48" s="116"/>
      <c r="R48" s="116"/>
      <c r="S48" s="116"/>
      <c r="T48" s="116"/>
      <c r="U48" s="116"/>
      <c r="V48" s="116"/>
      <c r="W48" s="116"/>
      <c r="X48" s="116"/>
      <c r="Y48" s="116"/>
      <c r="Z48" s="116"/>
    </row>
    <row r="49" spans="1:26" ht="15.75" customHeight="1">
      <c r="A49" s="149" t="s">
        <v>5517</v>
      </c>
      <c r="B49" s="153" t="s">
        <v>984</v>
      </c>
      <c r="C49" s="153" t="s">
        <v>984</v>
      </c>
      <c r="D49" s="153" t="s">
        <v>984</v>
      </c>
      <c r="E49" s="153" t="s">
        <v>984</v>
      </c>
      <c r="F49" s="153" t="s">
        <v>984</v>
      </c>
      <c r="G49" s="153" t="s">
        <v>984</v>
      </c>
      <c r="H49" s="153" t="s">
        <v>984</v>
      </c>
      <c r="I49" s="153" t="s">
        <v>984</v>
      </c>
      <c r="J49" s="116"/>
      <c r="K49" s="116"/>
      <c r="L49" s="116"/>
      <c r="M49" s="116"/>
      <c r="N49" s="116"/>
      <c r="O49" s="116"/>
      <c r="P49" s="116"/>
      <c r="Q49" s="116"/>
      <c r="R49" s="116"/>
      <c r="S49" s="116"/>
      <c r="T49" s="116"/>
      <c r="U49" s="116"/>
      <c r="V49" s="116"/>
      <c r="W49" s="116"/>
      <c r="X49" s="116"/>
      <c r="Y49" s="116"/>
      <c r="Z49" s="116"/>
    </row>
    <row r="50" spans="1:26" ht="15.75" customHeight="1">
      <c r="A50" s="158" t="s">
        <v>6539</v>
      </c>
      <c r="B50" s="153" t="b">
        <v>1</v>
      </c>
      <c r="C50" s="153" t="s">
        <v>984</v>
      </c>
      <c r="D50" s="153" t="b">
        <v>1</v>
      </c>
      <c r="E50" s="153" t="s">
        <v>984</v>
      </c>
      <c r="F50" s="153" t="b">
        <v>1</v>
      </c>
      <c r="G50" s="153" t="s">
        <v>984</v>
      </c>
      <c r="H50" s="153" t="s">
        <v>984</v>
      </c>
      <c r="I50" s="153" t="s">
        <v>984</v>
      </c>
      <c r="J50" s="116"/>
      <c r="K50" s="116"/>
      <c r="L50" s="116"/>
      <c r="M50" s="116"/>
      <c r="N50" s="116"/>
      <c r="O50" s="116"/>
      <c r="P50" s="116"/>
      <c r="Q50" s="116"/>
      <c r="R50" s="116"/>
      <c r="S50" s="116"/>
      <c r="T50" s="116"/>
      <c r="U50" s="116"/>
      <c r="V50" s="116"/>
      <c r="W50" s="116"/>
      <c r="X50" s="116"/>
      <c r="Y50" s="116"/>
      <c r="Z50" s="116"/>
    </row>
    <row r="51" spans="1:26" ht="15.75" customHeight="1">
      <c r="A51" s="157" t="s">
        <v>6537</v>
      </c>
      <c r="B51" s="156" t="s">
        <v>984</v>
      </c>
      <c r="C51" s="156" t="s">
        <v>984</v>
      </c>
      <c r="D51" s="156" t="s">
        <v>984</v>
      </c>
      <c r="E51" s="156" t="s">
        <v>984</v>
      </c>
      <c r="F51" s="156" t="b">
        <v>1</v>
      </c>
      <c r="G51" s="156" t="s">
        <v>984</v>
      </c>
      <c r="H51" s="156" t="b">
        <v>1</v>
      </c>
      <c r="I51" s="156" t="s">
        <v>984</v>
      </c>
      <c r="J51" s="116"/>
      <c r="K51" s="116"/>
      <c r="L51" s="116"/>
      <c r="M51" s="116"/>
      <c r="N51" s="116"/>
      <c r="O51" s="116"/>
      <c r="P51" s="116"/>
      <c r="Q51" s="116"/>
      <c r="R51" s="116"/>
      <c r="S51" s="116"/>
      <c r="T51" s="116"/>
      <c r="U51" s="116"/>
      <c r="V51" s="116"/>
      <c r="W51" s="116"/>
      <c r="X51" s="116"/>
      <c r="Y51" s="116"/>
      <c r="Z51" s="116"/>
    </row>
    <row r="52" spans="1:26" ht="15.75" customHeight="1">
      <c r="A52" s="149" t="s">
        <v>5419</v>
      </c>
      <c r="B52" s="153" t="s">
        <v>984</v>
      </c>
      <c r="C52" s="153" t="b">
        <v>1</v>
      </c>
      <c r="D52" s="153" t="s">
        <v>984</v>
      </c>
      <c r="E52" s="153" t="s">
        <v>984</v>
      </c>
      <c r="F52" s="153" t="s">
        <v>984</v>
      </c>
      <c r="G52" s="153" t="s">
        <v>984</v>
      </c>
      <c r="H52" s="153" t="s">
        <v>984</v>
      </c>
      <c r="I52" s="153" t="s">
        <v>984</v>
      </c>
      <c r="J52" s="116"/>
      <c r="K52" s="116"/>
      <c r="L52" s="116"/>
      <c r="M52" s="116"/>
      <c r="N52" s="116"/>
      <c r="O52" s="116"/>
      <c r="P52" s="116"/>
      <c r="Q52" s="116"/>
      <c r="R52" s="116"/>
      <c r="S52" s="116"/>
      <c r="T52" s="116"/>
      <c r="U52" s="116"/>
      <c r="V52" s="116"/>
      <c r="W52" s="116"/>
      <c r="X52" s="116"/>
      <c r="Y52" s="116"/>
      <c r="Z52" s="116"/>
    </row>
    <row r="53" spans="1:26" ht="15.75" customHeight="1">
      <c r="A53" s="149" t="s">
        <v>6534</v>
      </c>
      <c r="B53" s="137" t="s">
        <v>984</v>
      </c>
      <c r="C53" s="137" t="s">
        <v>984</v>
      </c>
      <c r="D53" s="137" t="s">
        <v>984</v>
      </c>
      <c r="E53" s="137" t="s">
        <v>984</v>
      </c>
      <c r="F53" s="137" t="s">
        <v>984</v>
      </c>
      <c r="G53" s="137" t="s">
        <v>984</v>
      </c>
      <c r="H53" s="137" t="s">
        <v>984</v>
      </c>
      <c r="I53" s="137" t="s">
        <v>984</v>
      </c>
      <c r="J53" s="116"/>
      <c r="K53" s="116"/>
      <c r="L53" s="116"/>
      <c r="M53" s="116"/>
      <c r="N53" s="116"/>
      <c r="O53" s="116"/>
      <c r="P53" s="116"/>
      <c r="Q53" s="116"/>
      <c r="R53" s="116"/>
      <c r="S53" s="116"/>
      <c r="T53" s="116"/>
      <c r="U53" s="116"/>
      <c r="V53" s="116"/>
      <c r="W53" s="116"/>
      <c r="X53" s="116"/>
      <c r="Y53" s="116"/>
      <c r="Z53" s="116"/>
    </row>
    <row r="54" spans="1:26" ht="15.75" customHeight="1">
      <c r="A54" s="149" t="s">
        <v>5388</v>
      </c>
      <c r="B54" s="137" t="s">
        <v>984</v>
      </c>
      <c r="C54" s="137" t="s">
        <v>984</v>
      </c>
      <c r="D54" s="137" t="s">
        <v>984</v>
      </c>
      <c r="E54" s="137" t="s">
        <v>984</v>
      </c>
      <c r="F54" s="137" t="s">
        <v>984</v>
      </c>
      <c r="G54" s="137" t="s">
        <v>984</v>
      </c>
      <c r="H54" s="137" t="s">
        <v>984</v>
      </c>
      <c r="I54" s="137" t="s">
        <v>984</v>
      </c>
      <c r="J54" s="116"/>
      <c r="K54" s="116"/>
      <c r="L54" s="116"/>
      <c r="M54" s="116"/>
      <c r="N54" s="116"/>
      <c r="O54" s="116"/>
      <c r="P54" s="116"/>
      <c r="Q54" s="116"/>
      <c r="R54" s="116"/>
      <c r="S54" s="116"/>
      <c r="T54" s="116"/>
      <c r="U54" s="116"/>
      <c r="V54" s="116"/>
      <c r="W54" s="116"/>
      <c r="X54" s="116"/>
      <c r="Y54" s="116"/>
      <c r="Z54" s="116"/>
    </row>
    <row r="55" spans="1:26" ht="15.75" customHeight="1">
      <c r="A55" s="114"/>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spans="1:26" ht="15.75" customHeight="1">
      <c r="A56" s="114"/>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spans="1:26" ht="15.75" customHeight="1">
      <c r="A57" s="114"/>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row r="58" spans="1:26" ht="15.75" customHeight="1">
      <c r="A58" s="114"/>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row>
    <row r="59" spans="1:26" ht="15.75" customHeight="1">
      <c r="A59" s="114"/>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row>
    <row r="60" spans="1:26" ht="15.75" customHeight="1">
      <c r="A60" s="114"/>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row>
    <row r="61" spans="1:26" ht="15.75" customHeight="1">
      <c r="A61" s="114"/>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spans="1:26" ht="15.75" customHeight="1">
      <c r="A62" s="114"/>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spans="1:26" ht="15.75" customHeight="1">
      <c r="A63" s="114"/>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spans="1:26" ht="15.75" customHeight="1">
      <c r="A64" s="114"/>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spans="1:26" ht="15.75" customHeight="1">
      <c r="A65" s="114"/>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spans="1:26" ht="15.75" customHeight="1">
      <c r="A66" s="114"/>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spans="1:26" ht="15.75" customHeight="1">
      <c r="A67" s="114"/>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spans="1:26" ht="15.75" customHeight="1">
      <c r="A68" s="114"/>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spans="1:26" ht="15.75" customHeight="1">
      <c r="A69" s="114"/>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spans="1:26" ht="15.75" customHeight="1">
      <c r="A70" s="114"/>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spans="1:26" ht="15.75" customHeight="1">
      <c r="A71" s="114"/>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spans="1:26" ht="15.75" customHeight="1">
      <c r="A72" s="114"/>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spans="1:26" ht="15.75" customHeight="1">
      <c r="A73" s="114"/>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spans="1:26" ht="15.75" customHeight="1">
      <c r="A74" s="114"/>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spans="1:26" ht="15.75" customHeight="1">
      <c r="A75" s="114"/>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spans="1:26" ht="15.75" customHeight="1">
      <c r="A76" s="114"/>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spans="1:26" ht="15.75" customHeight="1">
      <c r="A77" s="114"/>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spans="1:26" ht="15.75" customHeight="1">
      <c r="A78" s="114"/>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5.75" customHeight="1">
      <c r="A79" s="114"/>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spans="1:26" ht="15.75" customHeight="1">
      <c r="A80" s="114"/>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spans="1:26" ht="15.75" customHeight="1">
      <c r="A81" s="114"/>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spans="1:26" ht="15.75" customHeight="1">
      <c r="A82" s="114"/>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spans="1:26" ht="15.75" customHeight="1">
      <c r="A83" s="114"/>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spans="1:26" ht="15.75" customHeight="1">
      <c r="A84" s="114"/>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spans="1:26" ht="15.75" customHeight="1">
      <c r="A85" s="114"/>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spans="1:26" ht="15.75" customHeight="1">
      <c r="A86" s="114"/>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spans="1:26" ht="15.75" customHeight="1">
      <c r="A87" s="114"/>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spans="1:26" ht="15.75" customHeight="1">
      <c r="A88" s="114"/>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spans="1:26" ht="15.75" customHeight="1">
      <c r="A89" s="114"/>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spans="1:26" ht="15.75" customHeight="1">
      <c r="A90" s="114"/>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spans="1:26" ht="15.75" customHeight="1">
      <c r="A91" s="114"/>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spans="1:26" ht="15.75" customHeight="1">
      <c r="A92" s="114"/>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spans="1:26" ht="15.75" customHeight="1">
      <c r="A93" s="114"/>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spans="1:26" ht="15.75" customHeight="1">
      <c r="A94" s="114"/>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spans="1:26" ht="15.75" customHeight="1">
      <c r="A95" s="114"/>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spans="1:26" ht="15.75" customHeight="1">
      <c r="A96" s="114"/>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spans="1:26" ht="15.75" customHeight="1">
      <c r="A97" s="114"/>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spans="1:26" ht="15.75" customHeight="1">
      <c r="A98" s="114"/>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spans="1:26" ht="15.75" customHeight="1">
      <c r="A99" s="114"/>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spans="1:26" ht="15.75" customHeight="1">
      <c r="A100" s="114"/>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5.75" customHeight="1">
      <c r="A101" s="114"/>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5.75" customHeight="1">
      <c r="A102" s="114"/>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5.75" customHeight="1">
      <c r="A103" s="114"/>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5.75" customHeight="1">
      <c r="A104" s="114"/>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5.75" customHeight="1">
      <c r="A105" s="114"/>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5.75" customHeight="1">
      <c r="A106" s="114"/>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5.75" customHeight="1">
      <c r="A107" s="114"/>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5.75" customHeight="1">
      <c r="A108" s="114"/>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5.75" customHeight="1">
      <c r="A109" s="114"/>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5.75" customHeight="1">
      <c r="A110" s="114"/>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5.75" customHeight="1">
      <c r="A111" s="114"/>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5.75" customHeight="1">
      <c r="A112" s="114"/>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5.75" customHeight="1">
      <c r="A113" s="114"/>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5.75" customHeight="1">
      <c r="A114" s="114"/>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5.75" customHeight="1">
      <c r="A115" s="114"/>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5.75" customHeight="1">
      <c r="A116" s="114"/>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5.75" customHeight="1">
      <c r="A117" s="114"/>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5.75" customHeight="1">
      <c r="A118" s="114"/>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5.75" customHeight="1">
      <c r="A119" s="114"/>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5.75" customHeight="1">
      <c r="A120" s="114"/>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5.75" customHeight="1">
      <c r="A121" s="114"/>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5.75" customHeight="1">
      <c r="A122" s="114"/>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5.75" customHeight="1">
      <c r="A123" s="114"/>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5.75" customHeight="1">
      <c r="A124" s="114"/>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5.75" customHeight="1">
      <c r="A125" s="114"/>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5.75" customHeight="1">
      <c r="A126" s="114"/>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5.75" customHeight="1">
      <c r="A127" s="114"/>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5.75" customHeight="1">
      <c r="A128" s="114"/>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5.75" customHeight="1">
      <c r="A129" s="114"/>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5.75" customHeight="1">
      <c r="A130" s="114"/>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5.75" customHeight="1">
      <c r="A131" s="114"/>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5.75" customHeight="1">
      <c r="A132" s="114"/>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5.75" customHeight="1">
      <c r="A133" s="114"/>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5.75" customHeight="1">
      <c r="A134" s="114"/>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5.75" customHeight="1">
      <c r="A135" s="114"/>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5.75" customHeight="1">
      <c r="A136" s="114"/>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5.75" customHeight="1">
      <c r="A137" s="114"/>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5.75" customHeight="1">
      <c r="A138" s="114"/>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5.75" customHeight="1">
      <c r="A139" s="114"/>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5.75" customHeight="1">
      <c r="A140" s="114"/>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5.75" customHeight="1">
      <c r="A141" s="114"/>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5.75" customHeight="1">
      <c r="A142" s="114"/>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5.75" customHeight="1">
      <c r="A143" s="114"/>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5.75" customHeight="1">
      <c r="A144" s="114"/>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5.75" customHeight="1">
      <c r="A145" s="114"/>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5.75" customHeight="1">
      <c r="A146" s="114"/>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5.75" customHeight="1">
      <c r="A147" s="114"/>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5.75" customHeight="1">
      <c r="A148" s="114"/>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5.75" customHeight="1">
      <c r="A149" s="114"/>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5.75" customHeight="1">
      <c r="A150" s="114"/>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5.75" customHeight="1">
      <c r="A151" s="114"/>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5.75" customHeight="1">
      <c r="A152" s="114"/>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5.75" customHeight="1">
      <c r="A153" s="114"/>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5.75" customHeight="1">
      <c r="A154" s="114"/>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5.75" customHeight="1">
      <c r="A155" s="114"/>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5.75" customHeight="1">
      <c r="A156" s="114"/>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5.75" customHeight="1">
      <c r="A157" s="114"/>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5.75" customHeight="1">
      <c r="A158" s="114"/>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5.75" customHeight="1">
      <c r="A159" s="114"/>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5.75" customHeight="1">
      <c r="A160" s="114"/>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5.75" customHeight="1">
      <c r="A161" s="114"/>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5.75" customHeight="1">
      <c r="A162" s="114"/>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5.75" customHeight="1">
      <c r="A163" s="114"/>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5.75" customHeight="1">
      <c r="A164" s="114"/>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5.75" customHeight="1">
      <c r="A165" s="114"/>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5.75" customHeight="1">
      <c r="A166" s="114"/>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5.75" customHeight="1">
      <c r="A167" s="114"/>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5.75" customHeight="1">
      <c r="A168" s="114"/>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5.75" customHeight="1">
      <c r="A169" s="114"/>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5.75" customHeight="1">
      <c r="A170" s="114"/>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5.75" customHeight="1">
      <c r="A171" s="114"/>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5.75" customHeight="1">
      <c r="A172" s="114"/>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5.75" customHeight="1">
      <c r="A173" s="114"/>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5.75" customHeight="1">
      <c r="A174" s="114"/>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5.75" customHeight="1">
      <c r="A175" s="114"/>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5.75" customHeight="1">
      <c r="A176" s="114"/>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5.75" customHeight="1">
      <c r="A177" s="114"/>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5.75" customHeight="1">
      <c r="A178" s="114"/>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5.75" customHeight="1">
      <c r="A179" s="114"/>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5.75" customHeight="1">
      <c r="A180" s="114"/>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5.75" customHeight="1">
      <c r="A181" s="114"/>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5.75" customHeight="1">
      <c r="A182" s="114"/>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5.75" customHeight="1">
      <c r="A183" s="114"/>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5.75" customHeight="1">
      <c r="A184" s="114"/>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5.75" customHeight="1">
      <c r="A185" s="114"/>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5.75" customHeight="1">
      <c r="A186" s="114"/>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5.75" customHeight="1">
      <c r="A187" s="114"/>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5.75" customHeight="1">
      <c r="A188" s="114"/>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5.75" customHeight="1">
      <c r="A189" s="114"/>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5.75" customHeight="1">
      <c r="A190" s="114"/>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5.75" customHeight="1">
      <c r="A191" s="114"/>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5.75" customHeight="1">
      <c r="A192" s="114"/>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5.75" customHeight="1">
      <c r="A193" s="114"/>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5.75" customHeight="1">
      <c r="A194" s="114"/>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5.75" customHeight="1">
      <c r="A195" s="114"/>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5.75" customHeight="1">
      <c r="A196" s="114"/>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5.75" customHeight="1">
      <c r="A197" s="114"/>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5.75" customHeight="1">
      <c r="A198" s="114"/>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5.75" customHeight="1">
      <c r="A199" s="114"/>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5.75" customHeight="1">
      <c r="A200" s="114"/>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5.75" customHeight="1">
      <c r="A201" s="114"/>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5.75" customHeight="1">
      <c r="A202" s="114"/>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5.75" customHeight="1">
      <c r="A203" s="114"/>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5.75" customHeight="1">
      <c r="A204" s="114"/>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5.75" customHeight="1">
      <c r="A205" s="114"/>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5.75" customHeight="1">
      <c r="A206" s="114"/>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5.75" customHeight="1">
      <c r="A207" s="114"/>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5.75" customHeight="1">
      <c r="A208" s="114"/>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5.75" customHeight="1">
      <c r="A209" s="114"/>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5.75" customHeight="1">
      <c r="A210" s="114"/>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5.75" customHeight="1">
      <c r="A211" s="114"/>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5.75" customHeight="1">
      <c r="A212" s="114"/>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5.75" customHeight="1">
      <c r="A213" s="114"/>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5.75" customHeight="1">
      <c r="A214" s="114"/>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5.75" customHeight="1">
      <c r="A215" s="114"/>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5.75" customHeight="1">
      <c r="A216" s="114"/>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5.75" customHeight="1">
      <c r="A217" s="114"/>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5.75" customHeight="1">
      <c r="A218" s="114"/>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5.75" customHeight="1">
      <c r="A219" s="114"/>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5.75" customHeight="1">
      <c r="A220" s="114"/>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5.75" customHeight="1">
      <c r="A221" s="114"/>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5.75" customHeight="1">
      <c r="A222" s="114"/>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5.75" customHeight="1">
      <c r="A223" s="114"/>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5.75" customHeight="1">
      <c r="A224" s="114"/>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5.75" customHeight="1">
      <c r="A225" s="114"/>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5.75" customHeight="1">
      <c r="A226" s="114"/>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5.75" customHeight="1">
      <c r="A227" s="114"/>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5.75" customHeight="1">
      <c r="A228" s="114"/>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5.75" customHeight="1">
      <c r="A229" s="114"/>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5.75" customHeight="1">
      <c r="A230" s="114"/>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5.75" customHeight="1">
      <c r="A231" s="114"/>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5.75" customHeight="1">
      <c r="A232" s="114"/>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5.75" customHeight="1">
      <c r="A233" s="114"/>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5.75" customHeight="1">
      <c r="A234" s="114"/>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5.75" customHeight="1">
      <c r="A235" s="114"/>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5.75" customHeight="1">
      <c r="A236" s="114"/>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5.75" customHeight="1">
      <c r="A237" s="114"/>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5.75" customHeight="1">
      <c r="A238" s="114"/>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5.75" customHeight="1">
      <c r="A239" s="114"/>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5.75" customHeight="1">
      <c r="A240" s="114"/>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5.75" customHeight="1">
      <c r="A241" s="114"/>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5.75" customHeight="1">
      <c r="A242" s="114"/>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5.75" customHeight="1">
      <c r="A243" s="114"/>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5.75" customHeight="1">
      <c r="A244" s="114"/>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5.75" customHeight="1">
      <c r="A245" s="114"/>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5.75" customHeight="1">
      <c r="A246" s="114"/>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5.75" customHeight="1">
      <c r="A247" s="114"/>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5.75" customHeight="1">
      <c r="A248" s="114"/>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5.75" customHeight="1">
      <c r="A249" s="114"/>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5.75" customHeight="1">
      <c r="A250" s="114"/>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5.75" customHeight="1">
      <c r="A251" s="114"/>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5.75" customHeight="1">
      <c r="A252" s="114"/>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5.75" customHeight="1">
      <c r="A253" s="114"/>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5.75" customHeight="1">
      <c r="A254" s="114"/>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5.75" customHeight="1">
      <c r="A255" s="114"/>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5.75" customHeight="1">
      <c r="A256" s="114"/>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5.75" customHeight="1">
      <c r="A257" s="114"/>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5.75" customHeight="1">
      <c r="A258" s="114"/>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5.75" customHeight="1">
      <c r="A259" s="114"/>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5.75" customHeight="1">
      <c r="A260" s="114"/>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5.75" customHeight="1">
      <c r="A261" s="114"/>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5.75" customHeight="1">
      <c r="A262" s="114"/>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5.75" customHeight="1">
      <c r="A263" s="114"/>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5.75" customHeight="1">
      <c r="A264" s="114"/>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5.75" customHeight="1">
      <c r="A265" s="114"/>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5.75" customHeight="1">
      <c r="A266" s="114"/>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5.75" customHeight="1">
      <c r="A267" s="114"/>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5.75" customHeight="1">
      <c r="A268" s="114"/>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5.75" customHeight="1">
      <c r="A269" s="114"/>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5.75" customHeight="1">
      <c r="A270" s="114"/>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5.75" customHeight="1">
      <c r="A271" s="114"/>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5.75" customHeight="1">
      <c r="A272" s="114"/>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5.75" customHeight="1">
      <c r="A273" s="114"/>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5.75" customHeight="1">
      <c r="A274" s="114"/>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5.75" customHeight="1">
      <c r="A275" s="114"/>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5.75" customHeight="1">
      <c r="A276" s="114"/>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5.75" customHeight="1">
      <c r="A277" s="114"/>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5.75" customHeight="1">
      <c r="A278" s="114"/>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5.75" customHeight="1">
      <c r="A279" s="114"/>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5.75" customHeight="1">
      <c r="A280" s="114"/>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5.75" customHeight="1">
      <c r="A281" s="114"/>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5.75" customHeight="1">
      <c r="A282" s="114"/>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5.75" customHeight="1">
      <c r="A283" s="114"/>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5.75" customHeight="1">
      <c r="A284" s="114"/>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5.75" customHeight="1">
      <c r="A285" s="114"/>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5.75" customHeight="1">
      <c r="A286" s="114"/>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5.75" customHeight="1">
      <c r="A287" s="114"/>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5.75" customHeight="1">
      <c r="A288" s="114"/>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5.75" customHeight="1">
      <c r="A289" s="114"/>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5.75" customHeight="1">
      <c r="A290" s="114"/>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5.75" customHeight="1">
      <c r="A291" s="114"/>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5.75" customHeight="1">
      <c r="A292" s="114"/>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5.75" customHeight="1">
      <c r="A293" s="114"/>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5.75" customHeight="1">
      <c r="A294" s="114"/>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5.75" customHeight="1">
      <c r="A295" s="114"/>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5.75" customHeight="1">
      <c r="A296" s="114"/>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5.75" customHeight="1">
      <c r="A297" s="114"/>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5.75" customHeight="1">
      <c r="A298" s="114"/>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5.75" customHeight="1">
      <c r="A299" s="114"/>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5.75" customHeight="1">
      <c r="A300" s="114"/>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5.75" customHeight="1">
      <c r="A301" s="114"/>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5.75" customHeight="1">
      <c r="A302" s="114"/>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5.75" customHeight="1">
      <c r="A303" s="114"/>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5.75" customHeight="1">
      <c r="A304" s="114"/>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5.75" customHeight="1">
      <c r="A305" s="114"/>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5.75" customHeight="1">
      <c r="A306" s="114"/>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5.75" customHeight="1">
      <c r="A307" s="114"/>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5.75" customHeight="1">
      <c r="A308" s="114"/>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5.75" customHeight="1">
      <c r="A309" s="114"/>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5.75" customHeight="1">
      <c r="A310" s="114"/>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5.75" customHeight="1">
      <c r="A311" s="114"/>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5.75" customHeight="1">
      <c r="A312" s="114"/>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5.75" customHeight="1">
      <c r="A313" s="114"/>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5.75" customHeight="1">
      <c r="A314" s="114"/>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5.75" customHeight="1">
      <c r="A315" s="114"/>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5.75" customHeight="1">
      <c r="A316" s="114"/>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5.75" customHeight="1">
      <c r="A317" s="114"/>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5.75" customHeight="1">
      <c r="A318" s="114"/>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5.75" customHeight="1">
      <c r="A319" s="114"/>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5.75" customHeight="1">
      <c r="A320" s="114"/>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5.75" customHeight="1">
      <c r="A321" s="114"/>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5.75" customHeight="1">
      <c r="A322" s="114"/>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5.75" customHeight="1">
      <c r="A323" s="114"/>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5.75" customHeight="1">
      <c r="A324" s="114"/>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5.75" customHeight="1">
      <c r="A325" s="114"/>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5.75" customHeight="1">
      <c r="A326" s="114"/>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5.75" customHeight="1">
      <c r="A327" s="114"/>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5.75" customHeight="1">
      <c r="A328" s="114"/>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5.75" customHeight="1">
      <c r="A329" s="114"/>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5.75" customHeight="1">
      <c r="A330" s="114"/>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5.75" customHeight="1">
      <c r="A331" s="114"/>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5.75" customHeight="1">
      <c r="A332" s="114"/>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5.75" customHeight="1">
      <c r="A333" s="114"/>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5.75" customHeight="1">
      <c r="A334" s="114"/>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5.75" customHeight="1">
      <c r="A335" s="114"/>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5.75" customHeight="1">
      <c r="A336" s="114"/>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5.75" customHeight="1">
      <c r="A337" s="114"/>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5.75" customHeight="1">
      <c r="A338" s="114"/>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5.75" customHeight="1">
      <c r="A339" s="114"/>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5.75" customHeight="1">
      <c r="A340" s="114"/>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5.75" customHeight="1">
      <c r="A341" s="114"/>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5.75" customHeight="1">
      <c r="A342" s="114"/>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5.75" customHeight="1">
      <c r="A343" s="114"/>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5.75" customHeight="1">
      <c r="A344" s="114"/>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5.75" customHeight="1">
      <c r="A345" s="114"/>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5.75" customHeight="1">
      <c r="A346" s="114"/>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5.75" customHeight="1">
      <c r="A347" s="114"/>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5.75" customHeight="1">
      <c r="A348" s="114"/>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5.75" customHeight="1">
      <c r="A349" s="114"/>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5.75" customHeight="1">
      <c r="A350" s="114"/>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5.75" customHeight="1">
      <c r="A351" s="114"/>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5.75" customHeight="1">
      <c r="A352" s="114"/>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5.75" customHeight="1">
      <c r="A353" s="114"/>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5.75" customHeight="1">
      <c r="A354" s="114"/>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5.75" customHeight="1">
      <c r="A355" s="114"/>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5.75" customHeight="1">
      <c r="A356" s="114"/>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5.75" customHeight="1">
      <c r="A357" s="114"/>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5.75" customHeight="1">
      <c r="A358" s="114"/>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5.75" customHeight="1">
      <c r="A359" s="114"/>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5.75" customHeight="1">
      <c r="A360" s="114"/>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5.75" customHeight="1">
      <c r="A361" s="114"/>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5.75" customHeight="1">
      <c r="A362" s="114"/>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5.75" customHeight="1">
      <c r="A363" s="114"/>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5.75" customHeight="1">
      <c r="A364" s="114"/>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5.75" customHeight="1">
      <c r="A365" s="114"/>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5.75" customHeight="1">
      <c r="A366" s="114"/>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5.75" customHeight="1">
      <c r="A367" s="114"/>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5.75" customHeight="1">
      <c r="A368" s="114"/>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5.75" customHeight="1">
      <c r="A369" s="114"/>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5.75" customHeight="1">
      <c r="A370" s="114"/>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5.75" customHeight="1">
      <c r="A371" s="114"/>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5.75" customHeight="1">
      <c r="A372" s="114"/>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5.75" customHeight="1">
      <c r="A373" s="114"/>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5.75" customHeight="1">
      <c r="A374" s="114"/>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5.75" customHeight="1">
      <c r="A375" s="114"/>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5.75" customHeight="1">
      <c r="A376" s="114"/>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5.75" customHeight="1">
      <c r="A377" s="114"/>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5.75" customHeight="1">
      <c r="A378" s="114"/>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5.75" customHeight="1">
      <c r="A379" s="114"/>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5.75" customHeight="1">
      <c r="A380" s="114"/>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5.75" customHeight="1">
      <c r="A381" s="114"/>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5.75" customHeight="1">
      <c r="A382" s="114"/>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5.75" customHeight="1">
      <c r="A383" s="114"/>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5.75" customHeight="1">
      <c r="A384" s="114"/>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5.75" customHeight="1">
      <c r="A385" s="114"/>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5.75" customHeight="1">
      <c r="A386" s="114"/>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5.75" customHeight="1">
      <c r="A387" s="114"/>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5.75" customHeight="1">
      <c r="A388" s="114"/>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5.75" customHeight="1">
      <c r="A389" s="114"/>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5.75" customHeight="1">
      <c r="A390" s="114"/>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5.75" customHeight="1">
      <c r="A391" s="114"/>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5.75" customHeight="1">
      <c r="A392" s="114"/>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5.75" customHeight="1">
      <c r="A393" s="114"/>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5.75" customHeight="1">
      <c r="A394" s="114"/>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5.75" customHeight="1">
      <c r="A395" s="114"/>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5.75" customHeight="1">
      <c r="A396" s="114"/>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5.75" customHeight="1">
      <c r="A397" s="114"/>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5.75" customHeight="1">
      <c r="A398" s="114"/>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5.75" customHeight="1">
      <c r="A399" s="114"/>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5.75" customHeight="1">
      <c r="A400" s="114"/>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5.75" customHeight="1">
      <c r="A401" s="114"/>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5.75" customHeight="1">
      <c r="A402" s="114"/>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5.75" customHeight="1">
      <c r="A403" s="114"/>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5.75" customHeight="1">
      <c r="A404" s="114"/>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5.75" customHeight="1">
      <c r="A405" s="114"/>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5.75" customHeight="1">
      <c r="A406" s="114"/>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5.75" customHeight="1">
      <c r="A407" s="114"/>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5.75" customHeight="1">
      <c r="A408" s="114"/>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5.75" customHeight="1">
      <c r="A409" s="114"/>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5.75" customHeight="1">
      <c r="A410" s="114"/>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5.75" customHeight="1">
      <c r="A411" s="114"/>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5.75" customHeight="1">
      <c r="A412" s="114"/>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5.75" customHeight="1">
      <c r="A413" s="114"/>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5.75" customHeight="1">
      <c r="A414" s="114"/>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5.75" customHeight="1">
      <c r="A415" s="114"/>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5.75" customHeight="1">
      <c r="A416" s="114"/>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5.75" customHeight="1">
      <c r="A417" s="114"/>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5.75" customHeight="1">
      <c r="A418" s="114"/>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5.75" customHeight="1">
      <c r="A419" s="114"/>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5.75" customHeight="1">
      <c r="A420" s="114"/>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5.75" customHeight="1">
      <c r="A421" s="114"/>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5.75" customHeight="1">
      <c r="A422" s="114"/>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5.75" customHeight="1">
      <c r="A423" s="114"/>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5.75" customHeight="1">
      <c r="A424" s="114"/>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5.75" customHeight="1">
      <c r="A425" s="114"/>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5.75" customHeight="1">
      <c r="A426" s="114"/>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5.75" customHeight="1">
      <c r="A427" s="114"/>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5.75" customHeight="1">
      <c r="A428" s="114"/>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5.75" customHeight="1">
      <c r="A429" s="114"/>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5.75" customHeight="1">
      <c r="A430" s="114"/>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5.75" customHeight="1">
      <c r="A431" s="114"/>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5.75" customHeight="1">
      <c r="A432" s="114"/>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5.75" customHeight="1">
      <c r="A433" s="114"/>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5.75" customHeight="1">
      <c r="A434" s="114"/>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5.75" customHeight="1">
      <c r="A435" s="114"/>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5.75" customHeight="1">
      <c r="A436" s="114"/>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5.75" customHeight="1">
      <c r="A437" s="114"/>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5.75" customHeight="1">
      <c r="A438" s="114"/>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5.75" customHeight="1">
      <c r="A439" s="114"/>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5.75" customHeight="1">
      <c r="A440" s="114"/>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5.75" customHeight="1">
      <c r="A441" s="114"/>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5.75" customHeight="1">
      <c r="A442" s="114"/>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5.75" customHeight="1">
      <c r="A443" s="114"/>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5.75" customHeight="1">
      <c r="A444" s="114"/>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5.75" customHeight="1">
      <c r="A445" s="114"/>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5.75" customHeight="1">
      <c r="A446" s="114"/>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5.75" customHeight="1">
      <c r="A447" s="114"/>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5.75" customHeight="1">
      <c r="A448" s="114"/>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5.75" customHeight="1">
      <c r="A449" s="114"/>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5.75" customHeight="1">
      <c r="A450" s="114"/>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5.75" customHeight="1">
      <c r="A451" s="114"/>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5.75" customHeight="1">
      <c r="A452" s="114"/>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5.75" customHeight="1">
      <c r="A453" s="114"/>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5.75" customHeight="1">
      <c r="A454" s="114"/>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5.75" customHeight="1">
      <c r="A455" s="114"/>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5.75" customHeight="1">
      <c r="A456" s="114"/>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5.75" customHeight="1">
      <c r="A457" s="114"/>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5.75" customHeight="1">
      <c r="A458" s="114"/>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5.75" customHeight="1">
      <c r="A459" s="114"/>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5.75" customHeight="1">
      <c r="A460" s="114"/>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5.75" customHeight="1">
      <c r="A461" s="114"/>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5.75" customHeight="1">
      <c r="A462" s="114"/>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5.75" customHeight="1">
      <c r="A463" s="114"/>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5.75" customHeight="1">
      <c r="A464" s="114"/>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5.75" customHeight="1">
      <c r="A465" s="114"/>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5.75" customHeight="1">
      <c r="A466" s="114"/>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5.75" customHeight="1">
      <c r="A467" s="114"/>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5.75" customHeight="1">
      <c r="A468" s="114"/>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5.75" customHeight="1">
      <c r="A469" s="114"/>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5.75" customHeight="1">
      <c r="A470" s="114"/>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5.75" customHeight="1">
      <c r="A471" s="114"/>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5.75" customHeight="1">
      <c r="A472" s="114"/>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5.75" customHeight="1">
      <c r="A473" s="114"/>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5.75" customHeight="1">
      <c r="A474" s="114"/>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5.75" customHeight="1">
      <c r="A475" s="114"/>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5.75" customHeight="1">
      <c r="A476" s="114"/>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5.75" customHeight="1">
      <c r="A477" s="114"/>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5.75" customHeight="1">
      <c r="A478" s="114"/>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5.75" customHeight="1">
      <c r="A479" s="114"/>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5.75" customHeight="1">
      <c r="A480" s="114"/>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5.75" customHeight="1">
      <c r="A481" s="114"/>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5.75" customHeight="1">
      <c r="A482" s="114"/>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5.75" customHeight="1">
      <c r="A483" s="114"/>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5.75" customHeight="1">
      <c r="A484" s="114"/>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5.75" customHeight="1">
      <c r="A485" s="114"/>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5.75" customHeight="1">
      <c r="A486" s="114"/>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5.75" customHeight="1">
      <c r="A487" s="114"/>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5.75" customHeight="1">
      <c r="A488" s="114"/>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5.75" customHeight="1">
      <c r="A489" s="114"/>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5.75" customHeight="1">
      <c r="A490" s="114"/>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5.75" customHeight="1">
      <c r="A491" s="114"/>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5.75" customHeight="1">
      <c r="A492" s="114"/>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5.75" customHeight="1">
      <c r="A493" s="114"/>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5.75" customHeight="1">
      <c r="A494" s="114"/>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5.75" customHeight="1">
      <c r="A495" s="114"/>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5.75" customHeight="1">
      <c r="A496" s="114"/>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5.75" customHeight="1">
      <c r="A497" s="114"/>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5.75" customHeight="1">
      <c r="A498" s="114"/>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5.75" customHeight="1">
      <c r="A499" s="114"/>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5.75" customHeight="1">
      <c r="A500" s="114"/>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5.75" customHeight="1">
      <c r="A501" s="114"/>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5.75" customHeight="1">
      <c r="A502" s="114"/>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5.75" customHeight="1">
      <c r="A503" s="114"/>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5.75" customHeight="1">
      <c r="A504" s="114"/>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5.75" customHeight="1">
      <c r="A505" s="114"/>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5.75" customHeight="1">
      <c r="A506" s="114"/>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5.75" customHeight="1">
      <c r="A507" s="114"/>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5.75" customHeight="1">
      <c r="A508" s="114"/>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5.75" customHeight="1">
      <c r="A509" s="114"/>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5.75" customHeight="1">
      <c r="A510" s="114"/>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5.75" customHeight="1">
      <c r="A511" s="114"/>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5.75" customHeight="1">
      <c r="A512" s="114"/>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5.75" customHeight="1">
      <c r="A513" s="114"/>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5.75" customHeight="1">
      <c r="A514" s="114"/>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5.75" customHeight="1">
      <c r="A515" s="114"/>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5.75" customHeight="1">
      <c r="A516" s="114"/>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5.75" customHeight="1">
      <c r="A517" s="114"/>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5.75" customHeight="1">
      <c r="A518" s="114"/>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5.75" customHeight="1">
      <c r="A519" s="114"/>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5.75" customHeight="1">
      <c r="A520" s="114"/>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5.75" customHeight="1">
      <c r="A521" s="114"/>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5.75" customHeight="1">
      <c r="A522" s="114"/>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5.75" customHeight="1">
      <c r="A523" s="114"/>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5.75" customHeight="1">
      <c r="A524" s="114"/>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5.75" customHeight="1">
      <c r="A525" s="114"/>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5.75" customHeight="1">
      <c r="A526" s="114"/>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5.75" customHeight="1">
      <c r="A527" s="114"/>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5.75" customHeight="1">
      <c r="A528" s="114"/>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5.75" customHeight="1">
      <c r="A529" s="114"/>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5.75" customHeight="1">
      <c r="A530" s="114"/>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5.75" customHeight="1">
      <c r="A531" s="114"/>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5.75" customHeight="1">
      <c r="A532" s="114"/>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5.75" customHeight="1">
      <c r="A533" s="114"/>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5.75" customHeight="1">
      <c r="A534" s="114"/>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5.75" customHeight="1">
      <c r="A535" s="114"/>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5.75" customHeight="1">
      <c r="A536" s="114"/>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5.75" customHeight="1">
      <c r="A537" s="114"/>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5.75" customHeight="1">
      <c r="A538" s="114"/>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5.75" customHeight="1">
      <c r="A539" s="114"/>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5.75" customHeight="1">
      <c r="A540" s="114"/>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5.75" customHeight="1">
      <c r="A541" s="114"/>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5.75" customHeight="1">
      <c r="A542" s="114"/>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5.75" customHeight="1">
      <c r="A543" s="114"/>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5.75" customHeight="1">
      <c r="A544" s="114"/>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5.75" customHeight="1">
      <c r="A545" s="114"/>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5.75" customHeight="1">
      <c r="A546" s="114"/>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5.75" customHeight="1">
      <c r="A547" s="114"/>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5.75" customHeight="1">
      <c r="A548" s="114"/>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5.75" customHeight="1">
      <c r="A549" s="114"/>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5.75" customHeight="1">
      <c r="A550" s="114"/>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5.75" customHeight="1">
      <c r="A551" s="114"/>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5.75" customHeight="1">
      <c r="A552" s="114"/>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5.75" customHeight="1">
      <c r="A553" s="114"/>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5.75" customHeight="1">
      <c r="A554" s="114"/>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5.75" customHeight="1">
      <c r="A555" s="114"/>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5.75" customHeight="1">
      <c r="A556" s="114"/>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5.75" customHeight="1">
      <c r="A557" s="114"/>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5.75" customHeight="1">
      <c r="A558" s="114"/>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5.75" customHeight="1">
      <c r="A559" s="114"/>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5.75" customHeight="1">
      <c r="A560" s="114"/>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5.75" customHeight="1">
      <c r="A561" s="114"/>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5.75" customHeight="1">
      <c r="A562" s="114"/>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5.75" customHeight="1">
      <c r="A563" s="114"/>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5.75" customHeight="1">
      <c r="A564" s="114"/>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5.75" customHeight="1">
      <c r="A565" s="114"/>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5.75" customHeight="1">
      <c r="A566" s="114"/>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5.75" customHeight="1">
      <c r="A567" s="114"/>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5.75" customHeight="1">
      <c r="A568" s="114"/>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5.75" customHeight="1">
      <c r="A569" s="114"/>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5.75" customHeight="1">
      <c r="A570" s="114"/>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5.75" customHeight="1">
      <c r="A571" s="114"/>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5.75" customHeight="1">
      <c r="A572" s="114"/>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5.75" customHeight="1">
      <c r="A573" s="114"/>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5.75" customHeight="1">
      <c r="A574" s="114"/>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5.75" customHeight="1">
      <c r="A575" s="114"/>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5.75" customHeight="1">
      <c r="A576" s="114"/>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5.75" customHeight="1">
      <c r="A577" s="114"/>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5.75" customHeight="1">
      <c r="A578" s="114"/>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5.75" customHeight="1">
      <c r="A579" s="114"/>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5.75" customHeight="1">
      <c r="A580" s="114"/>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5.75" customHeight="1">
      <c r="A581" s="114"/>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5.75" customHeight="1">
      <c r="A582" s="114"/>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5.75" customHeight="1">
      <c r="A583" s="114"/>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5.75" customHeight="1">
      <c r="A584" s="114"/>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5.75" customHeight="1">
      <c r="A585" s="114"/>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5.75" customHeight="1">
      <c r="A586" s="114"/>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5.75" customHeight="1">
      <c r="A587" s="114"/>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5.75" customHeight="1">
      <c r="A588" s="114"/>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5.75" customHeight="1">
      <c r="A589" s="114"/>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5.75" customHeight="1">
      <c r="A590" s="114"/>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5.75" customHeight="1">
      <c r="A591" s="114"/>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5.75" customHeight="1">
      <c r="A592" s="114"/>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5.75" customHeight="1">
      <c r="A593" s="114"/>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5.75" customHeight="1">
      <c r="A594" s="114"/>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5.75" customHeight="1">
      <c r="A595" s="114"/>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5.75" customHeight="1">
      <c r="A596" s="114"/>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5.75" customHeight="1">
      <c r="A597" s="114"/>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5.75" customHeight="1">
      <c r="A598" s="114"/>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5.75" customHeight="1">
      <c r="A599" s="114"/>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5.75" customHeight="1">
      <c r="A600" s="114"/>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5.75" customHeight="1">
      <c r="A601" s="114"/>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5.75" customHeight="1">
      <c r="A602" s="114"/>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5.75" customHeight="1">
      <c r="A603" s="114"/>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5.75" customHeight="1">
      <c r="A604" s="114"/>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5.75" customHeight="1">
      <c r="A605" s="114"/>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5.75" customHeight="1">
      <c r="A606" s="114"/>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5.75" customHeight="1">
      <c r="A607" s="114"/>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5.75" customHeight="1">
      <c r="A608" s="114"/>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5.75" customHeight="1">
      <c r="A609" s="114"/>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5.75" customHeight="1">
      <c r="A610" s="114"/>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5.75" customHeight="1">
      <c r="A611" s="114"/>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5.75" customHeight="1">
      <c r="A612" s="114"/>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5.75" customHeight="1">
      <c r="A613" s="114"/>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5.75" customHeight="1">
      <c r="A614" s="114"/>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5.75" customHeight="1">
      <c r="A615" s="114"/>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5.75" customHeight="1">
      <c r="A616" s="114"/>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5.75" customHeight="1">
      <c r="A617" s="114"/>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5.75" customHeight="1">
      <c r="A618" s="114"/>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5.75" customHeight="1">
      <c r="A619" s="114"/>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5.75" customHeight="1">
      <c r="A620" s="114"/>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5.75" customHeight="1">
      <c r="A621" s="114"/>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5.75" customHeight="1">
      <c r="A622" s="114"/>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5.75" customHeight="1">
      <c r="A623" s="114"/>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5.75" customHeight="1">
      <c r="A624" s="114"/>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5.75" customHeight="1">
      <c r="A625" s="114"/>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5.75" customHeight="1">
      <c r="A626" s="114"/>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5.75" customHeight="1">
      <c r="A627" s="114"/>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5.75" customHeight="1">
      <c r="A628" s="114"/>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5.75" customHeight="1">
      <c r="A629" s="114"/>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5.75" customHeight="1">
      <c r="A630" s="114"/>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5.75" customHeight="1">
      <c r="A631" s="114"/>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5.75" customHeight="1">
      <c r="A632" s="114"/>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5.75" customHeight="1">
      <c r="A633" s="114"/>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5.75" customHeight="1">
      <c r="A634" s="114"/>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5.75" customHeight="1">
      <c r="A635" s="114"/>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5.75" customHeight="1">
      <c r="A636" s="114"/>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5.75" customHeight="1">
      <c r="A637" s="114"/>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5.75" customHeight="1">
      <c r="A638" s="114"/>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5.75" customHeight="1">
      <c r="A639" s="114"/>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5.75" customHeight="1">
      <c r="A640" s="114"/>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5.75" customHeight="1">
      <c r="A641" s="114"/>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5.75" customHeight="1">
      <c r="A642" s="114"/>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5.75" customHeight="1">
      <c r="A643" s="114"/>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5.75" customHeight="1">
      <c r="A644" s="114"/>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5.75" customHeight="1">
      <c r="A645" s="114"/>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5.75" customHeight="1">
      <c r="A646" s="114"/>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5.75" customHeight="1">
      <c r="A647" s="114"/>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5.75" customHeight="1">
      <c r="A648" s="114"/>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5.75" customHeight="1">
      <c r="A649" s="114"/>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5.75" customHeight="1">
      <c r="A650" s="114"/>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5.75" customHeight="1">
      <c r="A651" s="114"/>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5.75" customHeight="1">
      <c r="A652" s="114"/>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5.75" customHeight="1">
      <c r="A653" s="114"/>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5.75" customHeight="1">
      <c r="A654" s="114"/>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5.75" customHeight="1">
      <c r="A655" s="114"/>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5.75" customHeight="1">
      <c r="A656" s="114"/>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5.75" customHeight="1">
      <c r="A657" s="114"/>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5.75" customHeight="1">
      <c r="A658" s="114"/>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5.75" customHeight="1">
      <c r="A659" s="114"/>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5.75" customHeight="1">
      <c r="A660" s="114"/>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5.75" customHeight="1">
      <c r="A661" s="114"/>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5.75" customHeight="1">
      <c r="A662" s="114"/>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5.75" customHeight="1">
      <c r="A663" s="114"/>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5.75" customHeight="1">
      <c r="A664" s="114"/>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5.75" customHeight="1">
      <c r="A665" s="114"/>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5.75" customHeight="1">
      <c r="A666" s="114"/>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5.75" customHeight="1">
      <c r="A667" s="114"/>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5.75" customHeight="1">
      <c r="A668" s="114"/>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5.75" customHeight="1">
      <c r="A669" s="114"/>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5.75" customHeight="1">
      <c r="A670" s="114"/>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5.75" customHeight="1">
      <c r="A671" s="114"/>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5.75" customHeight="1">
      <c r="A672" s="114"/>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5.75" customHeight="1">
      <c r="A673" s="114"/>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5.75" customHeight="1">
      <c r="A674" s="114"/>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5.75" customHeight="1">
      <c r="A675" s="114"/>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5.75" customHeight="1">
      <c r="A676" s="114"/>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5.75" customHeight="1">
      <c r="A677" s="114"/>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5.75" customHeight="1">
      <c r="A678" s="114"/>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5.75" customHeight="1">
      <c r="A679" s="114"/>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5.75" customHeight="1">
      <c r="A680" s="114"/>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5.75" customHeight="1">
      <c r="A681" s="114"/>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5.75" customHeight="1">
      <c r="A682" s="114"/>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5.75" customHeight="1">
      <c r="A683" s="114"/>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5.75" customHeight="1">
      <c r="A684" s="114"/>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5.75" customHeight="1">
      <c r="A685" s="114"/>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5.75" customHeight="1">
      <c r="A686" s="114"/>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5.75" customHeight="1">
      <c r="A687" s="114"/>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5.75" customHeight="1">
      <c r="A688" s="114"/>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5.75" customHeight="1">
      <c r="A689" s="114"/>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5.75" customHeight="1">
      <c r="A690" s="114"/>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5.75" customHeight="1">
      <c r="A691" s="114"/>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5.75" customHeight="1">
      <c r="A692" s="114"/>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5.75" customHeight="1">
      <c r="A693" s="114"/>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5.75" customHeight="1">
      <c r="A694" s="114"/>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5.75" customHeight="1">
      <c r="A695" s="114"/>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5.75" customHeight="1">
      <c r="A696" s="114"/>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5.75" customHeight="1">
      <c r="A697" s="114"/>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5.75" customHeight="1">
      <c r="A698" s="114"/>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5.75" customHeight="1">
      <c r="A699" s="114"/>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5.75" customHeight="1">
      <c r="A700" s="114"/>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5.75" customHeight="1">
      <c r="A701" s="114"/>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5.75" customHeight="1">
      <c r="A702" s="114"/>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5.75" customHeight="1">
      <c r="A703" s="114"/>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5.75" customHeight="1">
      <c r="A704" s="114"/>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5.75" customHeight="1">
      <c r="A705" s="114"/>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5.75" customHeight="1">
      <c r="A706" s="114"/>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5.75" customHeight="1">
      <c r="A707" s="114"/>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5.75" customHeight="1">
      <c r="A708" s="114"/>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5.75" customHeight="1">
      <c r="A709" s="114"/>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5.75" customHeight="1">
      <c r="A710" s="114"/>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5.75" customHeight="1">
      <c r="A711" s="114"/>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5.75" customHeight="1">
      <c r="A712" s="114"/>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5.75" customHeight="1">
      <c r="A713" s="114"/>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5.75" customHeight="1">
      <c r="A714" s="114"/>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5.75" customHeight="1">
      <c r="A715" s="114"/>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5.75" customHeight="1">
      <c r="A716" s="114"/>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5.75" customHeight="1">
      <c r="A717" s="114"/>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5.75" customHeight="1">
      <c r="A718" s="114"/>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5.75" customHeight="1">
      <c r="A719" s="114"/>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5.75" customHeight="1">
      <c r="A720" s="114"/>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5.75" customHeight="1">
      <c r="A721" s="114"/>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5.75" customHeight="1">
      <c r="A722" s="114"/>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5.75" customHeight="1">
      <c r="A723" s="114"/>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5.75" customHeight="1">
      <c r="A724" s="114"/>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5.75" customHeight="1">
      <c r="A725" s="114"/>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5.75" customHeight="1">
      <c r="A726" s="114"/>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5.75" customHeight="1">
      <c r="A727" s="114"/>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5.75" customHeight="1">
      <c r="A728" s="114"/>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5.75" customHeight="1">
      <c r="A729" s="114"/>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5.75" customHeight="1">
      <c r="A730" s="114"/>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5.75" customHeight="1">
      <c r="A731" s="114"/>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5.75" customHeight="1">
      <c r="A732" s="114"/>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5.75" customHeight="1">
      <c r="A733" s="114"/>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5.75" customHeight="1">
      <c r="A734" s="114"/>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5.75" customHeight="1">
      <c r="A735" s="114"/>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5.75" customHeight="1">
      <c r="A736" s="114"/>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5.75" customHeight="1">
      <c r="A737" s="114"/>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5.75" customHeight="1">
      <c r="A738" s="114"/>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5.75" customHeight="1">
      <c r="A739" s="114"/>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5.75" customHeight="1">
      <c r="A740" s="114"/>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5.75" customHeight="1">
      <c r="A741" s="114"/>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5.75" customHeight="1">
      <c r="A742" s="114"/>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5.75" customHeight="1">
      <c r="A743" s="114"/>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5.75" customHeight="1">
      <c r="A744" s="114"/>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5.75" customHeight="1">
      <c r="A745" s="114"/>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5.75" customHeight="1">
      <c r="A746" s="114"/>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5.75" customHeight="1">
      <c r="A747" s="114"/>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5.75" customHeight="1">
      <c r="A748" s="114"/>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5.75" customHeight="1">
      <c r="A749" s="114"/>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5.75" customHeight="1">
      <c r="A750" s="114"/>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5.75" customHeight="1">
      <c r="A751" s="114"/>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5.75" customHeight="1">
      <c r="A752" s="114"/>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5.75" customHeight="1">
      <c r="A753" s="114"/>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5.75" customHeight="1">
      <c r="A754" s="114"/>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5.75" customHeight="1">
      <c r="A755" s="114"/>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5.75" customHeight="1">
      <c r="A756" s="114"/>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5.75" customHeight="1">
      <c r="A757" s="114"/>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5.75" customHeight="1">
      <c r="A758" s="114"/>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5.75" customHeight="1">
      <c r="A759" s="114"/>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5.75" customHeight="1">
      <c r="A760" s="114"/>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5.75" customHeight="1">
      <c r="A761" s="114"/>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5.75" customHeight="1">
      <c r="A762" s="114"/>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5.75" customHeight="1">
      <c r="A763" s="114"/>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5.75" customHeight="1">
      <c r="A764" s="114"/>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5.75" customHeight="1">
      <c r="A765" s="114"/>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5.75" customHeight="1">
      <c r="A766" s="114"/>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5.75" customHeight="1">
      <c r="A767" s="114"/>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5.75" customHeight="1">
      <c r="A768" s="114"/>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5.75" customHeight="1">
      <c r="A769" s="114"/>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5.75" customHeight="1">
      <c r="A770" s="114"/>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5.75" customHeight="1">
      <c r="A771" s="114"/>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5.75" customHeight="1">
      <c r="A772" s="114"/>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5.75" customHeight="1">
      <c r="A773" s="114"/>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5.75" customHeight="1">
      <c r="A774" s="114"/>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5.75" customHeight="1">
      <c r="A775" s="114"/>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5.75" customHeight="1">
      <c r="A776" s="114"/>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5.75" customHeight="1">
      <c r="A777" s="114"/>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5.75" customHeight="1">
      <c r="A778" s="114"/>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5.75" customHeight="1">
      <c r="A779" s="114"/>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5.75" customHeight="1">
      <c r="A780" s="114"/>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5.75" customHeight="1">
      <c r="A781" s="114"/>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5.75" customHeight="1">
      <c r="A782" s="114"/>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5.75" customHeight="1">
      <c r="A783" s="114"/>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5.75" customHeight="1">
      <c r="A784" s="114"/>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5.75" customHeight="1">
      <c r="A785" s="114"/>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5.75" customHeight="1">
      <c r="A786" s="114"/>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5.75" customHeight="1">
      <c r="A787" s="114"/>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5.75" customHeight="1">
      <c r="A788" s="114"/>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5.75" customHeight="1">
      <c r="A789" s="114"/>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5.75" customHeight="1">
      <c r="A790" s="114"/>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5.75" customHeight="1">
      <c r="A791" s="114"/>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5.75" customHeight="1">
      <c r="A792" s="114"/>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5.75" customHeight="1">
      <c r="A793" s="114"/>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5.75" customHeight="1">
      <c r="A794" s="114"/>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5.75" customHeight="1">
      <c r="A795" s="114"/>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5.75" customHeight="1">
      <c r="A796" s="114"/>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5.75" customHeight="1">
      <c r="A797" s="114"/>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5.75" customHeight="1">
      <c r="A798" s="114"/>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5.75" customHeight="1">
      <c r="A799" s="114"/>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5.75" customHeight="1">
      <c r="A800" s="114"/>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5.75" customHeight="1">
      <c r="A801" s="114"/>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5.75" customHeight="1">
      <c r="A802" s="114"/>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5.75" customHeight="1">
      <c r="A803" s="114"/>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5.75" customHeight="1">
      <c r="A804" s="114"/>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5.75" customHeight="1">
      <c r="A805" s="114"/>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5.75" customHeight="1">
      <c r="A806" s="114"/>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5.75" customHeight="1">
      <c r="A807" s="114"/>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5.75" customHeight="1">
      <c r="A808" s="114"/>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5.75" customHeight="1">
      <c r="A809" s="114"/>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5.75" customHeight="1">
      <c r="A810" s="114"/>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5.75" customHeight="1">
      <c r="A811" s="114"/>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5.75" customHeight="1">
      <c r="A812" s="114"/>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5.75" customHeight="1">
      <c r="A813" s="114"/>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5.75" customHeight="1">
      <c r="A814" s="114"/>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5.75" customHeight="1">
      <c r="A815" s="114"/>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5.75" customHeight="1">
      <c r="A816" s="114"/>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5.75" customHeight="1">
      <c r="A817" s="114"/>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5.75" customHeight="1">
      <c r="A818" s="114"/>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5.75" customHeight="1">
      <c r="A819" s="114"/>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5.75" customHeight="1">
      <c r="A820" s="114"/>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5.75" customHeight="1">
      <c r="A821" s="114"/>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5.75" customHeight="1">
      <c r="A822" s="114"/>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5.75" customHeight="1">
      <c r="A823" s="114"/>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5.75" customHeight="1">
      <c r="A824" s="114"/>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5.75" customHeight="1">
      <c r="A825" s="114"/>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5.75" customHeight="1">
      <c r="A826" s="114"/>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5.75" customHeight="1">
      <c r="A827" s="114"/>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5.75" customHeight="1">
      <c r="A828" s="114"/>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5.75" customHeight="1">
      <c r="A829" s="114"/>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5.75" customHeight="1">
      <c r="A830" s="114"/>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5.75" customHeight="1">
      <c r="A831" s="114"/>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5.75" customHeight="1">
      <c r="A832" s="114"/>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5.75" customHeight="1">
      <c r="A833" s="114"/>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5.75" customHeight="1">
      <c r="A834" s="114"/>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5.75" customHeight="1">
      <c r="A835" s="114"/>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5.75" customHeight="1">
      <c r="A836" s="114"/>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5.75" customHeight="1">
      <c r="A837" s="114"/>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5.75" customHeight="1">
      <c r="A838" s="114"/>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5.75" customHeight="1">
      <c r="A839" s="114"/>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5.75" customHeight="1">
      <c r="A840" s="114"/>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5.75" customHeight="1">
      <c r="A841" s="114"/>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5.75" customHeight="1">
      <c r="A842" s="114"/>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5.75" customHeight="1">
      <c r="A843" s="114"/>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5.75" customHeight="1">
      <c r="A844" s="114"/>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5.75" customHeight="1">
      <c r="A845" s="114"/>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5.75" customHeight="1">
      <c r="A846" s="114"/>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5.75" customHeight="1">
      <c r="A847" s="114"/>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5.75" customHeight="1">
      <c r="A848" s="114"/>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5.75" customHeight="1">
      <c r="A849" s="114"/>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5.75" customHeight="1">
      <c r="A850" s="114"/>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5.75" customHeight="1">
      <c r="A851" s="114"/>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5.75" customHeight="1">
      <c r="A852" s="114"/>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5.75" customHeight="1">
      <c r="A853" s="114"/>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5.75" customHeight="1">
      <c r="A854" s="114"/>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5.75" customHeight="1">
      <c r="A855" s="114"/>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5.75" customHeight="1">
      <c r="A856" s="114"/>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5.75" customHeight="1">
      <c r="A857" s="114"/>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5.75" customHeight="1">
      <c r="A858" s="114"/>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5.75" customHeight="1">
      <c r="A859" s="114"/>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5.75" customHeight="1">
      <c r="A860" s="114"/>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5.75" customHeight="1">
      <c r="A861" s="114"/>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5.75" customHeight="1">
      <c r="A862" s="114"/>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5.75" customHeight="1">
      <c r="A863" s="114"/>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5.75" customHeight="1">
      <c r="A864" s="114"/>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5.75" customHeight="1">
      <c r="A865" s="114"/>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5.75" customHeight="1">
      <c r="A866" s="114"/>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5.75" customHeight="1">
      <c r="A867" s="114"/>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5.75" customHeight="1">
      <c r="A868" s="114"/>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5.75" customHeight="1">
      <c r="A869" s="114"/>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5.75" customHeight="1">
      <c r="A870" s="114"/>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5.75" customHeight="1">
      <c r="A871" s="114"/>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5.75" customHeight="1">
      <c r="A872" s="114"/>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5.75" customHeight="1">
      <c r="A873" s="114"/>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5.75" customHeight="1">
      <c r="A874" s="114"/>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5.75" customHeight="1">
      <c r="A875" s="114"/>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5.75" customHeight="1">
      <c r="A876" s="114"/>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5.75" customHeight="1">
      <c r="A877" s="114"/>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5.75" customHeight="1">
      <c r="A878" s="114"/>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5.75" customHeight="1">
      <c r="A879" s="114"/>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5.75" customHeight="1">
      <c r="A880" s="114"/>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5.75" customHeight="1">
      <c r="A881" s="114"/>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5.75" customHeight="1">
      <c r="A882" s="114"/>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5.75" customHeight="1">
      <c r="A883" s="114"/>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5.75" customHeight="1">
      <c r="A884" s="114"/>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5.75" customHeight="1">
      <c r="A885" s="114"/>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5.75" customHeight="1">
      <c r="A886" s="114"/>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5.75" customHeight="1">
      <c r="A887" s="114"/>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5.75" customHeight="1">
      <c r="A888" s="114"/>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5.75" customHeight="1">
      <c r="A889" s="114"/>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5.75" customHeight="1">
      <c r="A890" s="114"/>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5.75" customHeight="1">
      <c r="A891" s="114"/>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5.75" customHeight="1">
      <c r="A892" s="114"/>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5.75" customHeight="1">
      <c r="A893" s="114"/>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5.75" customHeight="1">
      <c r="A894" s="114"/>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5.75" customHeight="1">
      <c r="A895" s="114"/>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5.75" customHeight="1">
      <c r="A896" s="114"/>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5.75" customHeight="1">
      <c r="A897" s="114"/>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5.75" customHeight="1">
      <c r="A898" s="114"/>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5.75" customHeight="1">
      <c r="A899" s="114"/>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5.75" customHeight="1">
      <c r="A900" s="114"/>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5.75" customHeight="1">
      <c r="A901" s="114"/>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5.75" customHeight="1">
      <c r="A902" s="114"/>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5.75" customHeight="1">
      <c r="A903" s="114"/>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5.75" customHeight="1">
      <c r="A904" s="114"/>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5.75" customHeight="1">
      <c r="A905" s="114"/>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5.75" customHeight="1">
      <c r="A906" s="114"/>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5.75" customHeight="1">
      <c r="A907" s="114"/>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5.75" customHeight="1">
      <c r="A908" s="114"/>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5.75" customHeight="1">
      <c r="A909" s="114"/>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5.75" customHeight="1">
      <c r="A910" s="114"/>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5.75" customHeight="1">
      <c r="A911" s="114"/>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5.75" customHeight="1">
      <c r="A912" s="114"/>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5.75" customHeight="1">
      <c r="A913" s="114"/>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5.75" customHeight="1">
      <c r="A914" s="114"/>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5.75" customHeight="1">
      <c r="A915" s="114"/>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5.75" customHeight="1">
      <c r="A916" s="114"/>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5.75" customHeight="1">
      <c r="A917" s="114"/>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5.75" customHeight="1">
      <c r="A918" s="114"/>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5.75" customHeight="1">
      <c r="A919" s="114"/>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5.75" customHeight="1">
      <c r="A920" s="114"/>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5.75" customHeight="1">
      <c r="A921" s="114"/>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5.75" customHeight="1">
      <c r="A922" s="114"/>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5.75" customHeight="1">
      <c r="A923" s="114"/>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5.75" customHeight="1">
      <c r="A924" s="114"/>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5.75" customHeight="1">
      <c r="A925" s="114"/>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5.75" customHeight="1">
      <c r="A926" s="114"/>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5.75" customHeight="1">
      <c r="A927" s="114"/>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5.75" customHeight="1">
      <c r="A928" s="114"/>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5.75" customHeight="1">
      <c r="A929" s="114"/>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5.75" customHeight="1">
      <c r="A930" s="114"/>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5.75" customHeight="1">
      <c r="A931" s="114"/>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5.75" customHeight="1">
      <c r="A932" s="114"/>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5.75" customHeight="1">
      <c r="A933" s="114"/>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5.75" customHeight="1">
      <c r="A934" s="114"/>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5.75" customHeight="1">
      <c r="A935" s="114"/>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5.75" customHeight="1">
      <c r="A936" s="114"/>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5.75" customHeight="1">
      <c r="A937" s="114"/>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5.75" customHeight="1">
      <c r="A938" s="114"/>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5.75" customHeight="1">
      <c r="A939" s="114"/>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5.75" customHeight="1">
      <c r="A940" s="114"/>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5.75" customHeight="1">
      <c r="A941" s="114"/>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5.75" customHeight="1">
      <c r="A942" s="114"/>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5.75" customHeight="1">
      <c r="A943" s="114"/>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5.75" customHeight="1">
      <c r="A944" s="114"/>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5.75" customHeight="1">
      <c r="A945" s="114"/>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5.75" customHeight="1">
      <c r="A946" s="114"/>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5.75" customHeight="1">
      <c r="A947" s="114"/>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5.75" customHeight="1">
      <c r="A948" s="114"/>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5.75" customHeight="1">
      <c r="A949" s="114"/>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5.75" customHeight="1">
      <c r="A950" s="114"/>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5.75" customHeight="1">
      <c r="A951" s="114"/>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5.75" customHeight="1">
      <c r="A952" s="114"/>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5.75" customHeight="1">
      <c r="A953" s="114"/>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5.75" customHeight="1">
      <c r="A954" s="114"/>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5.75" customHeight="1">
      <c r="A955" s="114"/>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5.75" customHeight="1">
      <c r="A956" s="114"/>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5.75" customHeight="1">
      <c r="A957" s="114"/>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5.75" customHeight="1">
      <c r="A958" s="114"/>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5.75" customHeight="1">
      <c r="A959" s="114"/>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5.75" customHeight="1">
      <c r="A960" s="114"/>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5.75" customHeight="1">
      <c r="A961" s="114"/>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5.75" customHeight="1">
      <c r="A962" s="114"/>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5.75" customHeight="1">
      <c r="A963" s="114"/>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5.75" customHeight="1">
      <c r="A964" s="114"/>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5.75" customHeight="1">
      <c r="A965" s="114"/>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5.75" customHeight="1">
      <c r="A966" s="114"/>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5.75" customHeight="1">
      <c r="A967" s="114"/>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5.75" customHeight="1">
      <c r="A968" s="114"/>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5.75" customHeight="1">
      <c r="A969" s="114"/>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5.75" customHeight="1">
      <c r="A970" s="114"/>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5.75" customHeight="1">
      <c r="A971" s="114"/>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5.75" customHeight="1">
      <c r="A972" s="114"/>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5.75" customHeight="1">
      <c r="A973" s="114"/>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5.75" customHeight="1">
      <c r="A974" s="114"/>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5.75" customHeight="1">
      <c r="A975" s="114"/>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5.75" customHeight="1">
      <c r="A976" s="114"/>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5.75" customHeight="1">
      <c r="A977" s="114"/>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5.75" customHeight="1">
      <c r="A978" s="114"/>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5.75" customHeight="1">
      <c r="A979" s="114"/>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5.75" customHeight="1">
      <c r="A980" s="114"/>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5.75" customHeight="1">
      <c r="A981" s="114"/>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5.75" customHeight="1">
      <c r="A982" s="114"/>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5.75" customHeight="1">
      <c r="A983" s="114"/>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5.75" customHeight="1">
      <c r="A984" s="114"/>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5.75" customHeight="1">
      <c r="A985" s="114"/>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5.75" customHeight="1">
      <c r="A986" s="114"/>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5.75" customHeight="1">
      <c r="A987" s="114"/>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5.75" customHeight="1">
      <c r="A988" s="114"/>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5.75" customHeight="1">
      <c r="A989" s="114"/>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5.75" customHeight="1">
      <c r="A990" s="114"/>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5.75" customHeight="1">
      <c r="A991" s="114"/>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5.75" customHeight="1">
      <c r="A992" s="114"/>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5.75" customHeight="1">
      <c r="A993" s="114"/>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5.75" customHeight="1">
      <c r="A994" s="114"/>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5.75" customHeight="1">
      <c r="A995" s="114"/>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5.75" customHeight="1">
      <c r="A996" s="114"/>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5.75" customHeight="1">
      <c r="A997" s="114"/>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5.75" customHeight="1">
      <c r="A998" s="114"/>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5.75" customHeight="1">
      <c r="A999" s="114"/>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5.75" customHeight="1">
      <c r="A1000" s="114"/>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autoFilter ref="A1:I54" xr:uid="{00000000-0009-0000-0000-000004000000}"/>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36C-AEF4-4690-B216-D74A6519B0AD}">
  <dimension ref="A1:Q982"/>
  <sheetViews>
    <sheetView workbookViewId="0">
      <pane ySplit="1" topLeftCell="A33" activePane="bottomLeft" state="frozen"/>
      <selection pane="bottomLeft" activeCell="G75" sqref="G75"/>
    </sheetView>
  </sheetViews>
  <sheetFormatPr defaultColWidth="12.625" defaultRowHeight="15" customHeight="1"/>
  <cols>
    <col min="1" max="1" width="8.625" style="112" customWidth="1"/>
    <col min="2" max="2" width="17.625" style="112" customWidth="1"/>
    <col min="3" max="3" width="13.375" style="112" customWidth="1"/>
    <col min="4" max="4" width="15.375" style="112" customWidth="1"/>
    <col min="5" max="5" width="15.25" style="112" customWidth="1"/>
    <col min="6" max="6" width="22.5" style="112" customWidth="1"/>
    <col min="7" max="8" width="28.75" style="112" customWidth="1"/>
    <col min="9" max="9" width="9.75" style="112" bestFit="1" customWidth="1"/>
    <col min="10" max="10" width="38.25" style="112" customWidth="1"/>
    <col min="11" max="11" width="22.375" style="112" customWidth="1"/>
    <col min="12" max="12" width="32" style="112" customWidth="1"/>
    <col min="13" max="13" width="25.875" style="112" customWidth="1"/>
    <col min="14" max="14" width="36.625" style="112" customWidth="1"/>
    <col min="15" max="17" width="8.625" style="112" customWidth="1"/>
    <col min="18" max="16384" width="12.625" style="112"/>
  </cols>
  <sheetData>
    <row r="1" spans="1:17" ht="14.25" customHeight="1">
      <c r="A1" s="114" t="s">
        <v>6533</v>
      </c>
      <c r="B1" s="147" t="s">
        <v>6525</v>
      </c>
      <c r="C1" s="146" t="s">
        <v>6524</v>
      </c>
      <c r="D1" s="150" t="s">
        <v>1210</v>
      </c>
      <c r="E1" s="128" t="s">
        <v>6532</v>
      </c>
      <c r="F1" s="128" t="s">
        <v>1143</v>
      </c>
      <c r="G1" s="147" t="s">
        <v>6531</v>
      </c>
      <c r="H1" s="149" t="s">
        <v>6569</v>
      </c>
      <c r="I1" s="147" t="s">
        <v>6570</v>
      </c>
      <c r="J1" s="128" t="s">
        <v>6529</v>
      </c>
      <c r="K1" s="114" t="s">
        <v>6528</v>
      </c>
      <c r="L1" s="128" t="s">
        <v>6530</v>
      </c>
      <c r="M1" s="128" t="s">
        <v>6527</v>
      </c>
      <c r="N1" s="148" t="s">
        <v>6526</v>
      </c>
      <c r="O1" s="114"/>
      <c r="P1" s="114"/>
      <c r="Q1" s="114"/>
    </row>
    <row r="2" spans="1:17" ht="14.25" customHeight="1">
      <c r="A2" s="112">
        <v>1</v>
      </c>
      <c r="B2" s="112">
        <v>3</v>
      </c>
      <c r="C2" s="112">
        <v>2</v>
      </c>
      <c r="D2" s="132" t="s">
        <v>6384</v>
      </c>
      <c r="E2" s="112" t="s">
        <v>6209</v>
      </c>
      <c r="F2" s="112" t="s">
        <v>984</v>
      </c>
      <c r="G2" s="112" t="s">
        <v>6390</v>
      </c>
      <c r="H2" s="112" t="s">
        <v>5388</v>
      </c>
      <c r="I2" s="112" t="b">
        <v>1</v>
      </c>
      <c r="J2" s="112" t="s">
        <v>6389</v>
      </c>
      <c r="K2" s="112" t="s">
        <v>6560</v>
      </c>
      <c r="L2" s="112" t="str">
        <f t="shared" ref="L2:L33" si="0">"{{ title_i_"&amp;H2&amp;" }}"</f>
        <v>{{ title_i_user_entry }}</v>
      </c>
      <c r="M2" s="112" t="str">
        <f t="shared" ref="M2:M33" si="1">IF(I2=TRUE,("    title_i_"&amp;H2&amp;": "&amp;""""&amp;J2&amp;""""),"-")</f>
        <v xml:space="preserve">    title_i_user_entry: "User entry (Study design or data already collected)"</v>
      </c>
      <c r="N2" s="112" t="str">
        <f t="shared" ref="N2:N33" si="2">IF(I2=TRUE,("https://ab-rcsc.github.io/rc-decision-support-tool_concept-library/02_dialog-boxes/"&amp;G2&amp;".html"),"-")</f>
        <v>https://ab-rcsc.github.io/rc-decision-support-tool_concept-library/02_dialog-boxes/01_01_user_entry.html</v>
      </c>
    </row>
    <row r="3" spans="1:17" ht="14.25" customHeight="1">
      <c r="A3" s="112">
        <v>2</v>
      </c>
      <c r="B3" s="112">
        <v>3</v>
      </c>
      <c r="C3" s="112">
        <v>3</v>
      </c>
      <c r="D3" s="132" t="s">
        <v>6384</v>
      </c>
      <c r="E3" s="112" t="s">
        <v>6209</v>
      </c>
      <c r="F3" s="112" t="s">
        <v>984</v>
      </c>
      <c r="G3" s="112" t="s">
        <v>6425</v>
      </c>
      <c r="H3" s="112" t="s">
        <v>40</v>
      </c>
      <c r="I3" s="112" t="b">
        <v>1</v>
      </c>
      <c r="J3" s="136" t="s">
        <v>6424</v>
      </c>
      <c r="K3" s="112" t="s">
        <v>984</v>
      </c>
      <c r="L3" s="112" t="str">
        <f t="shared" si="0"/>
        <v>{{ title_i_objective }}</v>
      </c>
      <c r="M3" s="112" t="str">
        <f t="shared" si="1"/>
        <v xml:space="preserve">    title_i_objective: "Variable of interest"</v>
      </c>
      <c r="N3" s="112" t="str">
        <f t="shared" si="2"/>
        <v>https://ab-rcsc.github.io/rc-decision-support-tool_concept-library/02_dialog-boxes/01_02_objective.html</v>
      </c>
    </row>
    <row r="4" spans="1:17" ht="14.25" customHeight="1">
      <c r="A4" s="112">
        <v>3</v>
      </c>
      <c r="B4" s="112">
        <v>3</v>
      </c>
      <c r="C4" s="112">
        <v>4</v>
      </c>
      <c r="D4" s="132" t="s">
        <v>6384</v>
      </c>
      <c r="E4" s="112" t="s">
        <v>6209</v>
      </c>
      <c r="F4" s="112" t="s">
        <v>984</v>
      </c>
      <c r="G4" s="112" t="s">
        <v>6433</v>
      </c>
      <c r="H4" s="112" t="s">
        <v>6269</v>
      </c>
      <c r="I4" s="112" t="b">
        <v>1</v>
      </c>
      <c r="J4" s="112" t="s">
        <v>6432</v>
      </c>
      <c r="K4" s="112" t="s">
        <v>6432</v>
      </c>
      <c r="L4" s="112" t="str">
        <f t="shared" si="0"/>
        <v>{{ title_i_num_cams }}</v>
      </c>
      <c r="M4" s="112" t="str">
        <f t="shared" si="1"/>
        <v xml:space="preserve">    title_i_num_cams: "Number of cameras available"</v>
      </c>
      <c r="N4" s="112" t="str">
        <f t="shared" si="2"/>
        <v>https://ab-rcsc.github.io/rc-decision-support-tool_concept-library/02_dialog-boxes/01_03_num_cams.html</v>
      </c>
    </row>
    <row r="5" spans="1:17" ht="14.25" customHeight="1">
      <c r="A5" s="112">
        <v>4</v>
      </c>
      <c r="B5" s="112">
        <v>3</v>
      </c>
      <c r="C5" s="112">
        <v>6</v>
      </c>
      <c r="D5" s="132" t="s">
        <v>6384</v>
      </c>
      <c r="E5" s="119" t="s">
        <v>6204</v>
      </c>
      <c r="F5" s="112" t="s">
        <v>984</v>
      </c>
      <c r="G5" s="119" t="s">
        <v>6399</v>
      </c>
      <c r="H5" s="119" t="s">
        <v>5400</v>
      </c>
      <c r="I5" s="112" t="b">
        <v>1</v>
      </c>
      <c r="J5" s="134" t="s">
        <v>6398</v>
      </c>
      <c r="K5" s="112" t="s">
        <v>984</v>
      </c>
      <c r="L5" s="112" t="str">
        <f t="shared" si="0"/>
        <v>{{ title_i_study_area_mult }}</v>
      </c>
      <c r="M5" s="112" t="str">
        <f t="shared" si="1"/>
        <v xml:space="preserve">    title_i_study_area_mult: "Single *vs* multiple"</v>
      </c>
      <c r="N5" s="112" t="str">
        <f t="shared" si="2"/>
        <v>https://ab-rcsc.github.io/rc-decision-support-tool_concept-library/02_dialog-boxes/01_04_study_area_mult.html</v>
      </c>
    </row>
    <row r="6" spans="1:17" ht="14.25" customHeight="1">
      <c r="A6" s="112">
        <v>5</v>
      </c>
      <c r="B6" s="112">
        <v>3</v>
      </c>
      <c r="C6" s="112">
        <v>7</v>
      </c>
      <c r="D6" s="132" t="s">
        <v>6384</v>
      </c>
      <c r="E6" s="119" t="s">
        <v>6204</v>
      </c>
      <c r="F6" s="112" t="s">
        <v>984</v>
      </c>
      <c r="G6" s="119" t="s">
        <v>6501</v>
      </c>
      <c r="H6" s="119" t="s">
        <v>5614</v>
      </c>
      <c r="I6" s="112" t="b">
        <v>1</v>
      </c>
      <c r="J6" s="112" t="s">
        <v>6500</v>
      </c>
      <c r="K6" s="112" t="s">
        <v>984</v>
      </c>
      <c r="L6" s="112" t="str">
        <f t="shared" si="0"/>
        <v>{{ title_i_cam_dens_gradient }}</v>
      </c>
      <c r="M6" s="112" t="str">
        <f t="shared" si="1"/>
        <v xml:space="preserve">    title_i_cam_dens_gradient: "Known density gradient"</v>
      </c>
      <c r="N6" s="112" t="str">
        <f t="shared" si="2"/>
        <v>https://ab-rcsc.github.io/rc-decision-support-tool_concept-library/02_dialog-boxes/01_05_cam_dens_gradient.html</v>
      </c>
    </row>
    <row r="7" spans="1:17" ht="14.25" customHeight="1">
      <c r="A7" s="112">
        <v>6</v>
      </c>
      <c r="B7" s="112">
        <v>3</v>
      </c>
      <c r="C7" s="112">
        <v>8</v>
      </c>
      <c r="D7" s="132" t="s">
        <v>6384</v>
      </c>
      <c r="E7" s="119" t="s">
        <v>6204</v>
      </c>
      <c r="F7" s="112" t="s">
        <v>984</v>
      </c>
      <c r="G7" s="119" t="s">
        <v>6484</v>
      </c>
      <c r="H7" s="119" t="s">
        <v>5592</v>
      </c>
      <c r="I7" s="112" t="b">
        <v>1</v>
      </c>
      <c r="J7" s="112" t="s">
        <v>6483</v>
      </c>
      <c r="K7" s="112" t="s">
        <v>984</v>
      </c>
      <c r="L7" s="112" t="str">
        <f t="shared" si="0"/>
        <v>{{ title_i_cam_strat_covar }}</v>
      </c>
      <c r="M7" s="112" t="str">
        <f t="shared" si="1"/>
        <v xml:space="preserve">    title_i_cam_strat_covar: "Stratified by covariates"</v>
      </c>
      <c r="N7" s="112" t="str">
        <f t="shared" si="2"/>
        <v>https://ab-rcsc.github.io/rc-decision-support-tool_concept-library/02_dialog-boxes/01_06_cam_strat_covar.html</v>
      </c>
    </row>
    <row r="8" spans="1:17" ht="14.25" customHeight="1">
      <c r="A8" s="112">
        <v>7</v>
      </c>
      <c r="B8" s="112">
        <v>3</v>
      </c>
      <c r="C8" s="112">
        <v>9</v>
      </c>
      <c r="D8" s="132" t="s">
        <v>6384</v>
      </c>
      <c r="E8" s="119" t="s">
        <v>6204</v>
      </c>
      <c r="F8" s="112" t="s">
        <v>984</v>
      </c>
      <c r="G8" s="119" t="s">
        <v>6497</v>
      </c>
      <c r="H8" s="119" t="s">
        <v>5608</v>
      </c>
      <c r="I8" s="112" t="b">
        <v>1</v>
      </c>
      <c r="J8" s="112" t="s">
        <v>6496</v>
      </c>
      <c r="K8" s="112" t="s">
        <v>984</v>
      </c>
      <c r="L8" s="112" t="str">
        <f t="shared" si="0"/>
        <v>{{ title_i_cam_high_dens }}</v>
      </c>
      <c r="M8" s="112" t="str">
        <f t="shared" si="1"/>
        <v xml:space="preserve">    title_i_cam_high_dens: "Camera density"</v>
      </c>
      <c r="N8" s="112" t="str">
        <f t="shared" si="2"/>
        <v>https://ab-rcsc.github.io/rc-decision-support-tool_concept-library/02_dialog-boxes/01_07_cam_high_dens.html</v>
      </c>
    </row>
    <row r="9" spans="1:17" ht="14.25" customHeight="1">
      <c r="A9" s="112">
        <v>8</v>
      </c>
      <c r="B9" s="112">
        <v>3</v>
      </c>
      <c r="C9" s="112">
        <v>11</v>
      </c>
      <c r="D9" s="132" t="s">
        <v>6384</v>
      </c>
      <c r="E9" s="133" t="s">
        <v>6215</v>
      </c>
      <c r="F9" s="112" t="s">
        <v>984</v>
      </c>
      <c r="G9" s="133" t="s">
        <v>6393</v>
      </c>
      <c r="H9" s="133" t="s">
        <v>6392</v>
      </c>
      <c r="I9" s="112" t="b">
        <v>1</v>
      </c>
      <c r="J9" s="112" t="s">
        <v>6391</v>
      </c>
      <c r="K9" s="112" t="s">
        <v>6394</v>
      </c>
      <c r="L9" s="112" t="str">
        <f t="shared" si="0"/>
        <v>{{ title_i_surv_dur }}</v>
      </c>
      <c r="M9" s="112" t="str">
        <f t="shared" si="1"/>
        <v xml:space="preserve">    title_i_surv_dur: "Survey duration (months surveyed)"</v>
      </c>
      <c r="N9" s="112" t="str">
        <f t="shared" si="2"/>
        <v>https://ab-rcsc.github.io/rc-decision-support-tool_concept-library/02_dialog-boxes/01_08_surv_dur.html</v>
      </c>
    </row>
    <row r="10" spans="1:17" ht="14.25" customHeight="1">
      <c r="A10" s="112">
        <v>9</v>
      </c>
      <c r="B10" s="112">
        <v>3</v>
      </c>
      <c r="C10" s="112">
        <v>11</v>
      </c>
      <c r="D10" s="135" t="s">
        <v>6384</v>
      </c>
      <c r="E10" s="133" t="s">
        <v>6215</v>
      </c>
      <c r="F10" s="112" t="s">
        <v>984</v>
      </c>
      <c r="G10" s="133" t="s">
        <v>6393</v>
      </c>
      <c r="H10" s="133" t="s">
        <v>6392</v>
      </c>
      <c r="I10" s="112" t="b">
        <v>1</v>
      </c>
      <c r="J10" s="112" t="s">
        <v>6391</v>
      </c>
      <c r="K10" s="112" t="s">
        <v>6394</v>
      </c>
      <c r="L10" s="112" t="str">
        <f t="shared" si="0"/>
        <v>{{ title_i_surv_dur }}</v>
      </c>
      <c r="M10" s="112" t="str">
        <f t="shared" si="1"/>
        <v xml:space="preserve">    title_i_surv_dur: "Survey duration (months surveyed)"</v>
      </c>
      <c r="N10" s="112" t="str">
        <f t="shared" si="2"/>
        <v>https://ab-rcsc.github.io/rc-decision-support-tool_concept-library/02_dialog-boxes/01_08_surv_dur.html</v>
      </c>
    </row>
    <row r="11" spans="1:17" ht="14.25" customHeight="1">
      <c r="A11" s="112">
        <v>10</v>
      </c>
      <c r="B11" s="112">
        <v>3</v>
      </c>
      <c r="C11" s="112">
        <v>12</v>
      </c>
      <c r="D11" s="135" t="s">
        <v>6384</v>
      </c>
      <c r="E11" s="133" t="s">
        <v>6215</v>
      </c>
      <c r="F11" s="112" t="s">
        <v>984</v>
      </c>
      <c r="G11" s="133" t="s">
        <v>6420</v>
      </c>
      <c r="H11" s="133" t="s">
        <v>5543</v>
      </c>
      <c r="I11" s="112" t="b">
        <v>1</v>
      </c>
      <c r="J11" s="112" t="s">
        <v>1356</v>
      </c>
      <c r="K11" s="112" t="s">
        <v>984</v>
      </c>
      <c r="L11" s="112" t="str">
        <f t="shared" si="0"/>
        <v>{{ title_i_sp_asymptote }}</v>
      </c>
      <c r="M11" s="112" t="str">
        <f t="shared" si="1"/>
        <v xml:space="preserve">    title_i_sp_asymptote: "Species-accumulation asymptote"</v>
      </c>
      <c r="N11" s="112" t="str">
        <f t="shared" si="2"/>
        <v>https://ab-rcsc.github.io/rc-decision-support-tool_concept-library/02_dialog-boxes/01_10_sp_asymptote.html</v>
      </c>
    </row>
    <row r="12" spans="1:17" ht="14.25" customHeight="1">
      <c r="A12" s="112">
        <v>11</v>
      </c>
      <c r="B12" s="112">
        <v>3</v>
      </c>
      <c r="C12" s="112">
        <v>13</v>
      </c>
      <c r="D12" s="135" t="s">
        <v>6384</v>
      </c>
      <c r="E12" s="133" t="s">
        <v>6215</v>
      </c>
      <c r="F12" s="112" t="s">
        <v>984</v>
      </c>
      <c r="G12" s="133" t="s">
        <v>6397</v>
      </c>
      <c r="H12" s="133" t="s">
        <v>6396</v>
      </c>
      <c r="I12" s="112" t="b">
        <v>1</v>
      </c>
      <c r="J12" s="112" t="s">
        <v>6395</v>
      </c>
      <c r="K12" s="112" t="s">
        <v>984</v>
      </c>
      <c r="L12" s="112" t="str">
        <f t="shared" si="0"/>
        <v>{{ title_i_study_season_num }}</v>
      </c>
      <c r="M12" s="112" t="str">
        <f t="shared" si="1"/>
        <v xml:space="preserve">    title_i_study_season_num: "Season(s)"</v>
      </c>
      <c r="N12" s="112" t="str">
        <f t="shared" si="2"/>
        <v>https://ab-rcsc.github.io/rc-decision-support-tool_concept-library/02_dialog-boxes/01_11_study_season_num.html</v>
      </c>
    </row>
    <row r="13" spans="1:17" ht="14.25" customHeight="1">
      <c r="A13" s="112">
        <v>12</v>
      </c>
      <c r="B13" s="112">
        <v>3</v>
      </c>
      <c r="C13" s="112">
        <v>16</v>
      </c>
      <c r="D13" s="135" t="s">
        <v>6384</v>
      </c>
      <c r="E13" s="112" t="s">
        <v>6202</v>
      </c>
      <c r="F13" s="112" t="s">
        <v>984</v>
      </c>
      <c r="G13" s="112" t="s">
        <v>6428</v>
      </c>
      <c r="H13" s="112" t="s">
        <v>5555</v>
      </c>
      <c r="I13" s="112" t="b">
        <v>1</v>
      </c>
      <c r="J13" s="112" t="s">
        <v>6427</v>
      </c>
      <c r="K13" s="112" t="s">
        <v>6426</v>
      </c>
      <c r="L13" s="112" t="str">
        <f t="shared" si="0"/>
        <v>{{ title_i_obj_targ_sp }}</v>
      </c>
      <c r="M13" s="112" t="str">
        <f t="shared" si="1"/>
        <v xml:space="preserve">    title_i_obj_targ_sp: "Single *vs.* multiple"</v>
      </c>
      <c r="N13" s="112" t="str">
        <f t="shared" si="2"/>
        <v>https://ab-rcsc.github.io/rc-decision-support-tool_concept-library/02_dialog-boxes/01_12_obj_targ_sp.html</v>
      </c>
    </row>
    <row r="14" spans="1:17" ht="14.25" customHeight="1">
      <c r="A14" s="112">
        <v>13</v>
      </c>
      <c r="B14" s="112">
        <v>3</v>
      </c>
      <c r="C14" s="112">
        <v>17</v>
      </c>
      <c r="D14" s="135" t="s">
        <v>6384</v>
      </c>
      <c r="E14" s="112" t="s">
        <v>6202</v>
      </c>
      <c r="F14" s="112" t="s">
        <v>984</v>
      </c>
      <c r="G14" s="112" t="s">
        <v>6411</v>
      </c>
      <c r="H14" s="112" t="s">
        <v>5480</v>
      </c>
      <c r="I14" s="112" t="b">
        <v>1</v>
      </c>
      <c r="J14" s="112" t="s">
        <v>6410</v>
      </c>
      <c r="K14" s="112" t="s">
        <v>6409</v>
      </c>
      <c r="L14" s="112" t="str">
        <f t="shared" si="0"/>
        <v>{{ title_i_sp_info }}</v>
      </c>
      <c r="M14" s="112" t="str">
        <f t="shared" si="1"/>
        <v xml:space="preserve">    title_i_sp_info: "Ecology of species (well known *vs.* poorly known)"</v>
      </c>
      <c r="N14" s="112" t="str">
        <f t="shared" si="2"/>
        <v>https://ab-rcsc.github.io/rc-decision-support-tool_concept-library/02_dialog-boxes/01_13_sp_info.html</v>
      </c>
    </row>
    <row r="15" spans="1:17" ht="14.25" customHeight="1">
      <c r="A15" s="112">
        <v>14</v>
      </c>
      <c r="B15" s="112">
        <v>3</v>
      </c>
      <c r="C15" s="112">
        <v>18</v>
      </c>
      <c r="D15" s="135" t="s">
        <v>6384</v>
      </c>
      <c r="E15" s="112" t="s">
        <v>6202</v>
      </c>
      <c r="F15" s="112" t="s">
        <v>984</v>
      </c>
      <c r="G15" s="112" t="s">
        <v>6401</v>
      </c>
      <c r="H15" s="112" t="s">
        <v>5406</v>
      </c>
      <c r="I15" s="112" t="b">
        <v>1</v>
      </c>
      <c r="J15" s="112" t="s">
        <v>6400</v>
      </c>
      <c r="K15" s="112" t="s">
        <v>984</v>
      </c>
      <c r="L15" s="112" t="str">
        <f t="shared" si="0"/>
        <v>{{ title_i_sp_type }}</v>
      </c>
      <c r="M15" s="112" t="str">
        <f t="shared" si="1"/>
        <v xml:space="preserve">    title_i_sp_type: "Carnivore / ungulate"</v>
      </c>
      <c r="N15" s="112" t="str">
        <f t="shared" si="2"/>
        <v>https://ab-rcsc.github.io/rc-decision-support-tool_concept-library/02_dialog-boxes/01_14_sp_type.html</v>
      </c>
    </row>
    <row r="16" spans="1:17" ht="14.25" customHeight="1">
      <c r="A16" s="125">
        <v>15</v>
      </c>
      <c r="B16" s="112">
        <v>3</v>
      </c>
      <c r="C16" s="112">
        <v>19</v>
      </c>
      <c r="D16" s="163" t="s">
        <v>6384</v>
      </c>
      <c r="E16" s="125" t="s">
        <v>6202</v>
      </c>
      <c r="F16" s="125" t="s">
        <v>984</v>
      </c>
      <c r="G16" s="125" t="s">
        <v>6416</v>
      </c>
      <c r="H16" s="125" t="s">
        <v>5510</v>
      </c>
      <c r="I16" s="112" t="b">
        <v>1</v>
      </c>
      <c r="J16" s="125" t="s">
        <v>6415</v>
      </c>
      <c r="K16" s="112" t="s">
        <v>984</v>
      </c>
      <c r="L16" s="112" t="str">
        <f t="shared" si="0"/>
        <v>{{ title_i_sp_dens_low }}</v>
      </c>
      <c r="M16" s="112" t="str">
        <f t="shared" si="1"/>
        <v xml:space="preserve">    title_i_sp_dens_low: "Low density species"</v>
      </c>
      <c r="N16" s="112" t="str">
        <f t="shared" si="2"/>
        <v>https://ab-rcsc.github.io/rc-decision-support-tool_concept-library/02_dialog-boxes/01_15_sp_dens_low.html</v>
      </c>
    </row>
    <row r="17" spans="1:17" ht="14.25" customHeight="1">
      <c r="A17" s="112">
        <v>16</v>
      </c>
      <c r="B17" s="112">
        <v>3</v>
      </c>
      <c r="C17" s="112">
        <v>20</v>
      </c>
      <c r="D17" s="135" t="s">
        <v>6384</v>
      </c>
      <c r="E17" s="112" t="s">
        <v>6202</v>
      </c>
      <c r="F17" s="112" t="s">
        <v>984</v>
      </c>
      <c r="G17" s="112" t="s">
        <v>6408</v>
      </c>
      <c r="H17" s="112" t="s">
        <v>5472</v>
      </c>
      <c r="I17" s="112" t="b">
        <v>1</v>
      </c>
      <c r="J17" s="112" t="s">
        <v>6407</v>
      </c>
      <c r="K17" s="112" t="s">
        <v>984</v>
      </c>
      <c r="L17" s="112" t="str">
        <f t="shared" si="0"/>
        <v>{{ title_i_sp_occ_restr }}</v>
      </c>
      <c r="M17" s="112" t="str">
        <f t="shared" si="1"/>
        <v xml:space="preserve">    title_i_sp_occ_restr: "Occurrence restricted"</v>
      </c>
      <c r="N17" s="112" t="str">
        <f t="shared" si="2"/>
        <v>https://ab-rcsc.github.io/rc-decision-support-tool_concept-library/02_dialog-boxes/01_16_sp_occ_restr.html</v>
      </c>
      <c r="O17" s="144"/>
      <c r="P17" s="144"/>
      <c r="Q17" s="144"/>
    </row>
    <row r="18" spans="1:17" ht="14.25" customHeight="1">
      <c r="A18" s="112">
        <v>17</v>
      </c>
      <c r="B18" s="112">
        <v>3</v>
      </c>
      <c r="C18" s="112">
        <v>21</v>
      </c>
      <c r="D18" s="135" t="s">
        <v>6384</v>
      </c>
      <c r="E18" s="112" t="s">
        <v>6202</v>
      </c>
      <c r="F18" s="112" t="s">
        <v>984</v>
      </c>
      <c r="G18" s="119" t="s">
        <v>6412</v>
      </c>
      <c r="H18" s="119" t="s">
        <v>6263</v>
      </c>
      <c r="I18" s="112" t="b">
        <v>1</v>
      </c>
      <c r="J18" s="112" t="s">
        <v>4475</v>
      </c>
      <c r="K18" s="112" t="s">
        <v>4475</v>
      </c>
      <c r="L18" s="112" t="str">
        <f t="shared" si="0"/>
        <v>{{ title_i_sp_hr_size }}</v>
      </c>
      <c r="M18" s="112" t="str">
        <f t="shared" si="1"/>
        <v xml:space="preserve">    title_i_sp_hr_size: "Home range size"</v>
      </c>
      <c r="N18" s="112" t="str">
        <f t="shared" si="2"/>
        <v>https://ab-rcsc.github.io/rc-decision-support-tool_concept-library/02_dialog-boxes/01_17_sp_hr_size.html</v>
      </c>
    </row>
    <row r="19" spans="1:17" ht="14.25" customHeight="1">
      <c r="A19" s="112">
        <v>18</v>
      </c>
      <c r="B19" s="112">
        <v>3</v>
      </c>
      <c r="C19" s="112">
        <v>22</v>
      </c>
      <c r="D19" s="135" t="s">
        <v>6384</v>
      </c>
      <c r="E19" s="112" t="s">
        <v>6202</v>
      </c>
      <c r="F19" s="112" t="s">
        <v>984</v>
      </c>
      <c r="G19" s="119" t="s">
        <v>6404</v>
      </c>
      <c r="H19" s="119" t="s">
        <v>5419</v>
      </c>
      <c r="I19" s="112" t="b">
        <v>1</v>
      </c>
      <c r="J19" s="112" t="s">
        <v>6403</v>
      </c>
      <c r="K19" s="112" t="s">
        <v>6402</v>
      </c>
      <c r="L19" s="112" t="str">
        <f t="shared" si="0"/>
        <v>{{ title_i_sp_size }}</v>
      </c>
      <c r="M19" s="112" t="str">
        <f t="shared" si="1"/>
        <v xml:space="preserve">    title_i_sp_size: "Body size"</v>
      </c>
      <c r="N19" s="112" t="str">
        <f t="shared" si="2"/>
        <v>https://ab-rcsc.github.io/rc-decision-support-tool_concept-library/02_dialog-boxes/01_18_sp_size.html</v>
      </c>
    </row>
    <row r="20" spans="1:17" ht="14.25" customHeight="1">
      <c r="A20" s="112">
        <v>19</v>
      </c>
      <c r="B20" s="112">
        <v>3</v>
      </c>
      <c r="C20" s="112">
        <v>23</v>
      </c>
      <c r="D20" s="135" t="s">
        <v>6384</v>
      </c>
      <c r="E20" s="112" t="s">
        <v>6202</v>
      </c>
      <c r="F20" s="112" t="s">
        <v>984</v>
      </c>
      <c r="G20" s="119" t="s">
        <v>6406</v>
      </c>
      <c r="H20" s="119" t="s">
        <v>458</v>
      </c>
      <c r="I20" s="112" t="b">
        <v>1</v>
      </c>
      <c r="J20" s="112" t="s">
        <v>6405</v>
      </c>
      <c r="K20" s="112" t="s">
        <v>666</v>
      </c>
      <c r="L20" s="112" t="str">
        <f t="shared" si="0"/>
        <v>{{ title_i_sp_rarity }}</v>
      </c>
      <c r="M20" s="112" t="str">
        <f t="shared" si="1"/>
        <v xml:space="preserve">    title_i_sp_rarity: "Rarity"</v>
      </c>
      <c r="N20" s="112" t="str">
        <f t="shared" si="2"/>
        <v>https://ab-rcsc.github.io/rc-decision-support-tool_concept-library/02_dialog-boxes/01_19_sp_rarity.html</v>
      </c>
    </row>
    <row r="21" spans="1:17" ht="14.25" customHeight="1">
      <c r="A21" s="125">
        <v>20</v>
      </c>
      <c r="B21" s="112">
        <v>3</v>
      </c>
      <c r="C21" s="112">
        <v>24</v>
      </c>
      <c r="D21" s="163" t="s">
        <v>6384</v>
      </c>
      <c r="E21" s="125" t="s">
        <v>6202</v>
      </c>
      <c r="F21" s="125" t="s">
        <v>984</v>
      </c>
      <c r="G21" s="125" t="s">
        <v>6414</v>
      </c>
      <c r="H21" s="125" t="s">
        <v>5508</v>
      </c>
      <c r="I21" s="112" t="b">
        <v>1</v>
      </c>
      <c r="J21" s="125" t="s">
        <v>531</v>
      </c>
      <c r="K21" s="112" t="s">
        <v>6413</v>
      </c>
      <c r="L21" s="112" t="str">
        <f t="shared" si="0"/>
        <v>{{ title_i_sp_detprob_cat }}</v>
      </c>
      <c r="M21" s="112" t="str">
        <f t="shared" si="1"/>
        <v xml:space="preserve">    title_i_sp_detprob_cat: "Detection probability"</v>
      </c>
      <c r="N21" s="112" t="str">
        <f t="shared" si="2"/>
        <v>https://ab-rcsc.github.io/rc-decision-support-tool_concept-library/02_dialog-boxes/01_20_sp_detprob_cat.html</v>
      </c>
    </row>
    <row r="22" spans="1:17" ht="14.25" customHeight="1">
      <c r="A22" s="125">
        <v>21</v>
      </c>
      <c r="B22" s="112">
        <v>3</v>
      </c>
      <c r="C22" s="112">
        <v>25</v>
      </c>
      <c r="D22" s="163" t="s">
        <v>6384</v>
      </c>
      <c r="E22" s="125" t="s">
        <v>6202</v>
      </c>
      <c r="F22" s="125" t="s">
        <v>984</v>
      </c>
      <c r="G22" s="125" t="s">
        <v>6419</v>
      </c>
      <c r="H22" s="125" t="s">
        <v>5538</v>
      </c>
      <c r="I22" s="112" t="b">
        <v>1</v>
      </c>
      <c r="J22" s="125" t="s">
        <v>6567</v>
      </c>
      <c r="K22" s="112" t="s">
        <v>984</v>
      </c>
      <c r="L22" s="112" t="str">
        <f t="shared" si="0"/>
        <v>{{ title_i_sp_behav }}</v>
      </c>
      <c r="M22" s="112" t="str">
        <f t="shared" si="1"/>
        <v xml:space="preserve">    title_i_sp_behav: "Behaviour (Investigative / Multiple species / Seasonal)"</v>
      </c>
      <c r="N22" s="112" t="str">
        <f t="shared" si="2"/>
        <v>https://ab-rcsc.github.io/rc-decision-support-tool_concept-library/02_dialog-boxes/01_21_sp_behav.html</v>
      </c>
    </row>
    <row r="23" spans="1:17" ht="14.25" customHeight="1">
      <c r="A23" s="125">
        <v>31</v>
      </c>
      <c r="B23" s="112">
        <v>3</v>
      </c>
      <c r="C23" s="112">
        <v>37</v>
      </c>
      <c r="D23" s="163" t="s">
        <v>6384</v>
      </c>
      <c r="E23" s="125" t="s">
        <v>6202</v>
      </c>
      <c r="F23" s="125" t="s">
        <v>984</v>
      </c>
      <c r="G23" s="125" t="s">
        <v>6419</v>
      </c>
      <c r="H23" s="125" t="s">
        <v>5538</v>
      </c>
      <c r="I23" s="112" t="b">
        <v>1</v>
      </c>
      <c r="J23" s="125" t="s">
        <v>6567</v>
      </c>
      <c r="K23" s="112" t="s">
        <v>984</v>
      </c>
      <c r="L23" s="112" t="str">
        <f t="shared" si="0"/>
        <v>{{ title_i_sp_behav }}</v>
      </c>
      <c r="M23" s="112" t="str">
        <f t="shared" si="1"/>
        <v xml:space="preserve">    title_i_sp_behav: "Behaviour (Investigative / Multiple species / Seasonal)"</v>
      </c>
      <c r="N23" s="112" t="str">
        <f t="shared" si="2"/>
        <v>https://ab-rcsc.github.io/rc-decision-support-tool_concept-library/02_dialog-boxes/01_21_sp_behav.html</v>
      </c>
    </row>
    <row r="24" spans="1:17" ht="14.25" customHeight="1">
      <c r="A24" s="112">
        <v>24</v>
      </c>
      <c r="B24" s="112">
        <v>3</v>
      </c>
      <c r="C24" s="112">
        <v>28</v>
      </c>
      <c r="D24" s="135" t="s">
        <v>6384</v>
      </c>
      <c r="E24" s="112" t="s">
        <v>6202</v>
      </c>
      <c r="F24" s="112" t="s">
        <v>984</v>
      </c>
      <c r="G24" s="112" t="s">
        <v>6564</v>
      </c>
      <c r="H24" s="112" t="s">
        <v>6562</v>
      </c>
      <c r="I24" s="112" t="b">
        <v>1</v>
      </c>
      <c r="J24" s="112" t="s">
        <v>6565</v>
      </c>
      <c r="K24" s="112" t="s">
        <v>984</v>
      </c>
      <c r="L24" s="112" t="str">
        <f t="shared" si="0"/>
        <v>{{ title_i_markings }}</v>
      </c>
      <c r="M24" s="112" t="str">
        <f t="shared" si="1"/>
        <v xml:space="preserve">    title_i_markings: "Markings (Marked, unmarked, partially marked) / (Categorical identifiers)"</v>
      </c>
      <c r="N24" s="112" t="str">
        <f t="shared" si="2"/>
        <v>https://ab-rcsc.github.io/rc-decision-support-tool_concept-library/02_dialog-boxes/01_24_markings.html</v>
      </c>
    </row>
    <row r="25" spans="1:17" ht="14.25" customHeight="1">
      <c r="A25" s="112">
        <v>26</v>
      </c>
      <c r="B25" s="112">
        <v>3</v>
      </c>
      <c r="C25" s="112">
        <v>30</v>
      </c>
      <c r="D25" s="135" t="s">
        <v>6384</v>
      </c>
      <c r="E25" s="112" t="s">
        <v>6202</v>
      </c>
      <c r="F25" s="112" t="s">
        <v>984</v>
      </c>
      <c r="G25" s="112" t="s">
        <v>6563</v>
      </c>
      <c r="H25" s="112" t="s">
        <v>6561</v>
      </c>
      <c r="I25" s="112" t="b">
        <v>1</v>
      </c>
      <c r="J25" s="112" t="s">
        <v>6504</v>
      </c>
      <c r="K25" s="112" t="s">
        <v>984</v>
      </c>
      <c r="L25" s="112" t="str">
        <f t="shared" si="0"/>
        <v>{{ title_i_auxillary_info_count }}</v>
      </c>
      <c r="M25" s="112" t="str">
        <f t="shared" si="1"/>
        <v xml:space="preserve">    title_i_auxillary_info_count: "Additional information that may be collected to support modelling density"</v>
      </c>
      <c r="N25" s="112" t="str">
        <f t="shared" si="2"/>
        <v>https://ab-rcsc.github.io/rc-decision-support-tool_concept-library/02_dialog-boxes/01_26_auxillary_info_count.html</v>
      </c>
    </row>
    <row r="26" spans="1:17" ht="14.25" customHeight="1">
      <c r="A26" s="112">
        <v>28</v>
      </c>
      <c r="B26" s="112">
        <v>3</v>
      </c>
      <c r="C26" s="112">
        <v>32</v>
      </c>
      <c r="D26" s="135" t="s">
        <v>6384</v>
      </c>
      <c r="E26" s="112" t="s">
        <v>6202</v>
      </c>
      <c r="F26" s="112" t="s">
        <v>984</v>
      </c>
      <c r="G26" s="112" t="s">
        <v>6439</v>
      </c>
      <c r="H26" s="112" t="s">
        <v>5577</v>
      </c>
      <c r="I26" s="112" t="b">
        <v>1</v>
      </c>
      <c r="J26" s="112" t="s">
        <v>6438</v>
      </c>
      <c r="K26" s="112" t="s">
        <v>984</v>
      </c>
      <c r="L26" s="112" t="str">
        <f t="shared" si="0"/>
        <v>{{ title_i_focalarea_calc }}</v>
      </c>
      <c r="M26" s="112" t="str">
        <f t="shared" si="1"/>
        <v xml:space="preserve">    title_i_focalarea_calc: "Focal area measured or detections binned by distance"</v>
      </c>
      <c r="N26" s="112" t="str">
        <f t="shared" si="2"/>
        <v>https://ab-rcsc.github.io/rc-decision-support-tool_concept-library/02_dialog-boxes/01_28_focalarea_calc.html</v>
      </c>
    </row>
    <row r="27" spans="1:17" ht="14.25" customHeight="1">
      <c r="A27" s="125">
        <v>29</v>
      </c>
      <c r="B27" s="112">
        <v>3</v>
      </c>
      <c r="C27" s="112">
        <v>34</v>
      </c>
      <c r="D27" s="163" t="s">
        <v>6384</v>
      </c>
      <c r="E27" s="125" t="s">
        <v>6202</v>
      </c>
      <c r="F27" s="125" t="s">
        <v>984</v>
      </c>
      <c r="G27" s="125" t="s">
        <v>6418</v>
      </c>
      <c r="H27" s="125" t="s">
        <v>5514</v>
      </c>
      <c r="I27" s="112" t="b">
        <v>1</v>
      </c>
      <c r="J27" s="125" t="s">
        <v>6417</v>
      </c>
      <c r="K27" s="112" t="s">
        <v>984</v>
      </c>
      <c r="L27" s="112" t="str">
        <f t="shared" si="0"/>
        <v>{{ title_i_sp_common_pop_lg }}</v>
      </c>
      <c r="M27" s="112" t="str">
        <f t="shared" si="1"/>
        <v xml:space="preserve">    title_i_sp_common_pop_lg: "Study population size"</v>
      </c>
      <c r="N27" s="112" t="str">
        <f t="shared" si="2"/>
        <v>https://ab-rcsc.github.io/rc-decision-support-tool_concept-library/02_dialog-boxes/01_30_sp_common_pop_lg.html</v>
      </c>
    </row>
    <row r="28" spans="1:17" ht="14.25" customHeight="1">
      <c r="A28" s="112">
        <v>38</v>
      </c>
      <c r="B28" s="112">
        <v>3</v>
      </c>
      <c r="C28" s="112">
        <v>41</v>
      </c>
      <c r="D28" s="135" t="s">
        <v>6384</v>
      </c>
      <c r="E28" s="112" t="s">
        <v>6212</v>
      </c>
      <c r="F28" s="112" t="s">
        <v>984</v>
      </c>
      <c r="G28" s="112" t="s">
        <v>6493</v>
      </c>
      <c r="H28" s="112" t="s">
        <v>6492</v>
      </c>
      <c r="I28" s="112" t="b">
        <v>1</v>
      </c>
      <c r="J28" s="112" t="s">
        <v>6491</v>
      </c>
      <c r="K28" s="112" t="s">
        <v>984</v>
      </c>
      <c r="L28" s="112" t="str">
        <f t="shared" si="0"/>
        <v>{{ title_i_cam_equipment }}</v>
      </c>
      <c r="M28" s="112" t="str">
        <f t="shared" si="1"/>
        <v xml:space="preserve">    title_i_cam_equipment: "Camera equipment"</v>
      </c>
      <c r="N28" s="112" t="str">
        <f t="shared" si="2"/>
        <v>https://ab-rcsc.github.io/rc-decision-support-tool_concept-library/02_dialog-boxes/01_39_cam_equipment.html</v>
      </c>
    </row>
    <row r="29" spans="1:17" ht="14.25" customHeight="1">
      <c r="A29" s="112">
        <v>39</v>
      </c>
      <c r="B29" s="112">
        <v>3</v>
      </c>
      <c r="C29" s="112">
        <v>42</v>
      </c>
      <c r="D29" s="145" t="s">
        <v>6384</v>
      </c>
      <c r="E29" s="112" t="s">
        <v>6212</v>
      </c>
      <c r="F29" s="112" t="s">
        <v>984</v>
      </c>
      <c r="G29" s="112" t="s">
        <v>6487</v>
      </c>
      <c r="H29" s="112" t="s">
        <v>6486</v>
      </c>
      <c r="I29" s="112" t="b">
        <v>1</v>
      </c>
      <c r="J29" s="112" t="s">
        <v>6485</v>
      </c>
      <c r="K29" s="112" t="s">
        <v>984</v>
      </c>
      <c r="L29" s="112" t="str">
        <f t="shared" si="0"/>
        <v>{{ title_i_cam_settings }}</v>
      </c>
      <c r="M29" s="112" t="str">
        <f t="shared" si="1"/>
        <v xml:space="preserve">    title_i_cam_settings: "Camera settings"</v>
      </c>
      <c r="N29" s="112" t="str">
        <f t="shared" si="2"/>
        <v>https://ab-rcsc.github.io/rc-decision-support-tool_concept-library/02_dialog-boxes/01_40_cam_settings.html</v>
      </c>
    </row>
    <row r="30" spans="1:17" ht="14.25" customHeight="1">
      <c r="A30" s="112">
        <v>40</v>
      </c>
      <c r="B30" s="112">
        <v>3</v>
      </c>
      <c r="C30" s="112">
        <v>43</v>
      </c>
      <c r="D30" s="135" t="s">
        <v>6384</v>
      </c>
      <c r="E30" s="112" t="s">
        <v>6212</v>
      </c>
      <c r="F30" s="112" t="s">
        <v>984</v>
      </c>
      <c r="G30" s="112" t="s">
        <v>6490</v>
      </c>
      <c r="H30" s="112" t="s">
        <v>6489</v>
      </c>
      <c r="I30" s="112" t="b">
        <v>1</v>
      </c>
      <c r="J30" s="112" t="s">
        <v>6488</v>
      </c>
      <c r="K30" s="112" t="s">
        <v>984</v>
      </c>
      <c r="L30" s="112" t="str">
        <f t="shared" si="0"/>
        <v>{{ title_i_cam_placement }}</v>
      </c>
      <c r="M30" s="112" t="str">
        <f t="shared" si="1"/>
        <v xml:space="preserve">    title_i_cam_placement: "Camera height, angle, direction"</v>
      </c>
      <c r="N30" s="112" t="str">
        <f t="shared" si="2"/>
        <v>https://ab-rcsc.github.io/rc-decision-support-tool_concept-library/02_dialog-boxes/01_41_cam_placement.html</v>
      </c>
    </row>
    <row r="31" spans="1:17" ht="14.25" customHeight="1">
      <c r="A31" s="112">
        <v>41</v>
      </c>
      <c r="B31" s="112">
        <v>3</v>
      </c>
      <c r="C31" s="112">
        <v>43</v>
      </c>
      <c r="D31" s="135" t="s">
        <v>6384</v>
      </c>
      <c r="E31" s="112" t="s">
        <v>6212</v>
      </c>
      <c r="F31" s="112" t="s">
        <v>984</v>
      </c>
      <c r="G31" s="112" t="s">
        <v>6499</v>
      </c>
      <c r="H31" s="112" t="s">
        <v>5611</v>
      </c>
      <c r="I31" s="112" t="b">
        <v>1</v>
      </c>
      <c r="J31" s="112" t="s">
        <v>6498</v>
      </c>
      <c r="K31" s="112" t="s">
        <v>984</v>
      </c>
      <c r="L31" s="112" t="str">
        <f t="shared" si="0"/>
        <v>{{ title_i_cam_direction_ds }}</v>
      </c>
      <c r="M31" s="112" t="str">
        <f t="shared" si="1"/>
        <v xml:space="preserve">    title_i_cam_direction_ds: "Camera direction consistent or random"</v>
      </c>
      <c r="N31" s="112" t="str">
        <f t="shared" si="2"/>
        <v>https://ab-rcsc.github.io/rc-decision-support-tool_concept-library/02_dialog-boxes/01_42_cam_direction_ds.html</v>
      </c>
    </row>
    <row r="32" spans="1:17" ht="14.25" customHeight="1">
      <c r="A32" s="112">
        <v>42</v>
      </c>
      <c r="B32" s="112">
        <v>3</v>
      </c>
      <c r="C32" s="112">
        <v>44</v>
      </c>
      <c r="D32" s="135" t="s">
        <v>6384</v>
      </c>
      <c r="E32" s="112" t="s">
        <v>6212</v>
      </c>
      <c r="F32" s="112" t="s">
        <v>984</v>
      </c>
      <c r="G32" s="112" t="s">
        <v>6502</v>
      </c>
      <c r="H32" s="112" t="s">
        <v>5626</v>
      </c>
      <c r="I32" s="112" t="b">
        <v>1</v>
      </c>
      <c r="J32" s="112" t="s">
        <v>6503</v>
      </c>
      <c r="K32" s="112" t="s">
        <v>984</v>
      </c>
      <c r="L32" s="112" t="str">
        <f t="shared" si="0"/>
        <v>{{ title_i_bait_lure }}</v>
      </c>
      <c r="M32" s="112" t="str">
        <f t="shared" si="1"/>
        <v xml:space="preserve">    title_i_bait_lure: "Bait/lure (Types, Placement at all vs. a subset of cameras)"</v>
      </c>
      <c r="N32" s="112" t="str">
        <f t="shared" si="2"/>
        <v>https://ab-rcsc.github.io/rc-decision-support-tool_concept-library/02_dialog-boxes/01_43_bait_lure.html</v>
      </c>
    </row>
    <row r="33" spans="1:14" ht="14.25" customHeight="1">
      <c r="A33" s="112">
        <v>43</v>
      </c>
      <c r="B33" s="112">
        <v>3</v>
      </c>
      <c r="C33" s="112">
        <v>44</v>
      </c>
      <c r="D33" s="135" t="s">
        <v>6384</v>
      </c>
      <c r="E33" s="112" t="s">
        <v>6212</v>
      </c>
      <c r="F33" s="112" t="s">
        <v>984</v>
      </c>
      <c r="G33" s="112" t="s">
        <v>6502</v>
      </c>
      <c r="H33" s="112" t="s">
        <v>5626</v>
      </c>
      <c r="I33" s="112" t="b">
        <v>1</v>
      </c>
      <c r="J33" s="112" t="s">
        <v>6503</v>
      </c>
      <c r="K33" s="112" t="s">
        <v>984</v>
      </c>
      <c r="L33" s="112" t="str">
        <f t="shared" si="0"/>
        <v>{{ title_i_bait_lure }}</v>
      </c>
      <c r="M33" s="112" t="str">
        <f t="shared" si="1"/>
        <v xml:space="preserve">    title_i_bait_lure: "Bait/lure (Types, Placement at all vs. a subset of cameras)"</v>
      </c>
      <c r="N33" s="112" t="str">
        <f t="shared" si="2"/>
        <v>https://ab-rcsc.github.io/rc-decision-support-tool_concept-library/02_dialog-boxes/01_43_bait_lure.html</v>
      </c>
    </row>
    <row r="34" spans="1:14" ht="14.25" customHeight="1">
      <c r="A34" s="112">
        <v>44</v>
      </c>
      <c r="B34" s="112">
        <v>3</v>
      </c>
      <c r="C34" s="112">
        <v>45</v>
      </c>
      <c r="D34" s="135" t="s">
        <v>6384</v>
      </c>
      <c r="E34" s="112" t="s">
        <v>6212</v>
      </c>
      <c r="F34" s="112" t="s">
        <v>984</v>
      </c>
      <c r="G34" s="112" t="s">
        <v>6482</v>
      </c>
      <c r="H34" s="112" t="s">
        <v>6481</v>
      </c>
      <c r="I34" s="112" t="b">
        <v>1</v>
      </c>
      <c r="J34" s="112" t="s">
        <v>6480</v>
      </c>
      <c r="K34" s="112" t="s">
        <v>984</v>
      </c>
      <c r="L34" s="112" t="str">
        <f t="shared" ref="L34:L65" si="3">"{{ title_i_"&amp;H34&amp;" }}"</f>
        <v>{{ title_i_targ_feature }}</v>
      </c>
      <c r="M34" s="112" t="str">
        <f t="shared" ref="M34:M65" si="4">IF(I34=TRUE,("    title_i_"&amp;H34&amp;": "&amp;""""&amp;J34&amp;""""),"-")</f>
        <v xml:space="preserve">    title_i_targ_feature: "Target features"</v>
      </c>
      <c r="N34" s="112" t="str">
        <f t="shared" ref="N34:N65" si="5">IF(I34=TRUE,("https://ab-rcsc.github.io/rc-decision-support-tool_concept-library/02_dialog-boxes/"&amp;G34&amp;".html"),"-")</f>
        <v>https://ab-rcsc.github.io/rc-decision-support-tool_concept-library/02_dialog-boxes/01_45_targ_feature.html</v>
      </c>
    </row>
    <row r="35" spans="1:14" ht="14.25" customHeight="1">
      <c r="A35" s="112">
        <v>46</v>
      </c>
      <c r="B35" s="112">
        <v>3</v>
      </c>
      <c r="C35" s="112">
        <v>47</v>
      </c>
      <c r="D35" s="135" t="s">
        <v>6384</v>
      </c>
      <c r="E35" s="112" t="s">
        <v>6218</v>
      </c>
      <c r="F35" s="112" t="s">
        <v>984</v>
      </c>
      <c r="G35" s="112" t="s">
        <v>6495</v>
      </c>
      <c r="H35" s="112" t="s">
        <v>5605</v>
      </c>
      <c r="I35" s="112" t="b">
        <v>1</v>
      </c>
      <c r="J35" s="112" t="s">
        <v>6494</v>
      </c>
      <c r="K35" s="112" t="s">
        <v>984</v>
      </c>
      <c r="L35" s="112" t="str">
        <f t="shared" si="3"/>
        <v>{{ title_i_cam_independent }}</v>
      </c>
      <c r="M35" s="112" t="str">
        <f t="shared" si="4"/>
        <v xml:space="preserve">    title_i_cam_independent: "Camera location independence"</v>
      </c>
      <c r="N35" s="112" t="str">
        <f t="shared" si="5"/>
        <v>https://ab-rcsc.github.io/rc-decision-support-tool_concept-library/02_dialog-boxes/01_47_cam_independent.html</v>
      </c>
    </row>
    <row r="36" spans="1:14" ht="14.25" customHeight="1">
      <c r="A36" s="112">
        <v>47</v>
      </c>
      <c r="B36" s="112">
        <v>3</v>
      </c>
      <c r="C36" s="112">
        <v>48</v>
      </c>
      <c r="D36" s="135" t="s">
        <v>6384</v>
      </c>
      <c r="E36" s="112" t="s">
        <v>6218</v>
      </c>
      <c r="F36" s="112" t="s">
        <v>984</v>
      </c>
      <c r="G36" s="112" t="s">
        <v>6435</v>
      </c>
      <c r="H36" s="112" t="s">
        <v>5561</v>
      </c>
      <c r="I36" s="112" t="b">
        <v>1</v>
      </c>
      <c r="J36" s="112" t="s">
        <v>6434</v>
      </c>
      <c r="K36" s="112" t="s">
        <v>984</v>
      </c>
      <c r="L36" s="112" t="str">
        <f t="shared" si="3"/>
        <v>{{ title_i_multisamp_per_loc }}</v>
      </c>
      <c r="M36" s="112" t="str">
        <f t="shared" si="4"/>
        <v xml:space="preserve">    title_i_multisamp_per_loc: "Repeat sampling"</v>
      </c>
      <c r="N36" s="112" t="str">
        <f t="shared" si="5"/>
        <v>https://ab-rcsc.github.io/rc-decision-support-tool_concept-library/02_dialog-boxes/01_48_multisamp_per_loc.html</v>
      </c>
    </row>
    <row r="37" spans="1:14" ht="14.25" customHeight="1">
      <c r="A37" s="112">
        <v>48</v>
      </c>
      <c r="B37" s="112">
        <v>3</v>
      </c>
      <c r="C37" s="112">
        <v>49</v>
      </c>
      <c r="D37" s="135" t="s">
        <v>6384</v>
      </c>
      <c r="E37" s="112" t="s">
        <v>6218</v>
      </c>
      <c r="F37" s="112" t="s">
        <v>984</v>
      </c>
      <c r="G37" s="112" t="s">
        <v>6437</v>
      </c>
      <c r="H37" s="112" t="s">
        <v>5564</v>
      </c>
      <c r="I37" s="112" t="b">
        <v>1</v>
      </c>
      <c r="J37" s="112" t="s">
        <v>6436</v>
      </c>
      <c r="K37" s="112" t="s">
        <v>984</v>
      </c>
      <c r="L37" s="112" t="str">
        <f t="shared" si="3"/>
        <v>{{ title_i_modmixed }}</v>
      </c>
      <c r="M37" s="112" t="str">
        <f t="shared" si="4"/>
        <v xml:space="preserve">    title_i_modmixed: "Mixed models"</v>
      </c>
      <c r="N37" s="112" t="str">
        <f t="shared" si="5"/>
        <v>https://ab-rcsc.github.io/rc-decision-support-tool_concept-library/02_dialog-boxes/01_49_modmixed.html</v>
      </c>
    </row>
    <row r="38" spans="1:14" ht="14.25" customHeight="1">
      <c r="A38" s="112">
        <v>49</v>
      </c>
      <c r="B38" s="112">
        <v>3</v>
      </c>
      <c r="C38" s="112">
        <v>50</v>
      </c>
      <c r="D38" s="135" t="s">
        <v>6384</v>
      </c>
      <c r="E38" s="112" t="s">
        <v>6218</v>
      </c>
      <c r="F38" s="112" t="s">
        <v>984</v>
      </c>
      <c r="G38" s="112" t="s">
        <v>6558</v>
      </c>
      <c r="H38" s="112" t="s">
        <v>6559</v>
      </c>
      <c r="I38" s="112" t="b">
        <v>1</v>
      </c>
      <c r="J38" s="112" t="s">
        <v>6566</v>
      </c>
      <c r="K38" s="112" t="s">
        <v>984</v>
      </c>
      <c r="L38" s="112" t="str">
        <f t="shared" si="3"/>
        <v>{{ title_i_num_det_individ_recaptures }}</v>
      </c>
      <c r="M38" s="112" t="str">
        <f t="shared" si="4"/>
        <v xml:space="preserve">    title_i_num_det_individ_recaptures: "Number of detections, individuals, recaptures"</v>
      </c>
      <c r="N38" s="112" t="str">
        <f t="shared" si="5"/>
        <v>https://ab-rcsc.github.io/rc-decision-support-tool_concept-library/02_dialog-boxes/01_50_num_det_individ_recaptures.html</v>
      </c>
    </row>
    <row r="39" spans="1:14" ht="14.25" customHeight="1">
      <c r="A39" s="112">
        <v>51</v>
      </c>
      <c r="B39" s="112">
        <v>3</v>
      </c>
      <c r="C39" s="112">
        <v>52</v>
      </c>
      <c r="D39" s="135" t="s">
        <v>6384</v>
      </c>
      <c r="E39" s="112" t="s">
        <v>6218</v>
      </c>
      <c r="F39" s="112" t="s">
        <v>984</v>
      </c>
      <c r="G39" s="112" t="s">
        <v>6558</v>
      </c>
      <c r="H39" s="112" t="s">
        <v>6559</v>
      </c>
      <c r="I39" s="112" t="b">
        <v>1</v>
      </c>
      <c r="J39" s="112" t="s">
        <v>6566</v>
      </c>
      <c r="K39" s="112" t="s">
        <v>984</v>
      </c>
      <c r="L39" s="112" t="str">
        <f t="shared" si="3"/>
        <v>{{ title_i_num_det_individ_recaptures }}</v>
      </c>
      <c r="M39" s="112" t="str">
        <f t="shared" si="4"/>
        <v xml:space="preserve">    title_i_num_det_individ_recaptures: "Number of detections, individuals, recaptures"</v>
      </c>
      <c r="N39" s="112" t="str">
        <f t="shared" si="5"/>
        <v>https://ab-rcsc.github.io/rc-decision-support-tool_concept-library/02_dialog-boxes/01_50_num_det_individ_recaptures.html</v>
      </c>
    </row>
    <row r="40" spans="1:14" ht="14.25" customHeight="1">
      <c r="A40" s="112">
        <v>52</v>
      </c>
      <c r="B40" s="112">
        <v>3</v>
      </c>
      <c r="C40" s="112">
        <v>53</v>
      </c>
      <c r="D40" s="135" t="s">
        <v>6384</v>
      </c>
      <c r="E40" s="112" t="s">
        <v>6218</v>
      </c>
      <c r="F40" s="112" t="s">
        <v>984</v>
      </c>
      <c r="G40" s="131" t="s">
        <v>6423</v>
      </c>
      <c r="H40" s="131" t="s">
        <v>6422</v>
      </c>
      <c r="I40" s="112" t="b">
        <v>1</v>
      </c>
      <c r="J40" s="112" t="s">
        <v>6421</v>
      </c>
      <c r="K40" s="112" t="s">
        <v>984</v>
      </c>
      <c r="L40" s="112" t="str">
        <f t="shared" si="3"/>
        <v>{{ title_i_overdispersion_zeroinflation }}</v>
      </c>
      <c r="M40" s="112" t="str">
        <f t="shared" si="4"/>
        <v xml:space="preserve">    title_i_overdispersion_zeroinflation: "Overdispersion &amp; Zero-inflation"</v>
      </c>
      <c r="N40" s="112" t="str">
        <f t="shared" si="5"/>
        <v>https://ab-rcsc.github.io/rc-decision-support-tool_concept-library/02_dialog-boxes/01_53_overdispersion_zeroinflation.html</v>
      </c>
    </row>
    <row r="41" spans="1:14" ht="14.25" customHeight="1">
      <c r="A41" s="112">
        <v>54</v>
      </c>
      <c r="B41" s="112">
        <v>3</v>
      </c>
      <c r="C41" s="112" t="e">
        <v>#N/A</v>
      </c>
      <c r="D41" s="135" t="s">
        <v>6384</v>
      </c>
      <c r="E41" s="112" t="s">
        <v>6218</v>
      </c>
      <c r="F41" s="112" t="s">
        <v>984</v>
      </c>
      <c r="G41" s="131" t="s">
        <v>6388</v>
      </c>
      <c r="H41" s="131" t="s">
        <v>5380</v>
      </c>
      <c r="I41" s="112" t="b">
        <v>1</v>
      </c>
      <c r="J41" s="112" t="s">
        <v>6387</v>
      </c>
      <c r="K41" s="112" t="s">
        <v>984</v>
      </c>
      <c r="L41" s="112" t="str">
        <f t="shared" si="3"/>
        <v>{{ title_i_zi_overdispersed }}</v>
      </c>
      <c r="M41" s="112" t="str">
        <f t="shared" si="4"/>
        <v xml:space="preserve">    title_i_zi_overdispersed: "Accounting for overdispersion due to zero-inflation"</v>
      </c>
      <c r="N41" s="112" t="str">
        <f t="shared" si="5"/>
        <v>https://ab-rcsc.github.io/rc-decision-support-tool_concept-library/02_dialog-boxes/01_55_zi_overdispersed.html</v>
      </c>
    </row>
    <row r="42" spans="1:14" ht="14.25" customHeight="1">
      <c r="A42" s="112">
        <v>55</v>
      </c>
      <c r="B42" s="112">
        <v>3</v>
      </c>
      <c r="C42" s="112" t="e">
        <v>#N/A</v>
      </c>
      <c r="D42" s="135" t="s">
        <v>6384</v>
      </c>
      <c r="E42" s="112" t="s">
        <v>6218</v>
      </c>
      <c r="F42" s="112" t="s">
        <v>984</v>
      </c>
      <c r="G42" s="131" t="s">
        <v>6383</v>
      </c>
      <c r="H42" s="131" t="s">
        <v>5372</v>
      </c>
      <c r="I42" s="112" t="b">
        <v>1</v>
      </c>
      <c r="J42" s="112" t="s">
        <v>6382</v>
      </c>
      <c r="K42" s="112" t="s">
        <v>984</v>
      </c>
      <c r="L42" s="112" t="str">
        <f t="shared" si="3"/>
        <v>{{ title_i_zi_re_overdispersed }}</v>
      </c>
      <c r="M42" s="112" t="str">
        <f t="shared" si="4"/>
        <v xml:space="preserve">    title_i_zi_re_overdispersed: "Accounting for zero-inflation with site random effect"</v>
      </c>
      <c r="N42" s="112" t="str">
        <f t="shared" si="5"/>
        <v>https://ab-rcsc.github.io/rc-decision-support-tool_concept-library/02_dialog-boxes/01_57_zi_re_overdispersed.html</v>
      </c>
    </row>
    <row r="43" spans="1:14" ht="14.25" customHeight="1">
      <c r="A43" s="112">
        <v>56</v>
      </c>
      <c r="B43" s="112">
        <v>3</v>
      </c>
      <c r="C43" s="112" t="e">
        <v>#N/A</v>
      </c>
      <c r="D43" s="135" t="s">
        <v>6384</v>
      </c>
      <c r="E43" s="112" t="s">
        <v>6218</v>
      </c>
      <c r="F43" s="112" t="s">
        <v>984</v>
      </c>
      <c r="G43" s="131" t="s">
        <v>6386</v>
      </c>
      <c r="H43" s="131" t="s">
        <v>5377</v>
      </c>
      <c r="I43" s="112" t="b">
        <v>1</v>
      </c>
      <c r="J43" s="112" t="s">
        <v>6385</v>
      </c>
      <c r="K43" s="112" t="s">
        <v>984</v>
      </c>
      <c r="L43" s="112" t="str">
        <f t="shared" si="3"/>
        <v>{{ title_i_zi_process }}</v>
      </c>
      <c r="M43" s="112" t="str">
        <f t="shared" si="4"/>
        <v xml:space="preserve">    title_i_zi_process: "Zero-inflation due to separate process"</v>
      </c>
      <c r="N43" s="112" t="str">
        <f t="shared" si="5"/>
        <v>https://ab-rcsc.github.io/rc-decision-support-tool_concept-library/02_dialog-boxes/01_58_zi_process.html</v>
      </c>
    </row>
    <row r="44" spans="1:14" ht="14.25" customHeight="1">
      <c r="B44" s="112">
        <v>4</v>
      </c>
      <c r="C44" s="112" t="e">
        <v>#N/A</v>
      </c>
      <c r="D44" s="117" t="s">
        <v>6444</v>
      </c>
      <c r="E44" s="112" t="s">
        <v>6206</v>
      </c>
      <c r="F44" s="112" t="s">
        <v>984</v>
      </c>
      <c r="G44" s="112" t="s">
        <v>6446</v>
      </c>
      <c r="H44" s="112" t="s">
        <v>6445</v>
      </c>
      <c r="I44" s="112" t="b">
        <v>1</v>
      </c>
      <c r="J44" s="112" t="s">
        <v>95</v>
      </c>
      <c r="K44" s="112" t="s">
        <v>984</v>
      </c>
      <c r="L44" s="112" t="str">
        <f t="shared" si="3"/>
        <v>{{ title_i_design_study_area }}</v>
      </c>
      <c r="M44" s="112" t="str">
        <f t="shared" si="4"/>
        <v xml:space="preserve">    title_i_design_study_area: "Study area"</v>
      </c>
      <c r="N44" s="112" t="str">
        <f t="shared" si="5"/>
        <v>https://ab-rcsc.github.io/rc-decision-support-tool_concept-library/02_dialog-boxes/02_01_design_study_area.html</v>
      </c>
    </row>
    <row r="45" spans="1:14" ht="14.25" customHeight="1">
      <c r="B45" s="112">
        <v>4</v>
      </c>
      <c r="C45" s="112">
        <v>2</v>
      </c>
      <c r="D45" s="142" t="s">
        <v>6444</v>
      </c>
      <c r="E45" s="112" t="s">
        <v>6206</v>
      </c>
      <c r="F45" s="138" t="s">
        <v>6460</v>
      </c>
      <c r="G45" s="112" t="s">
        <v>6479</v>
      </c>
      <c r="H45" s="112" t="s">
        <v>6478</v>
      </c>
      <c r="I45" s="112" t="b">
        <v>1</v>
      </c>
      <c r="J45" s="138" t="s">
        <v>6477</v>
      </c>
      <c r="K45" s="112" t="s">
        <v>984</v>
      </c>
      <c r="L45" s="112" t="str">
        <f t="shared" si="3"/>
        <v>{{ title_i_design_cam_arrange }}</v>
      </c>
      <c r="M45" s="112" t="str">
        <f t="shared" si="4"/>
        <v xml:space="preserve">    title_i_design_cam_arrange: "Camera arrangement"</v>
      </c>
      <c r="N45" s="112" t="str">
        <f t="shared" si="5"/>
        <v>https://ab-rcsc.github.io/rc-decision-support-tool_concept-library/02_dialog-boxes/02_02_00_design_cam_arrange.html</v>
      </c>
    </row>
    <row r="46" spans="1:14" ht="14.25" customHeight="1">
      <c r="B46" s="112">
        <v>4</v>
      </c>
      <c r="C46" s="112">
        <v>2.1</v>
      </c>
      <c r="D46" s="142" t="s">
        <v>6444</v>
      </c>
      <c r="E46" s="112" t="s">
        <v>6206</v>
      </c>
      <c r="F46" s="138" t="s">
        <v>6460</v>
      </c>
      <c r="G46" s="112" t="s">
        <v>6470</v>
      </c>
      <c r="H46" s="112" t="s">
        <v>6469</v>
      </c>
      <c r="I46" s="112" t="b">
        <v>1</v>
      </c>
      <c r="J46" s="140" t="s">
        <v>456</v>
      </c>
      <c r="K46" s="112" t="s">
        <v>984</v>
      </c>
      <c r="L46" s="112" t="str">
        <f t="shared" si="3"/>
        <v>{{ title_i_design_cam_arrange_random }}</v>
      </c>
      <c r="M46" s="112" t="str">
        <f t="shared" si="4"/>
        <v xml:space="preserve">    title_i_design_cam_arrange_random: "Random (or 'simple random') design"</v>
      </c>
      <c r="N46" s="112" t="str">
        <f t="shared" si="5"/>
        <v>https://ab-rcsc.github.io/rc-decision-support-tool_concept-library/02_dialog-boxes/02_02_01_design_cam_arrange_random.html</v>
      </c>
    </row>
    <row r="47" spans="1:14" ht="14.25" customHeight="1">
      <c r="B47" s="112">
        <v>4</v>
      </c>
      <c r="C47" s="112">
        <v>2.2000000000000002</v>
      </c>
      <c r="D47" s="142" t="s">
        <v>6444</v>
      </c>
      <c r="E47" s="112" t="s">
        <v>6206</v>
      </c>
      <c r="F47" s="138" t="s">
        <v>6460</v>
      </c>
      <c r="G47" s="112" t="s">
        <v>6464</v>
      </c>
      <c r="H47" s="112" t="s">
        <v>6463</v>
      </c>
      <c r="I47" s="112" t="b">
        <v>1</v>
      </c>
      <c r="J47" s="140" t="s">
        <v>93</v>
      </c>
      <c r="K47" s="112" t="s">
        <v>984</v>
      </c>
      <c r="L47" s="112" t="str">
        <f t="shared" si="3"/>
        <v>{{ title_i_design_cam_arrange_systematic }}</v>
      </c>
      <c r="M47" s="112" t="str">
        <f t="shared" si="4"/>
        <v xml:space="preserve">    title_i_design_cam_arrange_systematic: "Systematic design"</v>
      </c>
      <c r="N47" s="112" t="str">
        <f t="shared" si="5"/>
        <v>https://ab-rcsc.github.io/rc-decision-support-tool_concept-library/02_dialog-boxes/02_02_02_design_cam_arrange_systematic.html</v>
      </c>
    </row>
    <row r="48" spans="1:14" ht="14.25" customHeight="1">
      <c r="B48" s="112">
        <v>4</v>
      </c>
      <c r="C48" s="112">
        <v>2.2999999999999998</v>
      </c>
      <c r="D48" s="142" t="s">
        <v>6444</v>
      </c>
      <c r="E48" s="112" t="s">
        <v>6206</v>
      </c>
      <c r="F48" s="138" t="s">
        <v>6460</v>
      </c>
      <c r="G48" s="112" t="s">
        <v>6462</v>
      </c>
      <c r="H48" s="112" t="s">
        <v>6461</v>
      </c>
      <c r="I48" s="112" t="b">
        <v>1</v>
      </c>
      <c r="J48" s="140" t="s">
        <v>90</v>
      </c>
      <c r="K48" s="112" t="s">
        <v>984</v>
      </c>
      <c r="L48" s="112" t="str">
        <f t="shared" si="3"/>
        <v>{{ title_i_design_cam_arrange_systematic_random }}</v>
      </c>
      <c r="M48" s="112" t="str">
        <f t="shared" si="4"/>
        <v xml:space="preserve">    title_i_design_cam_arrange_systematic_random: "Systematic random design"</v>
      </c>
      <c r="N48" s="112" t="str">
        <f t="shared" si="5"/>
        <v>https://ab-rcsc.github.io/rc-decision-support-tool_concept-library/02_dialog-boxes/02_02_03_design_cam_arrange_systematic_random.html</v>
      </c>
    </row>
    <row r="49" spans="1:14" ht="14.25" customHeight="1">
      <c r="B49" s="112">
        <v>4</v>
      </c>
      <c r="C49" s="112">
        <v>2.4</v>
      </c>
      <c r="D49" s="142" t="s">
        <v>6444</v>
      </c>
      <c r="E49" s="112" t="s">
        <v>6206</v>
      </c>
      <c r="F49" s="138" t="s">
        <v>6460</v>
      </c>
      <c r="G49" s="112" t="s">
        <v>6468</v>
      </c>
      <c r="H49" s="112" t="s">
        <v>6467</v>
      </c>
      <c r="I49" s="112" t="b">
        <v>1</v>
      </c>
      <c r="J49" s="140" t="s">
        <v>101</v>
      </c>
      <c r="K49" s="112" t="s">
        <v>984</v>
      </c>
      <c r="L49" s="112" t="str">
        <f t="shared" si="3"/>
        <v>{{ title_i_design_cam_arrange_stratified }}</v>
      </c>
      <c r="M49" s="112" t="str">
        <f t="shared" si="4"/>
        <v xml:space="preserve">    title_i_design_cam_arrange_stratified: "Stratified design"</v>
      </c>
      <c r="N49" s="112" t="str">
        <f t="shared" si="5"/>
        <v>https://ab-rcsc.github.io/rc-decision-support-tool_concept-library/02_dialog-boxes/02_02_04_design_cam_arrange_stratified.html</v>
      </c>
    </row>
    <row r="50" spans="1:14" ht="14.25" customHeight="1">
      <c r="B50" s="112">
        <v>4</v>
      </c>
      <c r="C50" s="112">
        <v>2.5</v>
      </c>
      <c r="D50" s="142" t="s">
        <v>6444</v>
      </c>
      <c r="E50" s="112" t="s">
        <v>6206</v>
      </c>
      <c r="F50" s="138" t="s">
        <v>6460</v>
      </c>
      <c r="G50" s="112" t="s">
        <v>6466</v>
      </c>
      <c r="H50" s="112" t="s">
        <v>6465</v>
      </c>
      <c r="I50" s="112" t="b">
        <v>1</v>
      </c>
      <c r="J50" s="140" t="s">
        <v>98</v>
      </c>
      <c r="K50" s="112" t="s">
        <v>984</v>
      </c>
      <c r="L50" s="112" t="str">
        <f t="shared" si="3"/>
        <v>{{ title_i_design_cam_arrange_stratified_random }}</v>
      </c>
      <c r="M50" s="112" t="str">
        <f t="shared" si="4"/>
        <v xml:space="preserve">    title_i_design_cam_arrange_stratified_random: "Stratified random design "</v>
      </c>
      <c r="N50" s="112" t="str">
        <f t="shared" si="5"/>
        <v>https://ab-rcsc.github.io/rc-decision-support-tool_concept-library/02_dialog-boxes/02_02_05_design_cam_arrange_stratified_random.html</v>
      </c>
    </row>
    <row r="51" spans="1:14" ht="14.25" customHeight="1">
      <c r="B51" s="112">
        <v>4</v>
      </c>
      <c r="C51" s="112">
        <v>2.6</v>
      </c>
      <c r="D51" s="117" t="s">
        <v>6444</v>
      </c>
      <c r="E51" s="112" t="s">
        <v>6206</v>
      </c>
      <c r="F51" s="138" t="s">
        <v>6460</v>
      </c>
      <c r="G51" s="112" t="s">
        <v>6475</v>
      </c>
      <c r="H51" s="141" t="s">
        <v>6476</v>
      </c>
      <c r="I51" s="112" t="b">
        <v>1</v>
      </c>
      <c r="J51" s="143" t="s">
        <v>225</v>
      </c>
      <c r="K51" s="112" t="s">
        <v>984</v>
      </c>
      <c r="L51" s="112" t="str">
        <f t="shared" si="3"/>
        <v>{{ title_i_design_cam_arrange_clustered }}</v>
      </c>
      <c r="M51" s="112" t="str">
        <f t="shared" si="4"/>
        <v xml:space="preserve">    title_i_design_cam_arrange_clustered: "Clustered design"</v>
      </c>
      <c r="N51" s="112" t="str">
        <f t="shared" si="5"/>
        <v>https://ab-rcsc.github.io/rc-decision-support-tool_concept-library/02_dialog-boxes/02_02_06_design_clustered.html</v>
      </c>
    </row>
    <row r="52" spans="1:14" ht="14.25" customHeight="1">
      <c r="B52" s="112">
        <v>4</v>
      </c>
      <c r="C52" s="112">
        <v>2.7</v>
      </c>
      <c r="D52" s="142" t="s">
        <v>6444</v>
      </c>
      <c r="E52" s="112" t="s">
        <v>6206</v>
      </c>
      <c r="F52" s="138" t="s">
        <v>6460</v>
      </c>
      <c r="G52" s="112" t="s">
        <v>6472</v>
      </c>
      <c r="H52" s="112" t="s">
        <v>6471</v>
      </c>
      <c r="I52" s="112" t="b">
        <v>1</v>
      </c>
      <c r="J52" s="140" t="s">
        <v>145</v>
      </c>
      <c r="K52" s="112" t="s">
        <v>984</v>
      </c>
      <c r="L52" s="112" t="str">
        <f t="shared" si="3"/>
        <v>{{ title_i_design_cam_arrange_paired }}</v>
      </c>
      <c r="M52" s="112" t="str">
        <f t="shared" si="4"/>
        <v xml:space="preserve">    title_i_design_cam_arrange_paired: "Paired design"</v>
      </c>
      <c r="N52" s="112" t="str">
        <f t="shared" si="5"/>
        <v>https://ab-rcsc.github.io/rc-decision-support-tool_concept-library/02_dialog-boxes/02_02_07_design_cam_arrange_paired.html</v>
      </c>
    </row>
    <row r="53" spans="1:14" ht="14.25" customHeight="1">
      <c r="B53" s="112">
        <v>4</v>
      </c>
      <c r="C53" s="112">
        <v>2.8</v>
      </c>
      <c r="D53" s="117" t="s">
        <v>6444</v>
      </c>
      <c r="E53" s="112" t="s">
        <v>6206</v>
      </c>
      <c r="F53" s="138" t="s">
        <v>6460</v>
      </c>
      <c r="G53" s="112" t="s">
        <v>6459</v>
      </c>
      <c r="H53" s="112" t="s">
        <v>6458</v>
      </c>
      <c r="I53" s="112" t="b">
        <v>1</v>
      </c>
      <c r="J53" s="140" t="s">
        <v>87</v>
      </c>
      <c r="K53" s="112" t="s">
        <v>984</v>
      </c>
      <c r="L53" s="112" t="str">
        <f t="shared" si="3"/>
        <v>{{ title_i_design_cam_arrange_targeted }}</v>
      </c>
      <c r="M53" s="112" t="str">
        <f t="shared" si="4"/>
        <v xml:space="preserve">    title_i_design_cam_arrange_targeted: "Targeted design"</v>
      </c>
      <c r="N53" s="112" t="str">
        <f t="shared" si="5"/>
        <v>https://ab-rcsc.github.io/rc-decision-support-tool_concept-library/02_dialog-boxes/02_02_08_design_cam_arrange_targeted.html</v>
      </c>
    </row>
    <row r="54" spans="1:14" ht="14.25" customHeight="1">
      <c r="B54" s="112">
        <v>4</v>
      </c>
      <c r="C54" s="112">
        <v>2.9</v>
      </c>
      <c r="D54" s="142" t="s">
        <v>6444</v>
      </c>
      <c r="E54" s="112" t="s">
        <v>6206</v>
      </c>
      <c r="F54" s="138" t="s">
        <v>6460</v>
      </c>
      <c r="G54" s="112" t="s">
        <v>6474</v>
      </c>
      <c r="H54" s="112" t="s">
        <v>6473</v>
      </c>
      <c r="I54" s="112" t="b">
        <v>1</v>
      </c>
      <c r="J54" s="140" t="s">
        <v>223</v>
      </c>
      <c r="K54" s="112" t="s">
        <v>984</v>
      </c>
      <c r="L54" s="112" t="str">
        <f t="shared" si="3"/>
        <v>{{ title_i_design_cam_arrange_convenience }}</v>
      </c>
      <c r="M54" s="112" t="str">
        <f t="shared" si="4"/>
        <v xml:space="preserve">    title_i_design_cam_arrange_convenience: "Convenience design"</v>
      </c>
      <c r="N54" s="112" t="str">
        <f t="shared" si="5"/>
        <v>https://ab-rcsc.github.io/rc-decision-support-tool_concept-library/02_dialog-boxes/02_02_09_design_cam_arrange_convenience.html</v>
      </c>
    </row>
    <row r="55" spans="1:14" ht="14.25" customHeight="1">
      <c r="B55" s="112">
        <v>4</v>
      </c>
      <c r="C55" s="112">
        <v>3</v>
      </c>
      <c r="D55" s="117" t="s">
        <v>6444</v>
      </c>
      <c r="E55" s="112" t="s">
        <v>6206</v>
      </c>
      <c r="F55" s="138" t="s">
        <v>1245</v>
      </c>
      <c r="G55" s="112" t="s">
        <v>6454</v>
      </c>
      <c r="H55" s="112" t="s">
        <v>6453</v>
      </c>
      <c r="I55" s="112" t="b">
        <v>1</v>
      </c>
      <c r="J55" s="138" t="s">
        <v>228</v>
      </c>
      <c r="K55" s="112" t="s">
        <v>984</v>
      </c>
      <c r="L55" s="112" t="str">
        <f t="shared" si="3"/>
        <v>{{ title_i_design_cam_spacing }}</v>
      </c>
      <c r="M55" s="112" t="str">
        <f t="shared" si="4"/>
        <v xml:space="preserve">    title_i_design_cam_spacing: "Camera spacing"</v>
      </c>
      <c r="N55" s="112" t="str">
        <f t="shared" si="5"/>
        <v>https://ab-rcsc.github.io/rc-decision-support-tool_concept-library/02_dialog-boxes/02_03_design_cam_spacing.html</v>
      </c>
    </row>
    <row r="56" spans="1:14" ht="14.25" customHeight="1">
      <c r="B56" s="112">
        <v>4</v>
      </c>
      <c r="C56" s="112">
        <v>4</v>
      </c>
      <c r="D56" s="117" t="s">
        <v>6444</v>
      </c>
      <c r="E56" s="112" t="s">
        <v>6206</v>
      </c>
      <c r="F56" s="138" t="s">
        <v>6269</v>
      </c>
      <c r="G56" s="112" t="s">
        <v>6449</v>
      </c>
      <c r="H56" s="112" t="s">
        <v>6448</v>
      </c>
      <c r="I56" s="112" t="b">
        <v>1</v>
      </c>
      <c r="J56" s="137" t="s">
        <v>6447</v>
      </c>
      <c r="K56" s="112" t="s">
        <v>984</v>
      </c>
      <c r="L56" s="112" t="str">
        <f t="shared" si="3"/>
        <v>{{ title_i_design_num_cams }}</v>
      </c>
      <c r="M56" s="112" t="str">
        <f t="shared" si="4"/>
        <v xml:space="preserve">    title_i_design_num_cams: "Number of cameras"</v>
      </c>
      <c r="N56" s="112" t="str">
        <f t="shared" si="5"/>
        <v>https://ab-rcsc.github.io/rc-decision-support-tool_concept-library/02_dialog-boxes/02_04_design_num_cams.html</v>
      </c>
    </row>
    <row r="57" spans="1:14" ht="14.25" customHeight="1">
      <c r="B57" s="112">
        <v>4</v>
      </c>
      <c r="C57" s="112">
        <v>5</v>
      </c>
      <c r="D57" s="117" t="s">
        <v>6444</v>
      </c>
      <c r="E57" s="112" t="s">
        <v>6206</v>
      </c>
      <c r="F57" s="138" t="s">
        <v>6452</v>
      </c>
      <c r="G57" s="112" t="s">
        <v>6451</v>
      </c>
      <c r="H57" s="112" t="s">
        <v>6450</v>
      </c>
      <c r="I57" s="112" t="b">
        <v>1</v>
      </c>
      <c r="J57" s="137" t="s">
        <v>231</v>
      </c>
      <c r="K57" s="112" t="s">
        <v>984</v>
      </c>
      <c r="L57" s="112" t="str">
        <f t="shared" si="3"/>
        <v>{{ title_i_design_camdays_per_loc }}</v>
      </c>
      <c r="M57" s="112" t="str">
        <f t="shared" si="4"/>
        <v xml:space="preserve">    title_i_design_camdays_per_loc: "Camera days per camera location"</v>
      </c>
      <c r="N57" s="112" t="str">
        <f t="shared" si="5"/>
        <v>https://ab-rcsc.github.io/rc-decision-support-tool_concept-library/02_dialog-boxes/02_05_design_camdays_per_loc.html</v>
      </c>
    </row>
    <row r="58" spans="1:14" ht="14.25" customHeight="1">
      <c r="B58" s="112">
        <v>4</v>
      </c>
      <c r="C58" s="112">
        <v>6</v>
      </c>
      <c r="D58" s="117" t="s">
        <v>6444</v>
      </c>
      <c r="E58" s="112" t="s">
        <v>6206</v>
      </c>
      <c r="F58" s="139" t="s">
        <v>6457</v>
      </c>
      <c r="G58" s="112" t="s">
        <v>6456</v>
      </c>
      <c r="H58" s="112" t="s">
        <v>6455</v>
      </c>
      <c r="I58" s="112" t="b">
        <v>1</v>
      </c>
      <c r="J58" s="137" t="s">
        <v>77</v>
      </c>
      <c r="K58" s="112" t="s">
        <v>984</v>
      </c>
      <c r="L58" s="112" t="str">
        <f t="shared" si="3"/>
        <v>{{ title_i_design_cam_days_ttl }}</v>
      </c>
      <c r="M58" s="112" t="str">
        <f t="shared" si="4"/>
        <v xml:space="preserve">    title_i_design_cam_days_ttl: "Total number of camera days"</v>
      </c>
      <c r="N58" s="112" t="str">
        <f t="shared" si="5"/>
        <v>https://ab-rcsc.github.io/rc-decision-support-tool_concept-library/02_dialog-boxes/02_06_design_cam_days_ttl.html</v>
      </c>
    </row>
    <row r="59" spans="1:14" ht="14.25" customHeight="1">
      <c r="B59" s="112">
        <v>4</v>
      </c>
      <c r="C59" s="112">
        <v>7</v>
      </c>
      <c r="D59" s="117" t="s">
        <v>6444</v>
      </c>
      <c r="E59" s="112" t="s">
        <v>6206</v>
      </c>
      <c r="F59" s="138" t="s">
        <v>6442</v>
      </c>
      <c r="G59" s="112" t="s">
        <v>6441</v>
      </c>
      <c r="H59" s="112" t="s">
        <v>6440</v>
      </c>
      <c r="I59" s="112" t="b">
        <v>1</v>
      </c>
      <c r="J59" s="137" t="s">
        <v>6394</v>
      </c>
      <c r="K59" s="112" t="s">
        <v>984</v>
      </c>
      <c r="L59" s="112" t="str">
        <f t="shared" si="3"/>
        <v>{{ title_i_design_survey_duration }}</v>
      </c>
      <c r="M59" s="112" t="str">
        <f t="shared" si="4"/>
        <v xml:space="preserve">    title_i_design_survey_duration: "Survey duration"</v>
      </c>
      <c r="N59" s="112" t="str">
        <f t="shared" si="5"/>
        <v>https://ab-rcsc.github.io/rc-decision-support-tool_concept-library/02_dialog-boxes/02_07_design_survey_duration.html</v>
      </c>
    </row>
    <row r="60" spans="1:14" ht="14.25" customHeight="1">
      <c r="A60" s="112">
        <v>57</v>
      </c>
      <c r="B60" s="112">
        <v>3</v>
      </c>
      <c r="C60" s="112">
        <v>57</v>
      </c>
      <c r="D60" s="117" t="s">
        <v>4</v>
      </c>
      <c r="E60" s="112" t="s">
        <v>6206</v>
      </c>
      <c r="F60" s="112" t="s">
        <v>984</v>
      </c>
      <c r="G60" s="112" t="s">
        <v>5349</v>
      </c>
      <c r="H60" s="112" t="s">
        <v>38</v>
      </c>
      <c r="I60" s="112" t="b">
        <v>1</v>
      </c>
      <c r="J60" s="112" t="s">
        <v>37</v>
      </c>
      <c r="K60" s="112" t="s">
        <v>984</v>
      </c>
      <c r="L60" s="112" t="str">
        <f t="shared" si="3"/>
        <v>{{ title_i_mod_inventory }}</v>
      </c>
      <c r="M60" s="112" t="str">
        <f t="shared" si="4"/>
        <v xml:space="preserve">    title_i_mod_inventory: "Species inventory"</v>
      </c>
      <c r="N60" s="112" t="str">
        <f t="shared" si="5"/>
        <v>https://ab-rcsc.github.io/rc-decision-support-tool_concept-library/02_dialog-boxes/03_01_mod_inventory.html</v>
      </c>
    </row>
    <row r="61" spans="1:14" ht="14.25" customHeight="1">
      <c r="A61" s="112">
        <v>58</v>
      </c>
      <c r="B61" s="112">
        <v>3</v>
      </c>
      <c r="C61" s="112">
        <v>58</v>
      </c>
      <c r="D61" s="117" t="s">
        <v>4</v>
      </c>
      <c r="E61" s="112" t="s">
        <v>6206</v>
      </c>
      <c r="F61" s="112" t="s">
        <v>984</v>
      </c>
      <c r="G61" s="112" t="s">
        <v>5347</v>
      </c>
      <c r="H61" s="112" t="s">
        <v>36</v>
      </c>
      <c r="I61" s="112" t="b">
        <v>1</v>
      </c>
      <c r="J61" s="112" t="s">
        <v>35</v>
      </c>
      <c r="K61" s="112" t="s">
        <v>984</v>
      </c>
      <c r="L61" s="112" t="str">
        <f t="shared" si="3"/>
        <v>{{ title_i_mod_divers_rich }}</v>
      </c>
      <c r="M61" s="112" t="str">
        <f t="shared" si="4"/>
        <v xml:space="preserve">    title_i_mod_divers_rich: "Species diversity &amp; richness"</v>
      </c>
      <c r="N61" s="112" t="str">
        <f t="shared" si="5"/>
        <v>https://ab-rcsc.github.io/rc-decision-support-tool_concept-library/02_dialog-boxes/03_02_mod_divers_rich.html</v>
      </c>
    </row>
    <row r="62" spans="1:14" ht="14.25" customHeight="1">
      <c r="A62" s="112">
        <v>59</v>
      </c>
      <c r="B62" s="112">
        <v>3</v>
      </c>
      <c r="C62" s="112">
        <v>59</v>
      </c>
      <c r="D62" s="117" t="s">
        <v>4</v>
      </c>
      <c r="E62" s="112" t="s">
        <v>6206</v>
      </c>
      <c r="F62" s="112" t="s">
        <v>984</v>
      </c>
      <c r="G62" s="112" t="s">
        <v>5351</v>
      </c>
      <c r="H62" s="112" t="s">
        <v>34</v>
      </c>
      <c r="I62" s="112" t="b">
        <v>1</v>
      </c>
      <c r="J62" s="112" t="s">
        <v>5283</v>
      </c>
      <c r="K62" s="112" t="s">
        <v>984</v>
      </c>
      <c r="L62" s="112" t="str">
        <f t="shared" si="3"/>
        <v>{{ title_i_mod_occupancy }}</v>
      </c>
      <c r="M62" s="112" t="str">
        <f t="shared" si="4"/>
        <v xml:space="preserve">    title_i_mod_occupancy: "Occupancy models"</v>
      </c>
      <c r="N62" s="112" t="str">
        <f t="shared" si="5"/>
        <v>https://ab-rcsc.github.io/rc-decision-support-tool_concept-library/02_dialog-boxes/03_03_mod_occupancy.html</v>
      </c>
    </row>
    <row r="63" spans="1:14" ht="14.25" customHeight="1">
      <c r="A63" s="112">
        <v>60</v>
      </c>
      <c r="B63" s="112">
        <v>3</v>
      </c>
      <c r="C63" s="112">
        <v>60</v>
      </c>
      <c r="D63" s="117" t="s">
        <v>4</v>
      </c>
      <c r="E63" s="112" t="s">
        <v>6206</v>
      </c>
      <c r="F63" s="112" t="s">
        <v>984</v>
      </c>
      <c r="G63" s="112" t="s">
        <v>5354</v>
      </c>
      <c r="H63" s="112" t="s">
        <v>33</v>
      </c>
      <c r="I63" s="112" t="b">
        <v>1</v>
      </c>
      <c r="J63" s="112" t="s">
        <v>32</v>
      </c>
      <c r="K63" s="112" t="s">
        <v>984</v>
      </c>
      <c r="L63" s="112" t="str">
        <f t="shared" si="3"/>
        <v>{{ title_i_mod_rai }}</v>
      </c>
      <c r="M63" s="112" t="str">
        <f t="shared" si="4"/>
        <v xml:space="preserve">    title_i_mod_rai: "Relative abundance indices"</v>
      </c>
      <c r="N63" s="112" t="str">
        <f t="shared" si="5"/>
        <v>https://ab-rcsc.github.io/rc-decision-support-tool_concept-library/02_dialog-boxes/03_04_mod_rai.html</v>
      </c>
    </row>
    <row r="64" spans="1:14" ht="14.25" customHeight="1">
      <c r="A64" s="112">
        <v>61</v>
      </c>
      <c r="B64" s="112">
        <v>4</v>
      </c>
      <c r="C64" s="112" t="e">
        <v>#N/A</v>
      </c>
      <c r="D64" s="117" t="s">
        <v>4</v>
      </c>
      <c r="E64" s="112" t="s">
        <v>6206</v>
      </c>
      <c r="F64" s="112" t="s">
        <v>984</v>
      </c>
      <c r="G64" s="112" t="s">
        <v>5365</v>
      </c>
      <c r="H64" s="112" t="s">
        <v>432</v>
      </c>
      <c r="I64" s="112" t="b">
        <v>1</v>
      </c>
      <c r="J64" s="112" t="s">
        <v>5286</v>
      </c>
      <c r="K64" s="112" t="s">
        <v>984</v>
      </c>
      <c r="L64" s="112" t="str">
        <f t="shared" si="3"/>
        <v>{{ title_i_mod_rai_poisson }}</v>
      </c>
      <c r="M64" s="112" t="str">
        <f t="shared" si="4"/>
        <v xml:space="preserve">    title_i_mod_rai_poisson: "Relative abundance indices - Poisson"</v>
      </c>
      <c r="N64" s="112" t="str">
        <f t="shared" si="5"/>
        <v>https://ab-rcsc.github.io/rc-decision-support-tool_concept-library/02_dialog-boxes/03_05_mod_rai_poisson.html</v>
      </c>
    </row>
    <row r="65" spans="1:14" ht="14.25" customHeight="1">
      <c r="A65" s="112">
        <v>62</v>
      </c>
      <c r="B65" s="112">
        <v>4</v>
      </c>
      <c r="C65" s="112" t="e">
        <v>#N/A</v>
      </c>
      <c r="D65" s="117" t="s">
        <v>4</v>
      </c>
      <c r="E65" s="112" t="s">
        <v>6206</v>
      </c>
      <c r="F65" s="112" t="s">
        <v>984</v>
      </c>
      <c r="G65" s="112" t="s">
        <v>5356</v>
      </c>
      <c r="H65" s="112" t="s">
        <v>450</v>
      </c>
      <c r="I65" s="112" t="b">
        <v>1</v>
      </c>
      <c r="J65" s="112" t="s">
        <v>5288</v>
      </c>
      <c r="K65" s="112" t="s">
        <v>984</v>
      </c>
      <c r="L65" s="112" t="str">
        <f t="shared" si="3"/>
        <v>{{ title_i_mod_rai_zip }}</v>
      </c>
      <c r="M65" s="112" t="str">
        <f t="shared" si="4"/>
        <v xml:space="preserve">    title_i_mod_rai_zip: "Relative abundance indices - Zero-inflated poisson (ZIP)"</v>
      </c>
      <c r="N65" s="112" t="str">
        <f t="shared" si="5"/>
        <v>https://ab-rcsc.github.io/rc-decision-support-tool_concept-library/02_dialog-boxes/03_06_mod_rai_zip.html</v>
      </c>
    </row>
    <row r="66" spans="1:14" ht="14.25" customHeight="1">
      <c r="A66" s="112">
        <v>63</v>
      </c>
      <c r="B66" s="112">
        <v>4</v>
      </c>
      <c r="C66" s="112" t="e">
        <v>#N/A</v>
      </c>
      <c r="D66" s="117" t="s">
        <v>4</v>
      </c>
      <c r="E66" s="112" t="s">
        <v>6206</v>
      </c>
      <c r="F66" s="112" t="s">
        <v>984</v>
      </c>
      <c r="G66" s="112" t="s">
        <v>5353</v>
      </c>
      <c r="H66" s="112" t="s">
        <v>449</v>
      </c>
      <c r="I66" s="112" t="b">
        <v>1</v>
      </c>
      <c r="J66" s="112" t="s">
        <v>5285</v>
      </c>
      <c r="K66" s="112" t="s">
        <v>984</v>
      </c>
      <c r="L66" s="112" t="str">
        <f t="shared" ref="L66:L84" si="6">"{{ title_i_"&amp;H66&amp;" }}"</f>
        <v>{{ title_i_mod_rai_nb }}</v>
      </c>
      <c r="M66" s="112" t="str">
        <f t="shared" ref="M66:M84" si="7">IF(I66=TRUE,("    title_i_"&amp;H66&amp;": "&amp;""""&amp;J66&amp;""""),"-")</f>
        <v xml:space="preserve">    title_i_mod_rai_nb: "Relative abundance indices - Negative binomial (NB)"</v>
      </c>
      <c r="N66" s="112" t="str">
        <f t="shared" ref="N66:N84" si="8">IF(I66=TRUE,("https://ab-rcsc.github.io/rc-decision-support-tool_concept-library/02_dialog-boxes/"&amp;G66&amp;".html"),"-")</f>
        <v>https://ab-rcsc.github.io/rc-decision-support-tool_concept-library/02_dialog-boxes/03_07_mod_rai_nb.html</v>
      </c>
    </row>
    <row r="67" spans="1:14" ht="14.25" customHeight="1">
      <c r="A67" s="112">
        <v>64</v>
      </c>
      <c r="B67" s="112">
        <v>4</v>
      </c>
      <c r="C67" s="112" t="e">
        <v>#N/A</v>
      </c>
      <c r="D67" s="117" t="s">
        <v>4</v>
      </c>
      <c r="E67" s="112" t="s">
        <v>6206</v>
      </c>
      <c r="F67" s="112" t="s">
        <v>984</v>
      </c>
      <c r="G67" s="112" t="s">
        <v>5355</v>
      </c>
      <c r="H67" s="112" t="s">
        <v>447</v>
      </c>
      <c r="I67" s="112" t="b">
        <v>1</v>
      </c>
      <c r="J67" s="112" t="s">
        <v>5287</v>
      </c>
      <c r="K67" s="112" t="s">
        <v>984</v>
      </c>
      <c r="L67" s="112" t="str">
        <f t="shared" si="6"/>
        <v>{{ title_i_mod_rai_zinb }}</v>
      </c>
      <c r="M67" s="112" t="str">
        <f t="shared" si="7"/>
        <v xml:space="preserve">    title_i_mod_rai_zinb: "Relative abundance indices - Zero-inflated negative binomial (ZINB)"</v>
      </c>
      <c r="N67" s="112" t="str">
        <f t="shared" si="8"/>
        <v>https://ab-rcsc.github.io/rc-decision-support-tool_concept-library/02_dialog-boxes/03_08_mod_rai_zinb.html</v>
      </c>
    </row>
    <row r="68" spans="1:14" ht="14.25" customHeight="1">
      <c r="A68" s="112">
        <v>65</v>
      </c>
      <c r="B68" s="112">
        <v>4</v>
      </c>
      <c r="C68" s="112" t="e">
        <v>#N/A</v>
      </c>
      <c r="D68" s="117" t="s">
        <v>4</v>
      </c>
      <c r="E68" s="112" t="s">
        <v>6206</v>
      </c>
      <c r="F68" s="112" t="s">
        <v>984</v>
      </c>
      <c r="G68" s="112" t="s">
        <v>5352</v>
      </c>
      <c r="H68" s="112" t="s">
        <v>446</v>
      </c>
      <c r="I68" s="112" t="b">
        <v>1</v>
      </c>
      <c r="J68" s="112" t="s">
        <v>5284</v>
      </c>
      <c r="K68" s="112" t="s">
        <v>984</v>
      </c>
      <c r="L68" s="112" t="str">
        <f t="shared" si="6"/>
        <v>{{ title_i_mod_rai_hurdle }}</v>
      </c>
      <c r="M68" s="112" t="str">
        <f t="shared" si="7"/>
        <v xml:space="preserve">    title_i_mod_rai_hurdle: "Relative abundance indices - Hurdle"</v>
      </c>
      <c r="N68" s="112" t="str">
        <f t="shared" si="8"/>
        <v>https://ab-rcsc.github.io/rc-decision-support-tool_concept-library/02_dialog-boxes/03_09_mod_rai_hurdle.html</v>
      </c>
    </row>
    <row r="69" spans="1:14" ht="14.25" customHeight="1">
      <c r="A69" s="112">
        <v>66</v>
      </c>
      <c r="B69" s="112">
        <v>3</v>
      </c>
      <c r="C69" s="112">
        <v>61</v>
      </c>
      <c r="D69" s="116" t="s">
        <v>4</v>
      </c>
      <c r="E69" s="112" t="s">
        <v>6206</v>
      </c>
      <c r="F69" s="112" t="s">
        <v>984</v>
      </c>
      <c r="G69" s="112" t="s">
        <v>5346</v>
      </c>
      <c r="H69" s="112" t="s">
        <v>29</v>
      </c>
      <c r="I69" s="112" t="b">
        <v>1</v>
      </c>
      <c r="J69" s="112" t="s">
        <v>438</v>
      </c>
      <c r="K69" s="112" t="s">
        <v>984</v>
      </c>
      <c r="L69" s="112" t="str">
        <f t="shared" si="6"/>
        <v>{{ title_i_mod_cr_cmr }}</v>
      </c>
      <c r="M69" s="112" t="str">
        <f t="shared" si="7"/>
        <v xml:space="preserve">    title_i_mod_cr_cmr: "Capture-recapture (CR) / Capture-mark-recapture (CMR)"</v>
      </c>
      <c r="N69" s="112" t="str">
        <f t="shared" si="8"/>
        <v>https://ab-rcsc.github.io/rc-decision-support-tool_concept-library/02_dialog-boxes/03_10_mod_cr_cmr.html</v>
      </c>
    </row>
    <row r="70" spans="1:14" ht="14.25" customHeight="1">
      <c r="A70" s="112">
        <v>67</v>
      </c>
      <c r="B70" s="112">
        <v>3</v>
      </c>
      <c r="C70" s="112">
        <v>62</v>
      </c>
      <c r="D70" s="116" t="s">
        <v>4</v>
      </c>
      <c r="E70" s="112" t="s">
        <v>6206</v>
      </c>
      <c r="F70" s="112" t="s">
        <v>984</v>
      </c>
      <c r="G70" s="112" t="s">
        <v>5360</v>
      </c>
      <c r="H70" s="112" t="s">
        <v>28</v>
      </c>
      <c r="I70" s="112" t="b">
        <v>1</v>
      </c>
      <c r="J70" s="112" t="s">
        <v>439</v>
      </c>
      <c r="K70" s="112" t="s">
        <v>984</v>
      </c>
      <c r="L70" s="112" t="str">
        <f t="shared" si="6"/>
        <v>{{ title_i_mod_scr_secr }}</v>
      </c>
      <c r="M70" s="112" t="str">
        <f t="shared" si="7"/>
        <v xml:space="preserve">    title_i_mod_scr_secr: "Spatial capture-recapture (SCR) / Spatially explicit capture recapture (SECR)"</v>
      </c>
      <c r="N70" s="112" t="str">
        <f t="shared" si="8"/>
        <v>https://ab-rcsc.github.io/rc-decision-support-tool_concept-library/02_dialog-boxes/03_11_mod_scr_secr.html</v>
      </c>
    </row>
    <row r="71" spans="1:14" ht="14.25" customHeight="1">
      <c r="A71" s="112">
        <v>69</v>
      </c>
      <c r="B71" s="112">
        <v>3</v>
      </c>
      <c r="C71" s="112">
        <v>63</v>
      </c>
      <c r="D71" s="164" t="s">
        <v>4</v>
      </c>
      <c r="E71" s="112" t="s">
        <v>6206</v>
      </c>
      <c r="F71" s="112" t="s">
        <v>984</v>
      </c>
      <c r="G71" s="112" t="s">
        <v>5361</v>
      </c>
      <c r="H71" s="112" t="s">
        <v>25</v>
      </c>
      <c r="I71" s="112" t="b">
        <v>1</v>
      </c>
      <c r="J71" s="112" t="s">
        <v>24</v>
      </c>
      <c r="K71" s="112" t="s">
        <v>984</v>
      </c>
      <c r="L71" s="112" t="str">
        <f t="shared" si="6"/>
        <v>{{ title_i_mod_smr }}</v>
      </c>
      <c r="M71" s="112" t="str">
        <f t="shared" si="7"/>
        <v xml:space="preserve">    title_i_mod_smr: "Spatial mark-resight "</v>
      </c>
      <c r="N71" s="112" t="str">
        <f t="shared" si="8"/>
        <v>https://ab-rcsc.github.io/rc-decision-support-tool_concept-library/02_dialog-boxes/03_13_mod_smr.html</v>
      </c>
    </row>
    <row r="72" spans="1:14" ht="14.25" customHeight="1">
      <c r="A72" s="112">
        <v>70</v>
      </c>
      <c r="B72" s="112">
        <v>3</v>
      </c>
      <c r="C72" s="112">
        <v>64</v>
      </c>
      <c r="D72" s="164" t="s">
        <v>4</v>
      </c>
      <c r="E72" s="112" t="s">
        <v>6206</v>
      </c>
      <c r="F72" s="112" t="s">
        <v>984</v>
      </c>
      <c r="G72" s="112" t="s">
        <v>5359</v>
      </c>
      <c r="H72" s="112" t="s">
        <v>23</v>
      </c>
      <c r="I72" s="112" t="b">
        <v>1</v>
      </c>
      <c r="J72" s="112" t="s">
        <v>440</v>
      </c>
      <c r="K72" s="112" t="s">
        <v>984</v>
      </c>
      <c r="L72" s="112" t="str">
        <f t="shared" si="6"/>
        <v>{{ title_i_mod_sc }}</v>
      </c>
      <c r="M72" s="112" t="str">
        <f t="shared" si="7"/>
        <v xml:space="preserve">    title_i_mod_sc: "Spatial count (SC) model / Unmarked spatial capture-recapture"</v>
      </c>
      <c r="N72" s="112" t="str">
        <f t="shared" si="8"/>
        <v>https://ab-rcsc.github.io/rc-decision-support-tool_concept-library/02_dialog-boxes/03_14_mod_sc.html</v>
      </c>
    </row>
    <row r="73" spans="1:14" ht="14.25" customHeight="1">
      <c r="A73" s="112">
        <v>71</v>
      </c>
      <c r="B73" s="112">
        <v>3</v>
      </c>
      <c r="C73" s="112">
        <v>65</v>
      </c>
      <c r="D73" s="164" t="s">
        <v>4</v>
      </c>
      <c r="E73" s="112" t="s">
        <v>6206</v>
      </c>
      <c r="F73" s="112" t="s">
        <v>984</v>
      </c>
      <c r="G73" s="112" t="s">
        <v>5345</v>
      </c>
      <c r="H73" s="112" t="s">
        <v>22</v>
      </c>
      <c r="I73" s="112" t="b">
        <v>1</v>
      </c>
      <c r="J73" s="112" t="s">
        <v>5282</v>
      </c>
      <c r="K73" s="112" t="s">
        <v>984</v>
      </c>
      <c r="L73" s="112" t="str">
        <f t="shared" si="6"/>
        <v>{{ title_i_mod_catspim }}</v>
      </c>
      <c r="M73" s="112" t="str">
        <f t="shared" si="7"/>
        <v xml:space="preserve">    title_i_mod_catspim: "Spatial Partial Identity Model (Categorical SPIM; catSPIM)"</v>
      </c>
      <c r="N73" s="112" t="str">
        <f t="shared" si="8"/>
        <v>https://ab-rcsc.github.io/rc-decision-support-tool_concept-library/02_dialog-boxes/03_15_mod_catspim.html</v>
      </c>
    </row>
    <row r="74" spans="1:14" ht="14.25" customHeight="1">
      <c r="A74" s="112">
        <v>72</v>
      </c>
      <c r="B74" s="112">
        <v>3</v>
      </c>
      <c r="C74" s="112">
        <v>66</v>
      </c>
      <c r="D74" s="164" t="s">
        <v>4</v>
      </c>
      <c r="E74" s="112" t="s">
        <v>6206</v>
      </c>
      <c r="F74" s="112" t="s">
        <v>984</v>
      </c>
      <c r="G74" s="112" t="s">
        <v>5343</v>
      </c>
      <c r="H74" s="112" t="s">
        <v>21</v>
      </c>
      <c r="I74" s="112" t="b">
        <v>1</v>
      </c>
      <c r="J74" s="112" t="s">
        <v>5281</v>
      </c>
      <c r="K74" s="112" t="s">
        <v>984</v>
      </c>
      <c r="L74" s="112" t="str">
        <f t="shared" si="6"/>
        <v>{{ title_i_mod_2flankspim }}</v>
      </c>
      <c r="M74" s="112" t="str">
        <f t="shared" si="7"/>
        <v xml:space="preserve">    title_i_mod_2flankspim: "Spatial Partial Identity Model (2-flank SPIM)"</v>
      </c>
      <c r="N74" s="112" t="str">
        <f t="shared" si="8"/>
        <v>https://ab-rcsc.github.io/rc-decision-support-tool_concept-library/02_dialog-boxes/03_16_mod_2flankspim.html</v>
      </c>
    </row>
    <row r="75" spans="1:14" ht="14.25" customHeight="1">
      <c r="A75" s="112">
        <v>73</v>
      </c>
      <c r="B75" s="112">
        <v>3</v>
      </c>
      <c r="C75" s="112">
        <v>67</v>
      </c>
      <c r="D75" s="164" t="s">
        <v>4</v>
      </c>
      <c r="E75" s="112" t="s">
        <v>6206</v>
      </c>
      <c r="F75" s="112" t="s">
        <v>984</v>
      </c>
      <c r="G75" s="112" t="s">
        <v>5357</v>
      </c>
      <c r="H75" s="112" t="s">
        <v>16</v>
      </c>
      <c r="I75" s="112" t="b">
        <v>1</v>
      </c>
      <c r="J75" s="112" t="s">
        <v>15</v>
      </c>
      <c r="K75" s="112" t="s">
        <v>984</v>
      </c>
      <c r="L75" s="112" t="str">
        <f t="shared" si="6"/>
        <v>{{ title_i_mod_rem }}</v>
      </c>
      <c r="M75" s="112" t="str">
        <f t="shared" si="7"/>
        <v xml:space="preserve">    title_i_mod_rem: "Random encounter model (REM)"</v>
      </c>
      <c r="N75" s="112" t="str">
        <f t="shared" si="8"/>
        <v>https://ab-rcsc.github.io/rc-decision-support-tool_concept-library/02_dialog-boxes/03_17_mod_rem.html</v>
      </c>
    </row>
    <row r="76" spans="1:14" ht="14.25" customHeight="1">
      <c r="A76" s="112">
        <v>74</v>
      </c>
      <c r="B76" s="112">
        <v>3</v>
      </c>
      <c r="C76" s="112">
        <v>68</v>
      </c>
      <c r="D76" s="164" t="s">
        <v>4</v>
      </c>
      <c r="E76" s="112" t="s">
        <v>6206</v>
      </c>
      <c r="F76" s="112" t="s">
        <v>984</v>
      </c>
      <c r="G76" s="112" t="s">
        <v>5358</v>
      </c>
      <c r="H76" s="112" t="s">
        <v>14</v>
      </c>
      <c r="I76" s="112" t="b">
        <v>1</v>
      </c>
      <c r="J76" s="112" t="s">
        <v>13</v>
      </c>
      <c r="K76" s="112" t="s">
        <v>984</v>
      </c>
      <c r="L76" s="112" t="str">
        <f t="shared" si="6"/>
        <v>{{ title_i_mod_rest }}</v>
      </c>
      <c r="M76" s="112" t="str">
        <f t="shared" si="7"/>
        <v xml:space="preserve">    title_i_mod_rest: "Random encounter and staying time (REST)"</v>
      </c>
      <c r="N76" s="112" t="str">
        <f t="shared" si="8"/>
        <v>https://ab-rcsc.github.io/rc-decision-support-tool_concept-library/02_dialog-boxes/03_18_mod_rest.html</v>
      </c>
    </row>
    <row r="77" spans="1:14" ht="14.25" customHeight="1">
      <c r="A77" s="112">
        <v>75</v>
      </c>
      <c r="B77" s="112">
        <v>3</v>
      </c>
      <c r="C77" s="112">
        <v>69</v>
      </c>
      <c r="D77" s="116" t="s">
        <v>4</v>
      </c>
      <c r="E77" s="112" t="s">
        <v>6206</v>
      </c>
      <c r="F77" s="112" t="s">
        <v>984</v>
      </c>
      <c r="G77" s="112" t="s">
        <v>5363</v>
      </c>
      <c r="H77" s="112" t="s">
        <v>12</v>
      </c>
      <c r="I77" s="112" t="b">
        <v>1</v>
      </c>
      <c r="J77" s="112" t="s">
        <v>11</v>
      </c>
      <c r="K77" s="112" t="s">
        <v>984</v>
      </c>
      <c r="L77" s="112" t="str">
        <f t="shared" si="6"/>
        <v>{{ title_i_mod_tifc }}</v>
      </c>
      <c r="M77" s="112" t="str">
        <f t="shared" si="7"/>
        <v xml:space="preserve">    title_i_mod_tifc: "Time in front of the camera (TIFC)"</v>
      </c>
      <c r="N77" s="112" t="str">
        <f t="shared" si="8"/>
        <v>https://ab-rcsc.github.io/rc-decision-support-tool_concept-library/02_dialog-boxes/03_19_mod_tifc.html</v>
      </c>
    </row>
    <row r="78" spans="1:14" ht="14.25" customHeight="1">
      <c r="A78" s="112">
        <v>76</v>
      </c>
      <c r="B78" s="112">
        <v>3</v>
      </c>
      <c r="C78" s="112">
        <v>70</v>
      </c>
      <c r="D78" s="116" t="s">
        <v>4</v>
      </c>
      <c r="E78" s="112" t="s">
        <v>6206</v>
      </c>
      <c r="F78" s="112" t="s">
        <v>984</v>
      </c>
      <c r="G78" s="112" t="s">
        <v>5348</v>
      </c>
      <c r="H78" s="112" t="s">
        <v>10</v>
      </c>
      <c r="I78" s="112" t="b">
        <v>1</v>
      </c>
      <c r="J78" s="112" t="s">
        <v>9</v>
      </c>
      <c r="K78" s="112" t="s">
        <v>984</v>
      </c>
      <c r="L78" s="112" t="str">
        <f t="shared" si="6"/>
        <v>{{ title_i_mod_ds }}</v>
      </c>
      <c r="M78" s="112" t="str">
        <f t="shared" si="7"/>
        <v xml:space="preserve">    title_i_mod_ds: "Distance sampling (DS)"</v>
      </c>
      <c r="N78" s="112" t="str">
        <f t="shared" si="8"/>
        <v>https://ab-rcsc.github.io/rc-decision-support-tool_concept-library/02_dialog-boxes/03_20_mod_ds.html</v>
      </c>
    </row>
    <row r="79" spans="1:14" ht="14.25" customHeight="1">
      <c r="A79" s="112">
        <v>77</v>
      </c>
      <c r="B79" s="112">
        <v>3</v>
      </c>
      <c r="C79" s="112">
        <v>71</v>
      </c>
      <c r="D79" s="116" t="s">
        <v>4</v>
      </c>
      <c r="E79" s="112" t="s">
        <v>6206</v>
      </c>
      <c r="F79" s="112" t="s">
        <v>984</v>
      </c>
      <c r="G79" s="112" t="s">
        <v>5364</v>
      </c>
      <c r="H79" s="112" t="s">
        <v>8</v>
      </c>
      <c r="I79" s="112" t="b">
        <v>1</v>
      </c>
      <c r="J79" s="112" t="s">
        <v>7</v>
      </c>
      <c r="K79" s="112" t="s">
        <v>984</v>
      </c>
      <c r="L79" s="112" t="str">
        <f t="shared" si="6"/>
        <v>{{ title_i_mod_tte }}</v>
      </c>
      <c r="M79" s="112" t="str">
        <f t="shared" si="7"/>
        <v xml:space="preserve">    title_i_mod_tte: "Time-to-event (TTE)"</v>
      </c>
      <c r="N79" s="112" t="str">
        <f t="shared" si="8"/>
        <v>https://ab-rcsc.github.io/rc-decision-support-tool_concept-library/02_dialog-boxes/03_21_mod_tte.html</v>
      </c>
    </row>
    <row r="80" spans="1:14" ht="14.25" customHeight="1">
      <c r="A80" s="112">
        <v>78</v>
      </c>
      <c r="B80" s="112">
        <v>3</v>
      </c>
      <c r="C80" s="112">
        <v>72</v>
      </c>
      <c r="D80" s="116" t="s">
        <v>4</v>
      </c>
      <c r="E80" s="112" t="s">
        <v>6206</v>
      </c>
      <c r="F80" s="112" t="s">
        <v>984</v>
      </c>
      <c r="G80" s="112" t="s">
        <v>5362</v>
      </c>
      <c r="H80" s="112" t="s">
        <v>6</v>
      </c>
      <c r="I80" s="112" t="b">
        <v>1</v>
      </c>
      <c r="J80" s="112" t="s">
        <v>5</v>
      </c>
      <c r="K80" s="112" t="s">
        <v>984</v>
      </c>
      <c r="L80" s="112" t="str">
        <f t="shared" si="6"/>
        <v>{{ title_i_mod_ste }}</v>
      </c>
      <c r="M80" s="112" t="str">
        <f t="shared" si="7"/>
        <v xml:space="preserve">    title_i_mod_ste: "Space-to-event (STE)"</v>
      </c>
      <c r="N80" s="112" t="str">
        <f t="shared" si="8"/>
        <v>https://ab-rcsc.github.io/rc-decision-support-tool_concept-library/02_dialog-boxes/03_22_mod_ste.html</v>
      </c>
    </row>
    <row r="81" spans="1:14" ht="14.25" customHeight="1">
      <c r="A81" s="112">
        <v>79</v>
      </c>
      <c r="B81" s="112">
        <v>3</v>
      </c>
      <c r="C81" s="112">
        <v>73</v>
      </c>
      <c r="D81" s="116" t="s">
        <v>4</v>
      </c>
      <c r="E81" s="112" t="s">
        <v>6206</v>
      </c>
      <c r="F81" s="112" t="s">
        <v>984</v>
      </c>
      <c r="G81" s="112" t="s">
        <v>5350</v>
      </c>
      <c r="H81" s="112" t="s">
        <v>3</v>
      </c>
      <c r="I81" s="112" t="b">
        <v>1</v>
      </c>
      <c r="J81" s="112" t="s">
        <v>2</v>
      </c>
      <c r="K81" s="112" t="s">
        <v>984</v>
      </c>
      <c r="L81" s="112" t="str">
        <f t="shared" si="6"/>
        <v>{{ title_i_mod_is }}</v>
      </c>
      <c r="M81" s="112" t="str">
        <f t="shared" si="7"/>
        <v xml:space="preserve">    title_i_mod_is: "Instantaneous sampling (IS)"</v>
      </c>
      <c r="N81" s="112" t="str">
        <f t="shared" si="8"/>
        <v>https://ab-rcsc.github.io/rc-decision-support-tool_concept-library/02_dialog-boxes/03_23_mod_is.html</v>
      </c>
    </row>
    <row r="82" spans="1:14" ht="14.25" customHeight="1">
      <c r="A82" s="112">
        <v>80</v>
      </c>
      <c r="B82" s="112">
        <v>3</v>
      </c>
      <c r="C82" s="112">
        <v>74</v>
      </c>
      <c r="D82" s="116" t="s">
        <v>4</v>
      </c>
      <c r="E82" s="112" t="s">
        <v>6206</v>
      </c>
      <c r="F82" s="112" t="s">
        <v>984</v>
      </c>
      <c r="G82" s="112" t="s">
        <v>5344</v>
      </c>
      <c r="H82" s="112" t="s">
        <v>31</v>
      </c>
      <c r="I82" s="112" t="b">
        <v>1</v>
      </c>
      <c r="J82" s="112" t="s">
        <v>30</v>
      </c>
      <c r="K82" s="112" t="s">
        <v>984</v>
      </c>
      <c r="L82" s="112" t="str">
        <f t="shared" si="6"/>
        <v>{{ title_i_mod_behaviour }}</v>
      </c>
      <c r="M82" s="112" t="str">
        <f t="shared" si="7"/>
        <v xml:space="preserve">    title_i_mod_behaviour: "Behaviour"</v>
      </c>
      <c r="N82" s="112" t="str">
        <f t="shared" si="8"/>
        <v>https://ab-rcsc.github.io/rc-decision-support-tool_concept-library/02_dialog-boxes/03_24_mod_behaviour.html</v>
      </c>
    </row>
    <row r="83" spans="1:14" ht="14.25" customHeight="1">
      <c r="A83" s="112" t="s">
        <v>984</v>
      </c>
      <c r="B83" s="112">
        <v>2</v>
      </c>
      <c r="C83" s="112">
        <v>77</v>
      </c>
      <c r="D83" s="116" t="s">
        <v>984</v>
      </c>
      <c r="E83" s="112" t="s">
        <v>6206</v>
      </c>
      <c r="F83" s="112" t="s">
        <v>984</v>
      </c>
      <c r="G83" s="112" t="s">
        <v>6512</v>
      </c>
      <c r="H83" s="119" t="s">
        <v>6511</v>
      </c>
      <c r="I83" s="112" t="s">
        <v>984</v>
      </c>
      <c r="J83" s="119" t="s">
        <v>6228</v>
      </c>
      <c r="K83" s="112" t="s">
        <v>984</v>
      </c>
      <c r="L83" s="112" t="str">
        <f t="shared" si="6"/>
        <v>{{ title_i_references }}</v>
      </c>
      <c r="M83" s="112" t="str">
        <f t="shared" si="7"/>
        <v>-</v>
      </c>
      <c r="N83" s="112" t="str">
        <f t="shared" si="8"/>
        <v>-</v>
      </c>
    </row>
    <row r="84" spans="1:14" ht="14.25" customHeight="1">
      <c r="A84" s="112" t="s">
        <v>984</v>
      </c>
      <c r="B84" s="112">
        <v>2</v>
      </c>
      <c r="C84" s="112">
        <v>78</v>
      </c>
      <c r="D84" s="116" t="s">
        <v>984</v>
      </c>
      <c r="E84" s="112" t="s">
        <v>984</v>
      </c>
      <c r="F84" s="112" t="s">
        <v>984</v>
      </c>
      <c r="G84" s="112" t="s">
        <v>6521</v>
      </c>
      <c r="H84" s="119" t="s">
        <v>6520</v>
      </c>
      <c r="I84" s="112" t="s">
        <v>984</v>
      </c>
      <c r="J84" s="119" t="s">
        <v>6243</v>
      </c>
      <c r="K84" s="112" t="s">
        <v>984</v>
      </c>
      <c r="L84" s="112" t="str">
        <f t="shared" si="6"/>
        <v>{{ title_i_glossary }}</v>
      </c>
      <c r="M84" s="112" t="str">
        <f t="shared" si="7"/>
        <v>-</v>
      </c>
      <c r="N84" s="112" t="str">
        <f t="shared" si="8"/>
        <v>-</v>
      </c>
    </row>
    <row r="85" spans="1:14" ht="14.25" customHeight="1">
      <c r="A85"/>
      <c r="B85"/>
      <c r="C85"/>
      <c r="D85"/>
      <c r="E85"/>
      <c r="F85"/>
      <c r="G85"/>
      <c r="H85"/>
      <c r="I85"/>
      <c r="J85"/>
      <c r="K85"/>
      <c r="L85"/>
      <c r="M85"/>
      <c r="N85"/>
    </row>
    <row r="86" spans="1:14" ht="14.25" customHeight="1">
      <c r="A86"/>
      <c r="B86"/>
      <c r="C86"/>
      <c r="D86"/>
      <c r="E86"/>
      <c r="F86"/>
      <c r="G86"/>
      <c r="H86"/>
      <c r="I86"/>
      <c r="J86"/>
      <c r="K86"/>
      <c r="L86"/>
      <c r="M86"/>
      <c r="N86"/>
    </row>
    <row r="87" spans="1:14" ht="14.25" customHeight="1">
      <c r="A87"/>
      <c r="B87"/>
      <c r="C87"/>
      <c r="D87"/>
      <c r="E87"/>
      <c r="F87"/>
      <c r="G87"/>
      <c r="H87"/>
      <c r="I87"/>
      <c r="J87"/>
      <c r="K87"/>
      <c r="L87"/>
      <c r="M87"/>
      <c r="N87"/>
    </row>
    <row r="88" spans="1:14" ht="14.25" customHeight="1">
      <c r="A88"/>
      <c r="B88"/>
      <c r="C88"/>
      <c r="D88"/>
      <c r="E88"/>
      <c r="F88"/>
      <c r="G88"/>
      <c r="H88"/>
      <c r="I88"/>
      <c r="J88"/>
      <c r="K88"/>
      <c r="L88"/>
      <c r="M88"/>
      <c r="N88"/>
    </row>
    <row r="89" spans="1:14" ht="14.25" customHeight="1">
      <c r="A89"/>
      <c r="B89"/>
      <c r="C89"/>
      <c r="D89"/>
      <c r="E89"/>
      <c r="F89"/>
      <c r="G89"/>
      <c r="H89"/>
      <c r="I89"/>
      <c r="J89"/>
      <c r="K89"/>
      <c r="L89"/>
      <c r="M89"/>
      <c r="N89"/>
    </row>
    <row r="90" spans="1:14" ht="14.25" customHeight="1">
      <c r="A90"/>
      <c r="B90"/>
      <c r="C90"/>
      <c r="D90"/>
      <c r="E90"/>
      <c r="F90"/>
      <c r="G90"/>
      <c r="H90"/>
      <c r="I90"/>
      <c r="J90"/>
      <c r="K90"/>
      <c r="L90"/>
      <c r="M90"/>
      <c r="N90"/>
    </row>
    <row r="91" spans="1:14" ht="14.25" customHeight="1">
      <c r="A91"/>
      <c r="B91"/>
      <c r="C91"/>
      <c r="D91"/>
      <c r="E91"/>
      <c r="F91"/>
      <c r="G91"/>
      <c r="H91"/>
      <c r="I91"/>
      <c r="J91"/>
      <c r="K91"/>
      <c r="L91"/>
      <c r="M91"/>
      <c r="N91"/>
    </row>
    <row r="92" spans="1:14" ht="14.25" customHeight="1">
      <c r="A92"/>
      <c r="B92"/>
      <c r="C92"/>
      <c r="D92"/>
      <c r="E92"/>
      <c r="F92"/>
      <c r="G92"/>
      <c r="H92"/>
      <c r="I92"/>
      <c r="J92"/>
      <c r="K92"/>
      <c r="L92"/>
      <c r="M92"/>
      <c r="N92"/>
    </row>
    <row r="93" spans="1:14" ht="14.25" customHeight="1">
      <c r="G93"/>
    </row>
    <row r="94" spans="1:14" ht="14.25" customHeight="1">
      <c r="G94"/>
    </row>
    <row r="95" spans="1:14" ht="14.25" customHeight="1">
      <c r="G95"/>
    </row>
    <row r="96" spans="1:14" ht="14.25" customHeight="1">
      <c r="G96"/>
    </row>
    <row r="97" spans="7:7" ht="14.25" customHeight="1">
      <c r="G97"/>
    </row>
    <row r="98" spans="7:7" ht="14.25" customHeight="1">
      <c r="G98"/>
    </row>
    <row r="99" spans="7:7" ht="14.25" customHeight="1">
      <c r="G99"/>
    </row>
    <row r="100" spans="7:7" ht="14.25" customHeight="1">
      <c r="G100"/>
    </row>
    <row r="101" spans="7:7" ht="14.25" customHeight="1">
      <c r="G101"/>
    </row>
    <row r="102" spans="7:7" ht="14.25" customHeight="1">
      <c r="G102"/>
    </row>
    <row r="103" spans="7:7" ht="14.25" customHeight="1">
      <c r="G103"/>
    </row>
    <row r="104" spans="7:7" ht="14.25" customHeight="1"/>
    <row r="105" spans="7:7" ht="14.25" customHeight="1"/>
    <row r="106" spans="7:7" ht="14.25" customHeight="1"/>
    <row r="107" spans="7:7" ht="14.25" customHeight="1"/>
    <row r="108" spans="7:7" ht="14.25" customHeight="1"/>
    <row r="109" spans="7:7" ht="14.25" customHeight="1"/>
    <row r="110" spans="7:7" ht="14.25" customHeight="1"/>
    <row r="111" spans="7:7" ht="14.25" customHeight="1"/>
    <row r="112" spans="7:7"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sheetData>
  <autoFilter ref="A1:N84" xr:uid="{B1F2C36C-AEF4-4690-B216-D74A6519B0AD}">
    <sortState xmlns:xlrd2="http://schemas.microsoft.com/office/spreadsheetml/2017/richdata2" ref="A2:N84">
      <sortCondition ref="G1:G84"/>
    </sortState>
  </autoFilter>
  <conditionalFormatting sqref="H1">
    <cfRule type="duplicateValues" dxfId="15" priority="11"/>
  </conditionalFormatting>
  <conditionalFormatting sqref="H17">
    <cfRule type="duplicateValues" dxfId="14" priority="10"/>
  </conditionalFormatting>
  <conditionalFormatting sqref="H19">
    <cfRule type="duplicateValues" dxfId="13" priority="9"/>
  </conditionalFormatting>
  <conditionalFormatting sqref="H47">
    <cfRule type="duplicateValues" dxfId="12" priority="6"/>
  </conditionalFormatting>
  <conditionalFormatting sqref="H48">
    <cfRule type="duplicateValues" dxfId="11" priority="5"/>
  </conditionalFormatting>
  <conditionalFormatting sqref="H51">
    <cfRule type="duplicateValues" dxfId="10" priority="8"/>
  </conditionalFormatting>
  <conditionalFormatting sqref="H53:H57">
    <cfRule type="duplicateValues" dxfId="9" priority="55"/>
  </conditionalFormatting>
  <conditionalFormatting sqref="H72">
    <cfRule type="duplicateValues" dxfId="8" priority="2"/>
  </conditionalFormatting>
  <conditionalFormatting sqref="H77:H80">
    <cfRule type="duplicateValues" dxfId="7" priority="1"/>
  </conditionalFormatting>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54A0-392C-48F2-89E3-6E8474AB090B}">
  <dimension ref="A1:Q14"/>
  <sheetViews>
    <sheetView workbookViewId="0">
      <selection activeCell="K38" sqref="K38"/>
    </sheetView>
  </sheetViews>
  <sheetFormatPr defaultRowHeight="14.25"/>
  <sheetData>
    <row r="1" spans="1:17" s="112" customFormat="1" ht="14.25" customHeight="1">
      <c r="A1" s="114" t="s">
        <v>6533</v>
      </c>
      <c r="B1" s="147" t="s">
        <v>6525</v>
      </c>
      <c r="C1" s="146" t="s">
        <v>6524</v>
      </c>
      <c r="D1" s="150" t="s">
        <v>1210</v>
      </c>
      <c r="E1" s="128" t="s">
        <v>6532</v>
      </c>
      <c r="F1" s="128" t="s">
        <v>1143</v>
      </c>
      <c r="G1" s="147" t="s">
        <v>6531</v>
      </c>
      <c r="H1" s="149" t="s">
        <v>6569</v>
      </c>
      <c r="I1" s="147" t="s">
        <v>6570</v>
      </c>
      <c r="J1" s="128" t="s">
        <v>6529</v>
      </c>
      <c r="K1" s="114" t="s">
        <v>6528</v>
      </c>
      <c r="L1" s="128" t="s">
        <v>6530</v>
      </c>
      <c r="M1" s="128" t="s">
        <v>6527</v>
      </c>
      <c r="N1" s="148" t="s">
        <v>6526</v>
      </c>
      <c r="O1" s="114"/>
      <c r="P1" s="114"/>
      <c r="Q1" s="114"/>
    </row>
    <row r="2" spans="1:17" s="112" customFormat="1" ht="14.25" customHeight="1">
      <c r="A2" s="112" t="s">
        <v>984</v>
      </c>
      <c r="B2" s="112">
        <v>1</v>
      </c>
      <c r="C2" s="112">
        <v>10</v>
      </c>
      <c r="D2" s="116" t="s">
        <v>6506</v>
      </c>
      <c r="E2" s="112" t="s">
        <v>984</v>
      </c>
      <c r="F2" s="112" t="s">
        <v>984</v>
      </c>
      <c r="G2" s="112" t="s">
        <v>984</v>
      </c>
      <c r="H2" s="119" t="s">
        <v>6522</v>
      </c>
      <c r="I2" s="112" t="s">
        <v>984</v>
      </c>
      <c r="J2" s="119" t="s">
        <v>6214</v>
      </c>
      <c r="K2" s="112" t="s">
        <v>984</v>
      </c>
      <c r="L2" s="112" t="str">
        <f t="shared" ref="L2:L14" si="0">"{{ title_i_"&amp;H2&amp;" }}"</f>
        <v>{{ title_i_duration_timing }}</v>
      </c>
      <c r="M2" s="112" t="str">
        <f t="shared" ref="M2:M14" si="1">IF(I2=TRUE,("    title_i_"&amp;H2&amp;": "&amp;""""&amp;J2&amp;""""),"-")</f>
        <v>-</v>
      </c>
      <c r="N2" s="112" t="str">
        <f t="shared" ref="N2:N14" si="2">IF(I2=TRUE,("https://ab-rcsc.github.io/rc-decision-support-tool_concept-library/02_dialog-boxes/"&amp;G2&amp;".html"),"-")</f>
        <v>-</v>
      </c>
    </row>
    <row r="3" spans="1:17" s="112" customFormat="1" ht="14.25" customHeight="1">
      <c r="A3" s="112" t="s">
        <v>984</v>
      </c>
      <c r="B3" s="112">
        <v>1</v>
      </c>
      <c r="C3" s="112">
        <v>1</v>
      </c>
      <c r="D3" s="116" t="s">
        <v>6506</v>
      </c>
      <c r="E3" s="112" t="s">
        <v>984</v>
      </c>
      <c r="F3" s="112" t="s">
        <v>984</v>
      </c>
      <c r="G3" s="112" t="s">
        <v>984</v>
      </c>
      <c r="H3" s="119" t="s">
        <v>6519</v>
      </c>
      <c r="I3" s="112" t="s">
        <v>984</v>
      </c>
      <c r="J3" s="119" t="s">
        <v>6208</v>
      </c>
      <c r="K3" s="112" t="s">
        <v>984</v>
      </c>
      <c r="L3" s="112" t="str">
        <f t="shared" si="0"/>
        <v>{{ title_i_objective_resources }}</v>
      </c>
      <c r="M3" s="112" t="str">
        <f t="shared" si="1"/>
        <v>-</v>
      </c>
      <c r="N3" s="112" t="str">
        <f t="shared" si="2"/>
        <v>-</v>
      </c>
    </row>
    <row r="4" spans="1:17" s="112" customFormat="1" ht="14.25" customHeight="1">
      <c r="A4" s="112" t="s">
        <v>984</v>
      </c>
      <c r="B4" s="112">
        <v>1</v>
      </c>
      <c r="C4" s="112">
        <v>54</v>
      </c>
      <c r="D4" s="116" t="s">
        <v>6506</v>
      </c>
      <c r="E4" s="112" t="s">
        <v>6206</v>
      </c>
      <c r="F4" s="112" t="s">
        <v>984</v>
      </c>
      <c r="G4" s="112" t="s">
        <v>984</v>
      </c>
      <c r="H4" s="119" t="s">
        <v>6518</v>
      </c>
      <c r="I4" s="112" t="s">
        <v>984</v>
      </c>
      <c r="J4" s="119" t="s">
        <v>6205</v>
      </c>
      <c r="K4" s="112" t="s">
        <v>984</v>
      </c>
      <c r="L4" s="112" t="str">
        <f t="shared" si="0"/>
        <v>{{ title_i_recommendations }}</v>
      </c>
      <c r="M4" s="112" t="str">
        <f t="shared" si="1"/>
        <v>-</v>
      </c>
      <c r="N4" s="112" t="str">
        <f t="shared" si="2"/>
        <v>-</v>
      </c>
    </row>
    <row r="5" spans="1:17" s="112" customFormat="1" ht="14.25" customHeight="1">
      <c r="A5" s="112" t="s">
        <v>984</v>
      </c>
      <c r="B5" s="112">
        <v>2</v>
      </c>
      <c r="C5" s="112">
        <v>75</v>
      </c>
      <c r="D5" s="116" t="s">
        <v>6506</v>
      </c>
      <c r="E5" s="112" t="s">
        <v>6206</v>
      </c>
      <c r="F5" s="112" t="s">
        <v>984</v>
      </c>
      <c r="G5" s="112" t="s">
        <v>984</v>
      </c>
      <c r="H5" s="119" t="s">
        <v>6517</v>
      </c>
      <c r="I5" s="112" t="s">
        <v>984</v>
      </c>
      <c r="J5" s="119" t="s">
        <v>6516</v>
      </c>
      <c r="K5" s="112" t="s">
        <v>984</v>
      </c>
      <c r="L5" s="112" t="str">
        <f t="shared" si="0"/>
        <v>{{ title_i_recommendations_considersations }}</v>
      </c>
      <c r="M5" s="112" t="str">
        <f t="shared" si="1"/>
        <v>-</v>
      </c>
      <c r="N5" s="112" t="str">
        <f t="shared" si="2"/>
        <v>-</v>
      </c>
    </row>
    <row r="6" spans="1:17" s="112" customFormat="1" ht="14.25" customHeight="1">
      <c r="A6" s="112" t="s">
        <v>984</v>
      </c>
      <c r="B6" s="112">
        <v>2</v>
      </c>
      <c r="C6" s="112">
        <v>56</v>
      </c>
      <c r="D6" s="116" t="s">
        <v>6506</v>
      </c>
      <c r="E6" s="112" t="s">
        <v>6206</v>
      </c>
      <c r="F6" s="112" t="s">
        <v>984</v>
      </c>
      <c r="G6" s="112" t="s">
        <v>984</v>
      </c>
      <c r="H6" s="119" t="s">
        <v>6515</v>
      </c>
      <c r="I6" s="112" t="s">
        <v>984</v>
      </c>
      <c r="J6" s="119" t="s">
        <v>6514</v>
      </c>
      <c r="K6" s="112" t="s">
        <v>984</v>
      </c>
      <c r="L6" s="112" t="str">
        <f t="shared" si="0"/>
        <v>{{ title_i_recommendations_modelling_approach }}</v>
      </c>
      <c r="M6" s="112" t="str">
        <f t="shared" si="1"/>
        <v>-</v>
      </c>
      <c r="N6" s="112" t="str">
        <f t="shared" si="2"/>
        <v>-</v>
      </c>
    </row>
    <row r="7" spans="1:17" s="112" customFormat="1" ht="14.25" customHeight="1">
      <c r="A7" s="112" t="s">
        <v>984</v>
      </c>
      <c r="B7" s="112">
        <v>2</v>
      </c>
      <c r="C7" s="112">
        <v>55</v>
      </c>
      <c r="D7" s="116" t="s">
        <v>6506</v>
      </c>
      <c r="E7" s="112" t="s">
        <v>6206</v>
      </c>
      <c r="F7" s="112" t="s">
        <v>984</v>
      </c>
      <c r="G7" s="112" t="s">
        <v>984</v>
      </c>
      <c r="H7" s="119" t="s">
        <v>6513</v>
      </c>
      <c r="I7" s="112" t="s">
        <v>984</v>
      </c>
      <c r="J7" s="119" t="s">
        <v>6443</v>
      </c>
      <c r="K7" s="112" t="s">
        <v>984</v>
      </c>
      <c r="L7" s="112" t="str">
        <f t="shared" si="0"/>
        <v>{{ title_i_recommendations_study_design }}</v>
      </c>
      <c r="M7" s="112" t="str">
        <f t="shared" si="1"/>
        <v>-</v>
      </c>
      <c r="N7" s="112" t="str">
        <f t="shared" si="2"/>
        <v>-</v>
      </c>
    </row>
    <row r="8" spans="1:17" s="112" customFormat="1" ht="14.25" customHeight="1">
      <c r="A8" s="112" t="s">
        <v>984</v>
      </c>
      <c r="B8" s="112">
        <v>1</v>
      </c>
      <c r="C8" s="112">
        <v>76</v>
      </c>
      <c r="D8" s="116" t="s">
        <v>6506</v>
      </c>
      <c r="E8" s="112" t="s">
        <v>984</v>
      </c>
      <c r="F8" s="112" t="s">
        <v>984</v>
      </c>
      <c r="G8" s="112" t="s">
        <v>984</v>
      </c>
      <c r="H8" s="119" t="s">
        <v>6510</v>
      </c>
      <c r="I8" s="112" t="s">
        <v>984</v>
      </c>
      <c r="J8" s="119" t="s">
        <v>6509</v>
      </c>
      <c r="K8" s="112" t="s">
        <v>984</v>
      </c>
      <c r="L8" s="112" t="str">
        <f t="shared" si="0"/>
        <v>{{ title_i_references_glossary }}</v>
      </c>
      <c r="M8" s="112" t="str">
        <f t="shared" si="1"/>
        <v>-</v>
      </c>
      <c r="N8" s="112" t="str">
        <f t="shared" si="2"/>
        <v>-</v>
      </c>
    </row>
    <row r="9" spans="1:17" s="112" customFormat="1" ht="14.25" customHeight="1">
      <c r="A9" s="112" t="s">
        <v>984</v>
      </c>
      <c r="B9" s="112">
        <v>1</v>
      </c>
      <c r="C9" s="112">
        <v>5</v>
      </c>
      <c r="D9" s="112" t="s">
        <v>6506</v>
      </c>
      <c r="E9" s="119" t="s">
        <v>6204</v>
      </c>
      <c r="F9" s="112" t="s">
        <v>984</v>
      </c>
      <c r="G9" s="112" t="s">
        <v>984</v>
      </c>
      <c r="H9" s="119" t="s">
        <v>6508</v>
      </c>
      <c r="I9" s="112" t="s">
        <v>984</v>
      </c>
      <c r="J9" s="119" t="s">
        <v>6203</v>
      </c>
      <c r="K9" s="112" t="s">
        <v>984</v>
      </c>
      <c r="L9" s="112" t="str">
        <f t="shared" si="0"/>
        <v>{{ title_i_study_area_site_selection_constraints }}</v>
      </c>
      <c r="M9" s="112" t="str">
        <f t="shared" si="1"/>
        <v>-</v>
      </c>
      <c r="N9" s="112" t="str">
        <f t="shared" si="2"/>
        <v>-</v>
      </c>
    </row>
    <row r="10" spans="1:17" s="112" customFormat="1" ht="14.25" customHeight="1">
      <c r="A10" s="112" t="s">
        <v>984</v>
      </c>
      <c r="B10" s="112">
        <v>1</v>
      </c>
      <c r="C10" s="112">
        <v>14</v>
      </c>
      <c r="D10" s="112" t="s">
        <v>6506</v>
      </c>
      <c r="E10" s="112" t="s">
        <v>6202</v>
      </c>
      <c r="F10" s="112" t="s">
        <v>984</v>
      </c>
      <c r="G10" s="112" t="s">
        <v>984</v>
      </c>
      <c r="H10" s="119" t="s">
        <v>240</v>
      </c>
      <c r="I10" s="112" t="s">
        <v>984</v>
      </c>
      <c r="J10" s="119" t="s">
        <v>6190</v>
      </c>
      <c r="K10" s="112" t="s">
        <v>984</v>
      </c>
      <c r="L10" s="112" t="str">
        <f t="shared" si="0"/>
        <v>{{ title_i_target_species }}</v>
      </c>
      <c r="M10" s="112" t="str">
        <f t="shared" si="1"/>
        <v>-</v>
      </c>
      <c r="N10" s="112" t="str">
        <f t="shared" si="2"/>
        <v>-</v>
      </c>
    </row>
    <row r="11" spans="1:17" s="112" customFormat="1" ht="14.25" customHeight="1">
      <c r="A11" s="112" t="s">
        <v>984</v>
      </c>
      <c r="B11" s="112">
        <v>1</v>
      </c>
      <c r="C11" s="112">
        <v>40</v>
      </c>
      <c r="D11" s="112" t="s">
        <v>6506</v>
      </c>
      <c r="E11" s="112" t="s">
        <v>6212</v>
      </c>
      <c r="F11" s="112" t="s">
        <v>984</v>
      </c>
      <c r="G11" s="112" t="s">
        <v>984</v>
      </c>
      <c r="H11" s="119" t="s">
        <v>6568</v>
      </c>
      <c r="I11" s="112" t="s">
        <v>984</v>
      </c>
      <c r="J11" s="119" t="s">
        <v>6211</v>
      </c>
      <c r="K11" s="112" t="s">
        <v>984</v>
      </c>
      <c r="L11" s="112" t="str">
        <f t="shared" si="0"/>
        <v>{{ title_i_equipment_deployment }}</v>
      </c>
      <c r="M11" s="112" t="str">
        <f t="shared" si="1"/>
        <v>-</v>
      </c>
      <c r="N11" s="112" t="str">
        <f t="shared" si="2"/>
        <v>-</v>
      </c>
    </row>
    <row r="12" spans="1:17" s="112" customFormat="1" ht="14.25" customHeight="1">
      <c r="A12" s="112" t="s">
        <v>984</v>
      </c>
      <c r="B12" s="112">
        <v>2</v>
      </c>
      <c r="C12" s="112">
        <v>35</v>
      </c>
      <c r="D12" s="112" t="s">
        <v>6506</v>
      </c>
      <c r="E12" s="112" t="s">
        <v>6202</v>
      </c>
      <c r="F12" s="112" t="s">
        <v>984</v>
      </c>
      <c r="G12" s="112" t="s">
        <v>984</v>
      </c>
      <c r="H12" s="119" t="s">
        <v>6507</v>
      </c>
      <c r="I12" s="112" t="s">
        <v>984</v>
      </c>
      <c r="J12" s="119" t="s">
        <v>6189</v>
      </c>
      <c r="K12" s="112" t="s">
        <v>984</v>
      </c>
      <c r="L12" s="112" t="str">
        <f t="shared" si="0"/>
        <v>{{ title_i_target_species_multiple }}</v>
      </c>
      <c r="M12" s="112" t="str">
        <f t="shared" si="1"/>
        <v>-</v>
      </c>
      <c r="N12" s="112" t="str">
        <f t="shared" si="2"/>
        <v>-</v>
      </c>
    </row>
    <row r="13" spans="1:17" s="112" customFormat="1" ht="14.25" customHeight="1">
      <c r="A13" s="112" t="s">
        <v>984</v>
      </c>
      <c r="B13" s="112">
        <v>2</v>
      </c>
      <c r="C13" s="112">
        <v>15</v>
      </c>
      <c r="D13" s="112" t="s">
        <v>6506</v>
      </c>
      <c r="E13" s="112" t="s">
        <v>6202</v>
      </c>
      <c r="F13" s="112" t="s">
        <v>984</v>
      </c>
      <c r="G13" s="112" t="s">
        <v>984</v>
      </c>
      <c r="H13" s="119" t="s">
        <v>6505</v>
      </c>
      <c r="I13" s="112" t="s">
        <v>984</v>
      </c>
      <c r="J13" s="119" t="s">
        <v>6192</v>
      </c>
      <c r="K13" s="112" t="s">
        <v>984</v>
      </c>
      <c r="L13" s="112" t="str">
        <f t="shared" si="0"/>
        <v>{{ title_i_target_species_single }}</v>
      </c>
      <c r="M13" s="112" t="str">
        <f t="shared" si="1"/>
        <v>-</v>
      </c>
      <c r="N13" s="112" t="str">
        <f t="shared" si="2"/>
        <v>-</v>
      </c>
    </row>
    <row r="14" spans="1:17" s="112" customFormat="1" ht="14.25" customHeight="1">
      <c r="A14" s="112" t="s">
        <v>984</v>
      </c>
      <c r="B14" s="112">
        <v>1</v>
      </c>
      <c r="C14" s="112">
        <v>46</v>
      </c>
      <c r="D14" s="112" t="s">
        <v>6506</v>
      </c>
      <c r="E14" s="112" t="s">
        <v>6218</v>
      </c>
      <c r="F14" s="112" t="s">
        <v>984</v>
      </c>
      <c r="G14" s="112" t="s">
        <v>984</v>
      </c>
      <c r="H14" s="119" t="s">
        <v>6523</v>
      </c>
      <c r="I14" s="112" t="s">
        <v>984</v>
      </c>
      <c r="J14" s="119" t="s">
        <v>6217</v>
      </c>
      <c r="K14" s="112" t="s">
        <v>984</v>
      </c>
      <c r="L14" s="112" t="str">
        <f t="shared" si="0"/>
        <v>{{ title_i_data_analysis }}</v>
      </c>
      <c r="M14" s="112" t="str">
        <f t="shared" si="1"/>
        <v>-</v>
      </c>
      <c r="N14" s="112" t="str">
        <f t="shared" si="2"/>
        <v>-</v>
      </c>
    </row>
  </sheetData>
  <conditionalFormatting sqref="H1">
    <cfRule type="duplicateValues" dxfId="6"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E7BA-A248-4D1D-8ED8-AF75589DF172}">
  <dimension ref="A1:Z1000"/>
  <sheetViews>
    <sheetView topLeftCell="G1" workbookViewId="0">
      <pane ySplit="1" topLeftCell="A68" activePane="bottomLeft" state="frozen"/>
      <selection pane="bottomLeft" activeCell="Q35" sqref="Q35"/>
    </sheetView>
  </sheetViews>
  <sheetFormatPr defaultColWidth="12.625" defaultRowHeight="15" customHeight="1"/>
  <cols>
    <col min="1" max="1" width="11.75" style="112" customWidth="1"/>
    <col min="2" max="2" width="17.625" style="112" customWidth="1"/>
    <col min="3" max="3" width="16.375" style="112" customWidth="1"/>
    <col min="4" max="4" width="27.125" style="112" customWidth="1"/>
    <col min="5" max="5" width="22.375" style="112" customWidth="1"/>
    <col min="6" max="6" width="64.25" style="112" customWidth="1"/>
    <col min="7" max="7" width="51" style="112" customWidth="1"/>
    <col min="8" max="8" width="13.25" style="112" customWidth="1"/>
    <col min="9" max="10" width="14.625" style="112" customWidth="1"/>
    <col min="11" max="26" width="8.625" style="112" customWidth="1"/>
    <col min="27" max="16384" width="12.625" style="112"/>
  </cols>
  <sheetData>
    <row r="1" spans="1:26" ht="14.25" customHeight="1">
      <c r="A1" s="129" t="s">
        <v>6381</v>
      </c>
      <c r="B1" s="129" t="s">
        <v>1210</v>
      </c>
      <c r="C1" s="129" t="s">
        <v>1143</v>
      </c>
      <c r="D1" s="129" t="s">
        <v>50</v>
      </c>
      <c r="E1" s="129" t="s">
        <v>6380</v>
      </c>
      <c r="F1" s="129" t="s">
        <v>1393</v>
      </c>
      <c r="G1" s="129" t="s">
        <v>3937</v>
      </c>
      <c r="H1" s="129" t="s">
        <v>6379</v>
      </c>
      <c r="I1" s="130" t="s">
        <v>6378</v>
      </c>
      <c r="J1" s="129" t="s">
        <v>6377</v>
      </c>
    </row>
    <row r="2" spans="1:26" ht="14.25" customHeight="1">
      <c r="A2" s="112" t="s">
        <v>6295</v>
      </c>
      <c r="B2" s="114"/>
      <c r="C2" s="114"/>
      <c r="D2" s="114"/>
      <c r="E2" s="114"/>
      <c r="F2" s="122" t="s">
        <v>6376</v>
      </c>
      <c r="G2" s="122" t="s">
        <v>6375</v>
      </c>
      <c r="H2" s="114"/>
      <c r="J2" s="128"/>
    </row>
    <row r="3" spans="1:26" ht="14.25" customHeight="1">
      <c r="A3" s="112" t="s">
        <v>6295</v>
      </c>
      <c r="B3" s="126"/>
      <c r="C3" s="126"/>
      <c r="D3" s="126"/>
      <c r="E3" s="126"/>
      <c r="F3" s="127" t="s">
        <v>6374</v>
      </c>
      <c r="G3" s="127" t="s">
        <v>6373</v>
      </c>
      <c r="H3" s="126"/>
      <c r="I3" s="119"/>
      <c r="J3" s="126"/>
      <c r="K3" s="119"/>
      <c r="L3" s="119"/>
      <c r="M3" s="119"/>
      <c r="N3" s="119"/>
      <c r="O3" s="119"/>
      <c r="P3" s="119"/>
      <c r="Q3" s="119"/>
      <c r="R3" s="119"/>
      <c r="S3" s="119"/>
      <c r="T3" s="119"/>
      <c r="U3" s="119"/>
      <c r="V3" s="119"/>
      <c r="W3" s="119"/>
      <c r="X3" s="119"/>
      <c r="Y3" s="119"/>
      <c r="Z3" s="119"/>
    </row>
    <row r="4" spans="1:26" ht="14.25" customHeight="1">
      <c r="A4" s="112" t="s">
        <v>6295</v>
      </c>
      <c r="B4" s="126"/>
      <c r="C4" s="126"/>
      <c r="D4" s="126"/>
      <c r="E4" s="126"/>
      <c r="F4" s="127" t="s">
        <v>6372</v>
      </c>
      <c r="G4" s="127" t="s">
        <v>6371</v>
      </c>
      <c r="H4" s="126"/>
      <c r="I4" s="119"/>
      <c r="J4" s="126"/>
      <c r="K4" s="119"/>
      <c r="L4" s="119"/>
      <c r="M4" s="119"/>
      <c r="N4" s="119"/>
      <c r="O4" s="119"/>
      <c r="P4" s="119"/>
      <c r="Q4" s="119"/>
      <c r="R4" s="119"/>
      <c r="S4" s="119"/>
      <c r="T4" s="119"/>
      <c r="U4" s="119"/>
      <c r="V4" s="119"/>
      <c r="W4" s="119"/>
      <c r="X4" s="119"/>
      <c r="Y4" s="119"/>
      <c r="Z4" s="119"/>
    </row>
    <row r="5" spans="1:26" ht="14.25" customHeight="1">
      <c r="A5" s="112" t="s">
        <v>6295</v>
      </c>
      <c r="B5" s="112" t="s">
        <v>6350</v>
      </c>
      <c r="D5" s="112" t="s">
        <v>6370</v>
      </c>
      <c r="F5" s="112" t="s">
        <v>6369</v>
      </c>
      <c r="G5" s="112" t="s">
        <v>2513</v>
      </c>
      <c r="H5" s="112" t="s">
        <v>6366</v>
      </c>
      <c r="I5" s="112" t="s">
        <v>984</v>
      </c>
      <c r="J5" s="112" t="str">
        <f t="shared" ref="J5:J27" si="0">"    "&amp;D5&amp;": "&amp;""""&amp;H5&amp;""""</f>
        <v xml:space="preserve">    link_ab_metadata: "&lt;a href=\"https://ab-rcsc.github.io/RCSC-WildCAM_Remote-Camera-Survey-Guidelines-and-Metadata-Standards/2_metadata-standards/2_0.1_Citation-and-Info.html\" target=\"_blank\"&gt;Remote Camera Metadata Standards for Alberta (RCSC, 2024)&lt;/a&gt;"</v>
      </c>
    </row>
    <row r="6" spans="1:26" ht="14.25" customHeight="1">
      <c r="A6" s="112" t="s">
        <v>6295</v>
      </c>
      <c r="B6" s="119" t="s">
        <v>6350</v>
      </c>
      <c r="C6" s="119"/>
      <c r="D6" s="119" t="s">
        <v>6368</v>
      </c>
      <c r="E6" s="119"/>
      <c r="F6" s="119" t="s">
        <v>6367</v>
      </c>
      <c r="G6" s="119" t="s">
        <v>2513</v>
      </c>
      <c r="H6" s="119" t="s">
        <v>6366</v>
      </c>
      <c r="I6" s="119" t="s">
        <v>984</v>
      </c>
      <c r="J6" s="119" t="str">
        <f t="shared" si="0"/>
        <v xml:space="preserve">    link_ab_metadata_abrv: "&lt;a href=\"https://ab-rcsc.github.io/RCSC-WildCAM_Remote-Camera-Survey-Guidelines-and-Metadata-Standards/2_metadata-standards/2_0.1_Citation-and-Info.html\" target=\"_blank\"&gt;Remote Camera Metadata Standards for Alberta (RCSC, 2024)&lt;/a&gt;"</v>
      </c>
      <c r="K6" s="119"/>
      <c r="L6" s="119"/>
      <c r="M6" s="119"/>
      <c r="N6" s="119"/>
      <c r="O6" s="119"/>
      <c r="P6" s="119"/>
      <c r="Q6" s="119"/>
      <c r="R6" s="119"/>
      <c r="S6" s="119"/>
      <c r="T6" s="119"/>
      <c r="U6" s="119"/>
      <c r="V6" s="119"/>
      <c r="W6" s="119"/>
      <c r="X6" s="119"/>
      <c r="Y6" s="119"/>
      <c r="Z6" s="119"/>
    </row>
    <row r="7" spans="1:26" ht="14.25" customHeight="1">
      <c r="A7" s="112" t="s">
        <v>6295</v>
      </c>
      <c r="B7" s="116" t="s">
        <v>6350</v>
      </c>
      <c r="D7" s="112" t="s">
        <v>6365</v>
      </c>
      <c r="F7" s="112" t="s">
        <v>6364</v>
      </c>
      <c r="G7" s="112" t="s">
        <v>6363</v>
      </c>
      <c r="H7" s="112" t="s">
        <v>6362</v>
      </c>
      <c r="I7" s="112" t="s">
        <v>984</v>
      </c>
      <c r="J7" s="112" t="str">
        <f t="shared" si="0"/>
        <v xml:space="preserve">    link_surv_guide: "&lt;a href=\"https://ab-rcsc.github.io/RCSC-WildCAM_Remote-Camera-Survey-Guidelines-and-Metadata-Standards/1_survey-guidelines/1_0.1_Citation-and-Info.html\" target=\"_blank\"&gt;Remote Camera Survey Guidelines (RCSC et al., 2024)&lt;/a&gt;"</v>
      </c>
    </row>
    <row r="8" spans="1:26" ht="14.25" customHeight="1">
      <c r="A8" s="112" t="s">
        <v>6295</v>
      </c>
      <c r="B8" s="116" t="s">
        <v>6350</v>
      </c>
      <c r="D8" s="112" t="s">
        <v>6361</v>
      </c>
      <c r="F8" s="112" t="s">
        <v>6360</v>
      </c>
      <c r="G8" s="112" t="s">
        <v>6359</v>
      </c>
      <c r="H8" s="112" t="s">
        <v>6358</v>
      </c>
      <c r="I8" s="112" t="s">
        <v>984</v>
      </c>
      <c r="J8" s="112" t="str">
        <f t="shared" si="0"/>
        <v xml:space="preserve">    link_surv_guide_fielddatasheets: "&lt;a href=\"https://ab-rcsc.github.io/RCSC-WildCAM_Remote-Camera-Survey-Guidelines-and-Metadata-Standards/1_survey-guidelines/1_10.2_AppendixA-Field-Datasheets.html\" target=\"_blank\"&gt;deployment and service/retrieval fieldsheets&lt;/a&gt;"</v>
      </c>
    </row>
    <row r="9" spans="1:26" ht="14.25" customHeight="1">
      <c r="A9" s="112" t="s">
        <v>6295</v>
      </c>
      <c r="B9" s="116" t="s">
        <v>6350</v>
      </c>
      <c r="D9" s="112" t="s">
        <v>6357</v>
      </c>
      <c r="F9" s="112" t="s">
        <v>6356</v>
      </c>
      <c r="G9" s="112" t="s">
        <v>6355</v>
      </c>
      <c r="H9" s="112" t="s">
        <v>6354</v>
      </c>
      <c r="I9" s="112" t="s">
        <v>984</v>
      </c>
      <c r="J9" s="112" t="str">
        <f t="shared" si="0"/>
        <v xml:space="preserve">    link_epicollect_template: "&lt;a href=\"https://five.epicollect.net/project/rcsc-and-wildcam-remote-camera-survey-guidelines\" target=\"_blank\"&gt;EpiCollect Template&lt;/a&gt;"</v>
      </c>
    </row>
    <row r="10" spans="1:26" ht="14.25" customHeight="1">
      <c r="A10" s="112" t="s">
        <v>6295</v>
      </c>
      <c r="B10" s="116" t="s">
        <v>6350</v>
      </c>
      <c r="D10" s="112" t="s">
        <v>6353</v>
      </c>
      <c r="F10" s="112" t="s">
        <v>6352</v>
      </c>
      <c r="G10" s="112" t="s">
        <v>6352</v>
      </c>
      <c r="H10" s="112" t="s">
        <v>6351</v>
      </c>
      <c r="I10" s="112" t="s">
        <v>984</v>
      </c>
      <c r="J10" s="112" t="str">
        <f t="shared" si="0"/>
        <v xml:space="preserve">    link_fwmis: "&lt;a href=\"https://www.alberta.ca/wildlife-loadforms.aspx\" target=\"_blank\"&gt;https://www.alberta.ca/wildlife-loadforms.aspx&lt;/a&gt;"</v>
      </c>
    </row>
    <row r="11" spans="1:26" ht="14.25" customHeight="1">
      <c r="A11" s="112" t="s">
        <v>6295</v>
      </c>
      <c r="B11" s="116" t="s">
        <v>6350</v>
      </c>
      <c r="D11" s="112" t="s">
        <v>6349</v>
      </c>
      <c r="G11" s="112" t="s">
        <v>6348</v>
      </c>
      <c r="H11" s="125" t="s">
        <v>6348</v>
      </c>
      <c r="I11" s="112" t="s">
        <v>984</v>
      </c>
      <c r="J11" s="112" t="str">
        <f t="shared" si="0"/>
        <v xml:space="preserve">    link_launchtool: "http://www.rc-decision-support-tool.ca/voila/render/objective.ipynb?"</v>
      </c>
    </row>
    <row r="12" spans="1:26" ht="14.25" customHeight="1">
      <c r="A12" s="112" t="s">
        <v>6295</v>
      </c>
      <c r="B12" s="116" t="s">
        <v>6294</v>
      </c>
      <c r="D12" s="112" t="s">
        <v>6293</v>
      </c>
      <c r="E12" s="112" t="s">
        <v>5543</v>
      </c>
      <c r="F12" s="120" t="s">
        <v>6292</v>
      </c>
      <c r="G12" s="112" t="s">
        <v>6265</v>
      </c>
      <c r="H12" s="120" t="s">
        <v>6291</v>
      </c>
      <c r="I12" s="112" t="s">
        <v>6347</v>
      </c>
      <c r="J12" s="112" t="str">
        <f t="shared" si="0"/>
        <v xml:space="preserve">    link_bdg_sp_asymptote: "{bdg-link-primary-line}`Species-accumulation curves&lt;https://ab-rcsc.github.io/rc-decision-support-tool_concept-library/02_dialog-boxes/01_10_sp_asymptote.html&gt;`"</v>
      </c>
    </row>
    <row r="13" spans="1:26" ht="14.25" customHeight="1">
      <c r="A13" s="112" t="s">
        <v>6295</v>
      </c>
      <c r="B13" s="116" t="s">
        <v>6294</v>
      </c>
      <c r="D13" s="112" t="s">
        <v>6346</v>
      </c>
      <c r="E13" s="112" t="s">
        <v>29</v>
      </c>
      <c r="F13" s="124" t="s">
        <v>438</v>
      </c>
      <c r="G13" s="112" t="s">
        <v>6345</v>
      </c>
      <c r="H13" s="124" t="s">
        <v>6344</v>
      </c>
      <c r="I13" s="112" t="s">
        <v>6343</v>
      </c>
      <c r="J13" s="112" t="str">
        <f t="shared" si="0"/>
        <v xml:space="preserve">    link_bdg_mod_cr_cmr: "{bdg-link-primary-line}`Capture-recapture (CR) / Capture-mark-recapture (CMR)&lt;https://ab-rcsc.github.io/rc-decision-support-tool_concept-library/02_dialog-boxes/03_10_mod_cr_cmr.html&gt;`"</v>
      </c>
    </row>
    <row r="14" spans="1:26" ht="14.25" customHeight="1">
      <c r="A14" s="112" t="s">
        <v>6295</v>
      </c>
      <c r="B14" s="116" t="s">
        <v>6294</v>
      </c>
      <c r="D14" s="112" t="s">
        <v>6342</v>
      </c>
      <c r="E14" s="112" t="s">
        <v>28</v>
      </c>
      <c r="F14" s="112" t="s">
        <v>439</v>
      </c>
      <c r="G14" s="112" t="s">
        <v>6341</v>
      </c>
      <c r="H14" s="112" t="s">
        <v>6340</v>
      </c>
      <c r="I14" s="112" t="s">
        <v>6339</v>
      </c>
      <c r="J14" s="112" t="str">
        <f t="shared" si="0"/>
        <v xml:space="preserve">    link_bdg_mod_scr_secr: "{bdg-link-primary-line}`Spatial capture-recapture (SCR) / Spatially explicit capture recapture (SECR)&lt;https://ab-rcsc.github.io/rc-decision-support-tool_concept-library/02_dialog-boxes/03_11_mod_scr_secr.html&gt;`"</v>
      </c>
    </row>
    <row r="15" spans="1:26" ht="14.25" customHeight="1">
      <c r="A15" s="112" t="s">
        <v>6295</v>
      </c>
      <c r="B15" s="116" t="s">
        <v>6294</v>
      </c>
      <c r="D15" s="112" t="s">
        <v>6338</v>
      </c>
      <c r="E15" s="112" t="s">
        <v>23</v>
      </c>
      <c r="F15" s="112" t="s">
        <v>6337</v>
      </c>
      <c r="G15" s="112" t="s">
        <v>6336</v>
      </c>
      <c r="H15" s="112" t="s">
        <v>6335</v>
      </c>
      <c r="I15" s="112" t="s">
        <v>6334</v>
      </c>
      <c r="J15" s="112" t="str">
        <f t="shared" si="0"/>
        <v xml:space="preserve">    link_bdg_mod_sc: "{bdg-link-primary-line}`Spatial count&lt;https://ab-rcsc.github.io/rc-decision-support-tool_concept-library/02_dialog-boxes/03_14_mod_sc.html&gt;`"</v>
      </c>
    </row>
    <row r="16" spans="1:26" ht="14.25" customHeight="1">
      <c r="A16" s="112" t="s">
        <v>6295</v>
      </c>
      <c r="B16" s="116" t="s">
        <v>6294</v>
      </c>
      <c r="D16" s="112" t="s">
        <v>6333</v>
      </c>
      <c r="E16" s="112" t="s">
        <v>10</v>
      </c>
      <c r="F16" s="123" t="s">
        <v>654</v>
      </c>
      <c r="G16" s="112" t="s">
        <v>6332</v>
      </c>
      <c r="H16" s="123" t="s">
        <v>6331</v>
      </c>
      <c r="I16" s="112" t="s">
        <v>6330</v>
      </c>
      <c r="J16" s="112" t="str">
        <f t="shared" si="0"/>
        <v xml:space="preserve">    link_bdg_mod_ds: "{bdg-link-primary-line}`Distance sampling&lt;https://ab-rcsc.github.io/rc-decision-support-tool_concept-library/02_dialog-boxes/03_20_mod_ds.html&gt;`"</v>
      </c>
    </row>
    <row r="17" spans="1:10" ht="14.25" customHeight="1">
      <c r="A17" s="112" t="s">
        <v>6295</v>
      </c>
      <c r="B17" s="116" t="s">
        <v>6294</v>
      </c>
      <c r="D17" s="112" t="s">
        <v>6329</v>
      </c>
      <c r="E17" s="112" t="s">
        <v>16</v>
      </c>
      <c r="F17" s="112" t="s">
        <v>6328</v>
      </c>
      <c r="G17" s="112" t="s">
        <v>6327</v>
      </c>
      <c r="H17" s="112" t="s">
        <v>6326</v>
      </c>
      <c r="I17" s="112" t="s">
        <v>6325</v>
      </c>
      <c r="J17" s="112" t="str">
        <f t="shared" si="0"/>
        <v xml:space="preserve">    link_bdg_mod_rem: "{bdg-link-primary-line}`Random encounter model [REM]&lt;https://ab-rcsc.github.io/rc-decision-support-tool_concept-library/02_dialog-boxes/03_17_mod_rem.html&gt;`"</v>
      </c>
    </row>
    <row r="18" spans="1:10" ht="14.25" customHeight="1">
      <c r="A18" s="112" t="s">
        <v>6295</v>
      </c>
      <c r="B18" s="116" t="s">
        <v>6294</v>
      </c>
      <c r="D18" s="112" t="s">
        <v>6324</v>
      </c>
      <c r="E18" s="112" t="s">
        <v>14</v>
      </c>
      <c r="F18" s="112" t="s">
        <v>6323</v>
      </c>
      <c r="G18" s="112" t="s">
        <v>6322</v>
      </c>
      <c r="H18" s="112" t="s">
        <v>6321</v>
      </c>
      <c r="I18" s="124" t="s">
        <v>6320</v>
      </c>
      <c r="J18" s="112" t="str">
        <f t="shared" si="0"/>
        <v xml:space="preserve">    link_bdg_mod_rest: "{bdg-link-primary-line}`Random encounter and staying time [REST]&lt;https://ab-rcsc.github.io/rc-decision-support-tool_concept-library/02_dialog-boxes/03_18_mod_rest.html&gt;`"</v>
      </c>
    </row>
    <row r="19" spans="1:10" ht="14.25" customHeight="1">
      <c r="A19" s="112" t="s">
        <v>6295</v>
      </c>
      <c r="B19" s="116" t="s">
        <v>6294</v>
      </c>
      <c r="D19" s="112" t="s">
        <v>6319</v>
      </c>
      <c r="E19" s="112" t="s">
        <v>8</v>
      </c>
      <c r="F19" s="123" t="s">
        <v>6318</v>
      </c>
      <c r="G19" s="112" t="s">
        <v>6317</v>
      </c>
      <c r="H19" s="123" t="s">
        <v>6316</v>
      </c>
      <c r="I19" s="124" t="s">
        <v>6315</v>
      </c>
      <c r="J19" s="112" t="str">
        <f t="shared" si="0"/>
        <v xml:space="preserve">    link_bdg_mod_tte: "{bdg-link-primary-line}`Time-to-event&lt;https://ab-rcsc.github.io/rc-decision-support-tool_concept-library/02_dialog-boxes/03_20_mod_tte.html&gt;`"</v>
      </c>
    </row>
    <row r="20" spans="1:10" ht="14.25" customHeight="1">
      <c r="A20" s="112" t="s">
        <v>6295</v>
      </c>
      <c r="B20" s="116" t="s">
        <v>6294</v>
      </c>
      <c r="D20" s="112" t="s">
        <v>6314</v>
      </c>
      <c r="E20" s="112" t="s">
        <v>25</v>
      </c>
      <c r="F20" s="112" t="s">
        <v>6313</v>
      </c>
      <c r="G20" s="112" t="s">
        <v>6312</v>
      </c>
      <c r="H20" s="112" t="s">
        <v>6311</v>
      </c>
      <c r="I20" s="124" t="s">
        <v>6310</v>
      </c>
      <c r="J20" s="112" t="str">
        <f t="shared" si="0"/>
        <v xml:space="preserve">    link_bdg_mod_smr: "{bdg-link-primary-line}`Spatial mark-resight&lt;https://ab-rcsc.github.io/rc-decision-support-tool_concept-library/02_dialog-boxes/03_13_mod_smr.html&gt;`"</v>
      </c>
    </row>
    <row r="21" spans="1:10" ht="14.25" customHeight="1">
      <c r="A21" s="112" t="s">
        <v>6295</v>
      </c>
      <c r="B21" s="116" t="s">
        <v>6294</v>
      </c>
      <c r="D21" s="112" t="s">
        <v>6309</v>
      </c>
      <c r="E21" s="112" t="s">
        <v>21</v>
      </c>
      <c r="F21" s="123" t="s">
        <v>5281</v>
      </c>
      <c r="G21" s="112" t="s">
        <v>6308</v>
      </c>
      <c r="H21" s="123" t="s">
        <v>6307</v>
      </c>
      <c r="I21" s="124"/>
      <c r="J21" s="112" t="str">
        <f t="shared" si="0"/>
        <v xml:space="preserve">    link_bdg_mod_2flankspim: "{bdg-link-primary-line}`Spatial Partial Identity Model (2-flank SPIM)&lt;https://ab-rcsc.github.io/rc-decision-support-tool_concept-library/02_dialog-boxes/03_16_mod_2flankspim.html&gt;`"</v>
      </c>
    </row>
    <row r="22" spans="1:10" ht="14.25" customHeight="1">
      <c r="A22" s="112" t="s">
        <v>6295</v>
      </c>
      <c r="B22" s="116" t="s">
        <v>6294</v>
      </c>
      <c r="D22" s="112" t="s">
        <v>6304</v>
      </c>
      <c r="E22" s="112" t="s">
        <v>6</v>
      </c>
      <c r="F22" s="123" t="s">
        <v>5282</v>
      </c>
      <c r="G22" s="112" t="s">
        <v>6306</v>
      </c>
      <c r="H22" s="123" t="s">
        <v>6305</v>
      </c>
      <c r="J22" s="112" t="str">
        <f t="shared" si="0"/>
        <v xml:space="preserve">    link_bdg_mod_ste: "{bdg-link-primary-line}`Spatial Partial Identity Model (Categorical SPIM; catSPIM)&lt;https://ab-rcsc.github.io/rc-decision-support-tool_concept-library/02_dialog-boxes/03_15_mod_catspim.html&gt;`"</v>
      </c>
    </row>
    <row r="23" spans="1:10" ht="14.25" customHeight="1">
      <c r="A23" s="112" t="s">
        <v>6295</v>
      </c>
      <c r="B23" s="116" t="s">
        <v>6294</v>
      </c>
      <c r="D23" s="112" t="s">
        <v>6304</v>
      </c>
      <c r="E23" s="112" t="s">
        <v>6</v>
      </c>
      <c r="F23" s="123" t="s">
        <v>5</v>
      </c>
      <c r="G23" s="112" t="s">
        <v>6303</v>
      </c>
      <c r="H23" s="123" t="s">
        <v>6302</v>
      </c>
      <c r="J23" s="112" t="str">
        <f t="shared" si="0"/>
        <v xml:space="preserve">    link_bdg_mod_ste: "{bdg-link-primary-line}`Space-to-event (STE)&lt;https://ab-rcsc.github.io/rc-decision-support-tool_concept-library/02_dialog-boxes/03_22_mod_ste.html&gt;`"</v>
      </c>
    </row>
    <row r="24" spans="1:10" ht="14.25" customHeight="1">
      <c r="A24" s="112" t="s">
        <v>6295</v>
      </c>
      <c r="B24" s="116" t="s">
        <v>6294</v>
      </c>
      <c r="D24" s="122" t="s">
        <v>6301</v>
      </c>
      <c r="E24" s="122" t="s">
        <v>6300</v>
      </c>
      <c r="F24" s="123" t="s">
        <v>522</v>
      </c>
      <c r="G24" s="112" t="s">
        <v>6299</v>
      </c>
      <c r="H24" s="123" t="s">
        <v>6298</v>
      </c>
      <c r="J24" s="112" t="str">
        <f t="shared" si="0"/>
        <v xml:space="preserve">    link_bdg_viewshed_dens_est: "{bdg-link-primary-line}`Viewshed density estimators&lt;https://ab-rcsc.github.io/rc-decision-support-tool_concept-library/02_dialog-boxes/09_viewshed_dens_est.html&gt;`"</v>
      </c>
    </row>
    <row r="25" spans="1:10" ht="14.25" customHeight="1">
      <c r="A25" s="112" t="s">
        <v>6295</v>
      </c>
      <c r="B25" s="116" t="s">
        <v>6294</v>
      </c>
      <c r="D25" s="122" t="s">
        <v>6297</v>
      </c>
      <c r="E25" s="120" t="s">
        <v>458</v>
      </c>
      <c r="F25" s="120" t="s">
        <v>666</v>
      </c>
      <c r="G25" s="120" t="s">
        <v>6259</v>
      </c>
      <c r="H25" s="120" t="s">
        <v>6296</v>
      </c>
      <c r="J25" s="112" t="str">
        <f t="shared" si="0"/>
        <v xml:space="preserve">    link_bdg_sp_rarity: "{bdg-link-primary-line}`Species rarity&lt;https://ab-rcsc.github.io/rc-decision-support-tool_concept-library/02_dialog-boxes/01_19_sp_rarity.html&gt;`"</v>
      </c>
    </row>
    <row r="26" spans="1:10" ht="14.25" customHeight="1">
      <c r="A26" s="112" t="s">
        <v>6295</v>
      </c>
      <c r="B26" s="116" t="s">
        <v>6294</v>
      </c>
      <c r="D26" s="122" t="s">
        <v>6293</v>
      </c>
      <c r="E26" s="122" t="s">
        <v>5543</v>
      </c>
      <c r="F26" s="120" t="s">
        <v>6292</v>
      </c>
      <c r="G26" s="121" t="s">
        <v>6265</v>
      </c>
      <c r="H26" s="120" t="s">
        <v>6291</v>
      </c>
      <c r="J26" s="112" t="str">
        <f t="shared" si="0"/>
        <v xml:space="preserve">    link_bdg_sp_asymptote: "{bdg-link-primary-line}`Species-accumulation curves&lt;https://ab-rcsc.github.io/rc-decision-support-tool_concept-library/02_dialog-boxes/01_10_sp_asymptote.html&gt;`"</v>
      </c>
    </row>
    <row r="27" spans="1:10" ht="14.25" customHeight="1">
      <c r="A27" s="112" t="s">
        <v>6226</v>
      </c>
      <c r="B27" s="116" t="s">
        <v>6225</v>
      </c>
      <c r="C27" s="116" t="s">
        <v>4</v>
      </c>
      <c r="D27" s="116" t="s">
        <v>984</v>
      </c>
      <c r="E27" s="116" t="s">
        <v>38</v>
      </c>
      <c r="F27" s="116" t="s">
        <v>6273</v>
      </c>
      <c r="G27" s="116" t="s">
        <v>6290</v>
      </c>
      <c r="H27" s="112" t="s">
        <v>984</v>
      </c>
      <c r="I27" s="112" t="s">
        <v>984</v>
      </c>
      <c r="J27" s="112" t="str">
        <f t="shared" si="0"/>
        <v xml:space="preserve">    -: "-"</v>
      </c>
    </row>
    <row r="28" spans="1:10" ht="14.25" customHeight="1">
      <c r="A28" s="112" t="s">
        <v>6226</v>
      </c>
      <c r="B28" s="116" t="s">
        <v>6225</v>
      </c>
      <c r="C28" s="116" t="s">
        <v>4</v>
      </c>
      <c r="D28" s="116" t="s">
        <v>984</v>
      </c>
      <c r="E28" s="116" t="s">
        <v>36</v>
      </c>
      <c r="F28" s="116" t="s">
        <v>6273</v>
      </c>
      <c r="G28" s="116" t="s">
        <v>6289</v>
      </c>
      <c r="H28" s="112" t="s">
        <v>984</v>
      </c>
      <c r="I28" s="112" t="s">
        <v>984</v>
      </c>
      <c r="J28" s="112" t="s">
        <v>984</v>
      </c>
    </row>
    <row r="29" spans="1:10" ht="14.25" customHeight="1">
      <c r="A29" s="112" t="s">
        <v>6226</v>
      </c>
      <c r="B29" s="116" t="s">
        <v>6225</v>
      </c>
      <c r="C29" s="116" t="s">
        <v>4</v>
      </c>
      <c r="D29" s="116" t="s">
        <v>984</v>
      </c>
      <c r="E29" s="116" t="s">
        <v>34</v>
      </c>
      <c r="F29" s="116" t="s">
        <v>6273</v>
      </c>
      <c r="G29" s="116" t="s">
        <v>6288</v>
      </c>
      <c r="H29" s="112" t="s">
        <v>984</v>
      </c>
      <c r="I29" s="112" t="s">
        <v>984</v>
      </c>
      <c r="J29" s="112" t="s">
        <v>984</v>
      </c>
    </row>
    <row r="30" spans="1:10" ht="14.25" customHeight="1">
      <c r="A30" s="112" t="s">
        <v>6226</v>
      </c>
      <c r="B30" s="112" t="s">
        <v>6225</v>
      </c>
      <c r="C30" s="116" t="s">
        <v>4</v>
      </c>
      <c r="D30" s="116" t="s">
        <v>984</v>
      </c>
      <c r="E30" s="116" t="s">
        <v>33</v>
      </c>
      <c r="F30" s="116" t="s">
        <v>6273</v>
      </c>
      <c r="G30" s="116" t="s">
        <v>6287</v>
      </c>
      <c r="H30" s="112" t="s">
        <v>984</v>
      </c>
      <c r="I30" s="112" t="s">
        <v>984</v>
      </c>
      <c r="J30" s="112" t="s">
        <v>984</v>
      </c>
    </row>
    <row r="31" spans="1:10" ht="14.25" customHeight="1">
      <c r="A31" s="112" t="s">
        <v>6226</v>
      </c>
      <c r="B31" s="112" t="s">
        <v>6225</v>
      </c>
      <c r="C31" s="116" t="s">
        <v>4</v>
      </c>
      <c r="D31" s="116" t="s">
        <v>984</v>
      </c>
      <c r="E31" s="116" t="s">
        <v>29</v>
      </c>
      <c r="F31" s="116" t="s">
        <v>6273</v>
      </c>
      <c r="G31" s="116" t="s">
        <v>6286</v>
      </c>
      <c r="H31" s="112" t="s">
        <v>984</v>
      </c>
      <c r="I31" s="112" t="s">
        <v>984</v>
      </c>
      <c r="J31" s="112" t="s">
        <v>984</v>
      </c>
    </row>
    <row r="32" spans="1:10" ht="14.25" customHeight="1">
      <c r="A32" s="112" t="s">
        <v>6226</v>
      </c>
      <c r="B32" s="112" t="s">
        <v>6225</v>
      </c>
      <c r="C32" s="116" t="s">
        <v>4</v>
      </c>
      <c r="D32" s="116" t="s">
        <v>984</v>
      </c>
      <c r="E32" s="116" t="s">
        <v>28</v>
      </c>
      <c r="F32" s="116" t="s">
        <v>6273</v>
      </c>
      <c r="G32" s="116" t="s">
        <v>6285</v>
      </c>
      <c r="H32" s="112" t="s">
        <v>984</v>
      </c>
      <c r="I32" s="112" t="s">
        <v>984</v>
      </c>
      <c r="J32" s="112" t="s">
        <v>984</v>
      </c>
    </row>
    <row r="33" spans="1:10" ht="14.25" customHeight="1">
      <c r="A33" s="112" t="s">
        <v>6226</v>
      </c>
      <c r="B33" s="112" t="s">
        <v>6225</v>
      </c>
      <c r="C33" s="116" t="s">
        <v>4</v>
      </c>
      <c r="D33" s="116" t="s">
        <v>984</v>
      </c>
      <c r="E33" s="116" t="s">
        <v>25</v>
      </c>
      <c r="F33" s="116" t="s">
        <v>6273</v>
      </c>
      <c r="G33" s="116" t="s">
        <v>6284</v>
      </c>
      <c r="H33" s="112" t="s">
        <v>984</v>
      </c>
      <c r="I33" s="112" t="s">
        <v>984</v>
      </c>
      <c r="J33" s="112" t="s">
        <v>984</v>
      </c>
    </row>
    <row r="34" spans="1:10" ht="14.25" customHeight="1">
      <c r="A34" s="112" t="s">
        <v>6226</v>
      </c>
      <c r="B34" s="112" t="s">
        <v>6225</v>
      </c>
      <c r="C34" s="116" t="s">
        <v>4</v>
      </c>
      <c r="D34" s="116" t="s">
        <v>984</v>
      </c>
      <c r="E34" s="116" t="s">
        <v>23</v>
      </c>
      <c r="F34" s="116" t="s">
        <v>6273</v>
      </c>
      <c r="G34" s="116" t="s">
        <v>6283</v>
      </c>
      <c r="H34" s="112" t="s">
        <v>984</v>
      </c>
      <c r="I34" s="112" t="s">
        <v>984</v>
      </c>
      <c r="J34" s="112" t="s">
        <v>984</v>
      </c>
    </row>
    <row r="35" spans="1:10" ht="14.25" customHeight="1">
      <c r="A35" s="112" t="s">
        <v>6226</v>
      </c>
      <c r="B35" s="112" t="s">
        <v>6225</v>
      </c>
      <c r="C35" s="116" t="s">
        <v>4</v>
      </c>
      <c r="D35" s="116" t="s">
        <v>984</v>
      </c>
      <c r="E35" s="116" t="s">
        <v>22</v>
      </c>
      <c r="F35" s="116" t="s">
        <v>6273</v>
      </c>
      <c r="G35" s="116" t="s">
        <v>6282</v>
      </c>
      <c r="H35" s="112" t="s">
        <v>984</v>
      </c>
      <c r="I35" s="112" t="s">
        <v>984</v>
      </c>
      <c r="J35" s="112" t="s">
        <v>984</v>
      </c>
    </row>
    <row r="36" spans="1:10" ht="14.25" customHeight="1">
      <c r="A36" s="112" t="s">
        <v>6226</v>
      </c>
      <c r="B36" s="112" t="s">
        <v>6225</v>
      </c>
      <c r="C36" s="116" t="s">
        <v>4</v>
      </c>
      <c r="D36" s="116" t="s">
        <v>984</v>
      </c>
      <c r="E36" s="116" t="s">
        <v>21</v>
      </c>
      <c r="F36" s="116" t="s">
        <v>6273</v>
      </c>
      <c r="G36" s="116" t="s">
        <v>6281</v>
      </c>
      <c r="H36" s="112" t="s">
        <v>984</v>
      </c>
      <c r="I36" s="112" t="s">
        <v>984</v>
      </c>
      <c r="J36" s="112" t="s">
        <v>984</v>
      </c>
    </row>
    <row r="37" spans="1:10" ht="14.25" customHeight="1">
      <c r="A37" s="112" t="s">
        <v>6226</v>
      </c>
      <c r="B37" s="112" t="s">
        <v>6225</v>
      </c>
      <c r="C37" s="116" t="s">
        <v>4</v>
      </c>
      <c r="D37" s="116" t="s">
        <v>984</v>
      </c>
      <c r="E37" s="116" t="s">
        <v>16</v>
      </c>
      <c r="F37" s="116" t="s">
        <v>6273</v>
      </c>
      <c r="G37" s="116" t="s">
        <v>6280</v>
      </c>
      <c r="H37" s="112" t="s">
        <v>984</v>
      </c>
      <c r="I37" s="112" t="s">
        <v>984</v>
      </c>
      <c r="J37" s="112" t="s">
        <v>984</v>
      </c>
    </row>
    <row r="38" spans="1:10" ht="14.25" customHeight="1">
      <c r="A38" s="112" t="s">
        <v>6226</v>
      </c>
      <c r="B38" s="112" t="s">
        <v>6225</v>
      </c>
      <c r="C38" s="116" t="s">
        <v>4</v>
      </c>
      <c r="D38" s="116" t="s">
        <v>984</v>
      </c>
      <c r="E38" s="116" t="s">
        <v>14</v>
      </c>
      <c r="F38" s="116" t="s">
        <v>6273</v>
      </c>
      <c r="G38" s="116" t="s">
        <v>6279</v>
      </c>
      <c r="H38" s="112" t="s">
        <v>984</v>
      </c>
      <c r="I38" s="112" t="s">
        <v>984</v>
      </c>
      <c r="J38" s="112" t="s">
        <v>984</v>
      </c>
    </row>
    <row r="39" spans="1:10" ht="14.25" customHeight="1">
      <c r="A39" s="112" t="s">
        <v>6226</v>
      </c>
      <c r="B39" s="112" t="s">
        <v>6225</v>
      </c>
      <c r="C39" s="116" t="s">
        <v>4</v>
      </c>
      <c r="D39" s="116" t="s">
        <v>984</v>
      </c>
      <c r="E39" s="116" t="s">
        <v>12</v>
      </c>
      <c r="F39" s="116" t="s">
        <v>6273</v>
      </c>
      <c r="G39" s="116" t="s">
        <v>6278</v>
      </c>
      <c r="H39" s="112" t="s">
        <v>984</v>
      </c>
      <c r="I39" s="112" t="s">
        <v>984</v>
      </c>
      <c r="J39" s="112" t="s">
        <v>984</v>
      </c>
    </row>
    <row r="40" spans="1:10" ht="14.25" customHeight="1">
      <c r="A40" s="112" t="s">
        <v>6226</v>
      </c>
      <c r="B40" s="112" t="s">
        <v>6225</v>
      </c>
      <c r="C40" s="116" t="s">
        <v>4</v>
      </c>
      <c r="D40" s="116" t="s">
        <v>984</v>
      </c>
      <c r="E40" s="116" t="s">
        <v>10</v>
      </c>
      <c r="F40" s="116" t="s">
        <v>6273</v>
      </c>
      <c r="G40" s="116" t="s">
        <v>6277</v>
      </c>
      <c r="H40" s="112" t="s">
        <v>984</v>
      </c>
      <c r="I40" s="112" t="s">
        <v>984</v>
      </c>
      <c r="J40" s="112" t="s">
        <v>984</v>
      </c>
    </row>
    <row r="41" spans="1:10" ht="14.25" customHeight="1">
      <c r="A41" s="112" t="s">
        <v>6226</v>
      </c>
      <c r="B41" s="112" t="s">
        <v>6225</v>
      </c>
      <c r="C41" s="116" t="s">
        <v>4</v>
      </c>
      <c r="D41" s="116" t="s">
        <v>984</v>
      </c>
      <c r="E41" s="116" t="s">
        <v>8</v>
      </c>
      <c r="F41" s="116" t="s">
        <v>6273</v>
      </c>
      <c r="G41" s="116" t="s">
        <v>6276</v>
      </c>
      <c r="H41" s="112" t="s">
        <v>984</v>
      </c>
      <c r="I41" s="112" t="s">
        <v>984</v>
      </c>
      <c r="J41" s="112" t="s">
        <v>984</v>
      </c>
    </row>
    <row r="42" spans="1:10" ht="14.25" customHeight="1">
      <c r="A42" s="112" t="s">
        <v>6226</v>
      </c>
      <c r="B42" s="112" t="s">
        <v>6225</v>
      </c>
      <c r="C42" s="116" t="s">
        <v>4</v>
      </c>
      <c r="D42" s="116" t="s">
        <v>984</v>
      </c>
      <c r="E42" s="116" t="s">
        <v>6</v>
      </c>
      <c r="F42" s="116" t="s">
        <v>6273</v>
      </c>
      <c r="G42" s="116" t="s">
        <v>6275</v>
      </c>
      <c r="H42" s="112" t="s">
        <v>984</v>
      </c>
      <c r="I42" s="112" t="s">
        <v>984</v>
      </c>
      <c r="J42" s="112" t="s">
        <v>984</v>
      </c>
    </row>
    <row r="43" spans="1:10" ht="14.25" customHeight="1">
      <c r="A43" s="112" t="s">
        <v>6226</v>
      </c>
      <c r="B43" s="112" t="s">
        <v>6225</v>
      </c>
      <c r="C43" s="116" t="s">
        <v>4</v>
      </c>
      <c r="D43" s="116" t="s">
        <v>984</v>
      </c>
      <c r="E43" s="116" t="s">
        <v>3</v>
      </c>
      <c r="F43" s="116" t="s">
        <v>6273</v>
      </c>
      <c r="G43" s="116" t="s">
        <v>6274</v>
      </c>
      <c r="H43" s="112" t="s">
        <v>984</v>
      </c>
      <c r="I43" s="112" t="s">
        <v>984</v>
      </c>
      <c r="J43" s="112" t="s">
        <v>984</v>
      </c>
    </row>
    <row r="44" spans="1:10" ht="14.25" customHeight="1">
      <c r="A44" s="112" t="s">
        <v>6226</v>
      </c>
      <c r="B44" s="112" t="s">
        <v>6225</v>
      </c>
      <c r="C44" s="116" t="s">
        <v>4</v>
      </c>
      <c r="D44" s="116" t="s">
        <v>984</v>
      </c>
      <c r="E44" s="116" t="s">
        <v>31</v>
      </c>
      <c r="F44" s="116" t="s">
        <v>6273</v>
      </c>
      <c r="G44" s="116" t="s">
        <v>6272</v>
      </c>
      <c r="H44" s="112" t="s">
        <v>984</v>
      </c>
      <c r="I44" s="112" t="s">
        <v>984</v>
      </c>
      <c r="J44" s="112" t="s">
        <v>984</v>
      </c>
    </row>
    <row r="45" spans="1:10" ht="14.25" customHeight="1">
      <c r="A45" s="112" t="s">
        <v>6226</v>
      </c>
      <c r="B45" s="112" t="s">
        <v>6256</v>
      </c>
      <c r="C45" s="116" t="s">
        <v>6255</v>
      </c>
      <c r="D45" s="116" t="s">
        <v>984</v>
      </c>
      <c r="E45" s="116" t="s">
        <v>5605</v>
      </c>
      <c r="F45" s="116"/>
      <c r="G45" s="116" t="s">
        <v>6271</v>
      </c>
      <c r="H45" s="112" t="s">
        <v>984</v>
      </c>
      <c r="I45" s="112" t="s">
        <v>984</v>
      </c>
      <c r="J45" s="112" t="s">
        <v>984</v>
      </c>
    </row>
    <row r="46" spans="1:10" ht="14.25" customHeight="1">
      <c r="A46" s="112" t="s">
        <v>6226</v>
      </c>
      <c r="B46" s="112" t="s">
        <v>6256</v>
      </c>
      <c r="C46" s="116" t="s">
        <v>6255</v>
      </c>
      <c r="D46" s="116" t="s">
        <v>984</v>
      </c>
      <c r="E46" s="116" t="s">
        <v>5592</v>
      </c>
      <c r="F46" s="116"/>
      <c r="G46" s="116" t="s">
        <v>6270</v>
      </c>
      <c r="H46" s="112" t="s">
        <v>984</v>
      </c>
      <c r="I46" s="112" t="s">
        <v>984</v>
      </c>
      <c r="J46" s="112" t="s">
        <v>984</v>
      </c>
    </row>
    <row r="47" spans="1:10" ht="14.25" customHeight="1">
      <c r="A47" s="112" t="s">
        <v>6226</v>
      </c>
      <c r="B47" s="112" t="s">
        <v>6256</v>
      </c>
      <c r="C47" s="116" t="s">
        <v>6255</v>
      </c>
      <c r="D47" s="116" t="s">
        <v>984</v>
      </c>
      <c r="E47" s="116" t="s">
        <v>6269</v>
      </c>
      <c r="F47" s="116"/>
      <c r="G47" s="116" t="s">
        <v>6268</v>
      </c>
      <c r="H47" s="112" t="s">
        <v>984</v>
      </c>
      <c r="I47" s="112" t="s">
        <v>984</v>
      </c>
      <c r="J47" s="112" t="s">
        <v>984</v>
      </c>
    </row>
    <row r="48" spans="1:10" ht="14.25" customHeight="1">
      <c r="A48" s="112" t="s">
        <v>6226</v>
      </c>
      <c r="B48" s="112" t="s">
        <v>6256</v>
      </c>
      <c r="C48" s="116" t="s">
        <v>6255</v>
      </c>
      <c r="D48" s="116" t="s">
        <v>984</v>
      </c>
      <c r="E48" s="116" t="s">
        <v>40</v>
      </c>
      <c r="F48" s="116"/>
      <c r="G48" s="112" t="s">
        <v>6267</v>
      </c>
      <c r="H48" s="112" t="s">
        <v>984</v>
      </c>
      <c r="I48" s="112" t="s">
        <v>984</v>
      </c>
      <c r="J48" s="112" t="s">
        <v>984</v>
      </c>
    </row>
    <row r="49" spans="1:10" ht="14.25" customHeight="1">
      <c r="A49" s="112" t="s">
        <v>6226</v>
      </c>
      <c r="B49" s="112" t="s">
        <v>6256</v>
      </c>
      <c r="C49" s="117" t="s">
        <v>6255</v>
      </c>
      <c r="D49" s="116" t="s">
        <v>984</v>
      </c>
      <c r="E49" s="116" t="s">
        <v>5555</v>
      </c>
      <c r="F49" s="116"/>
      <c r="G49" s="116" t="s">
        <v>6266</v>
      </c>
      <c r="H49" s="112" t="s">
        <v>984</v>
      </c>
      <c r="I49" s="112" t="s">
        <v>984</v>
      </c>
      <c r="J49" s="112" t="s">
        <v>984</v>
      </c>
    </row>
    <row r="50" spans="1:10" ht="14.25" customHeight="1">
      <c r="A50" s="112" t="s">
        <v>6226</v>
      </c>
      <c r="B50" s="112" t="s">
        <v>6256</v>
      </c>
      <c r="C50" s="117" t="s">
        <v>6255</v>
      </c>
      <c r="D50" s="116" t="s">
        <v>984</v>
      </c>
      <c r="E50" s="116" t="s">
        <v>5543</v>
      </c>
      <c r="F50" s="116"/>
      <c r="G50" s="116" t="s">
        <v>6265</v>
      </c>
      <c r="H50" s="112" t="s">
        <v>984</v>
      </c>
      <c r="I50" s="112" t="s">
        <v>984</v>
      </c>
      <c r="J50" s="112" t="s">
        <v>984</v>
      </c>
    </row>
    <row r="51" spans="1:10" ht="14.25" customHeight="1">
      <c r="A51" s="112" t="s">
        <v>6226</v>
      </c>
      <c r="B51" s="112" t="s">
        <v>6256</v>
      </c>
      <c r="C51" s="117" t="s">
        <v>6255</v>
      </c>
      <c r="D51" s="116" t="s">
        <v>984</v>
      </c>
      <c r="E51" s="116" t="s">
        <v>5508</v>
      </c>
      <c r="F51" s="116"/>
      <c r="G51" s="116" t="s">
        <v>6264</v>
      </c>
      <c r="H51" s="112" t="s">
        <v>984</v>
      </c>
      <c r="I51" s="112" t="s">
        <v>984</v>
      </c>
      <c r="J51" s="112" t="s">
        <v>984</v>
      </c>
    </row>
    <row r="52" spans="1:10" ht="14.25" customHeight="1">
      <c r="A52" s="112" t="s">
        <v>6226</v>
      </c>
      <c r="B52" s="112" t="s">
        <v>6256</v>
      </c>
      <c r="C52" s="117" t="s">
        <v>6255</v>
      </c>
      <c r="D52" s="116" t="s">
        <v>984</v>
      </c>
      <c r="E52" s="116" t="s">
        <v>6263</v>
      </c>
      <c r="F52" s="116"/>
      <c r="G52" s="116" t="s">
        <v>6262</v>
      </c>
      <c r="H52" s="112" t="s">
        <v>984</v>
      </c>
      <c r="I52" s="112" t="s">
        <v>984</v>
      </c>
      <c r="J52" s="112" t="s">
        <v>984</v>
      </c>
    </row>
    <row r="53" spans="1:10" ht="14.25" customHeight="1">
      <c r="A53" s="112" t="s">
        <v>6226</v>
      </c>
      <c r="B53" s="112" t="s">
        <v>6256</v>
      </c>
      <c r="C53" s="117" t="s">
        <v>6255</v>
      </c>
      <c r="D53" s="116" t="s">
        <v>984</v>
      </c>
      <c r="E53" s="116" t="s">
        <v>5480</v>
      </c>
      <c r="F53" s="116"/>
      <c r="G53" s="116" t="s">
        <v>6261</v>
      </c>
      <c r="H53" s="112" t="s">
        <v>984</v>
      </c>
      <c r="I53" s="112" t="s">
        <v>984</v>
      </c>
      <c r="J53" s="112" t="s">
        <v>984</v>
      </c>
    </row>
    <row r="54" spans="1:10" ht="14.25" customHeight="1">
      <c r="A54" s="112" t="s">
        <v>6226</v>
      </c>
      <c r="B54" s="112" t="s">
        <v>6256</v>
      </c>
      <c r="C54" s="117" t="s">
        <v>6255</v>
      </c>
      <c r="D54" s="116" t="s">
        <v>984</v>
      </c>
      <c r="E54" s="116" t="s">
        <v>5472</v>
      </c>
      <c r="F54" s="116"/>
      <c r="G54" s="116" t="s">
        <v>6260</v>
      </c>
      <c r="H54" s="112" t="s">
        <v>984</v>
      </c>
      <c r="I54" s="112" t="s">
        <v>984</v>
      </c>
      <c r="J54" s="112" t="s">
        <v>984</v>
      </c>
    </row>
    <row r="55" spans="1:10" ht="14.25" customHeight="1">
      <c r="A55" s="112" t="s">
        <v>6226</v>
      </c>
      <c r="B55" s="112" t="s">
        <v>6256</v>
      </c>
      <c r="C55" s="117" t="s">
        <v>6255</v>
      </c>
      <c r="D55" s="116" t="s">
        <v>984</v>
      </c>
      <c r="E55" s="116" t="s">
        <v>458</v>
      </c>
      <c r="F55" s="116"/>
      <c r="G55" s="116" t="s">
        <v>6259</v>
      </c>
      <c r="H55" s="112" t="s">
        <v>984</v>
      </c>
      <c r="I55" s="112" t="s">
        <v>984</v>
      </c>
      <c r="J55" s="112" t="s">
        <v>984</v>
      </c>
    </row>
    <row r="56" spans="1:10" ht="14.25" customHeight="1">
      <c r="A56" s="112" t="s">
        <v>6226</v>
      </c>
      <c r="B56" s="112" t="s">
        <v>6256</v>
      </c>
      <c r="C56" s="117" t="s">
        <v>6255</v>
      </c>
      <c r="D56" s="116" t="s">
        <v>984</v>
      </c>
      <c r="E56" s="116" t="s">
        <v>5419</v>
      </c>
      <c r="F56" s="116"/>
      <c r="G56" s="116" t="s">
        <v>6258</v>
      </c>
      <c r="H56" s="112" t="s">
        <v>984</v>
      </c>
      <c r="I56" s="112" t="s">
        <v>984</v>
      </c>
      <c r="J56" s="112" t="s">
        <v>984</v>
      </c>
    </row>
    <row r="57" spans="1:10" ht="14.25" customHeight="1">
      <c r="A57" s="112" t="s">
        <v>6226</v>
      </c>
      <c r="B57" s="112" t="s">
        <v>6256</v>
      </c>
      <c r="C57" s="117" t="s">
        <v>6255</v>
      </c>
      <c r="D57" s="116" t="s">
        <v>984</v>
      </c>
      <c r="E57" s="116" t="s">
        <v>5406</v>
      </c>
      <c r="F57" s="116"/>
      <c r="G57" s="116" t="s">
        <v>6257</v>
      </c>
      <c r="H57" s="112" t="s">
        <v>984</v>
      </c>
      <c r="I57" s="112" t="s">
        <v>984</v>
      </c>
      <c r="J57" s="112" t="s">
        <v>984</v>
      </c>
    </row>
    <row r="58" spans="1:10" ht="14.25" customHeight="1">
      <c r="A58" s="112" t="s">
        <v>6226</v>
      </c>
      <c r="B58" s="112" t="s">
        <v>6256</v>
      </c>
      <c r="C58" s="117" t="s">
        <v>6255</v>
      </c>
      <c r="D58" s="116" t="s">
        <v>984</v>
      </c>
      <c r="E58" s="116" t="s">
        <v>6254</v>
      </c>
      <c r="F58" s="116"/>
      <c r="G58" s="116" t="s">
        <v>6253</v>
      </c>
      <c r="H58" s="112" t="s">
        <v>984</v>
      </c>
      <c r="I58" s="112" t="s">
        <v>984</v>
      </c>
      <c r="J58" s="112" t="s">
        <v>984</v>
      </c>
    </row>
    <row r="59" spans="1:10" ht="14.25" customHeight="1">
      <c r="A59" s="112" t="s">
        <v>6226</v>
      </c>
      <c r="B59" s="112" t="s">
        <v>6225</v>
      </c>
      <c r="C59" s="117" t="s">
        <v>6224</v>
      </c>
      <c r="D59" s="116" t="s">
        <v>984</v>
      </c>
      <c r="E59" s="116" t="s">
        <v>6252</v>
      </c>
      <c r="F59" s="119" t="s">
        <v>6251</v>
      </c>
      <c r="G59" s="116" t="s">
        <v>6250</v>
      </c>
      <c r="H59" s="112" t="s">
        <v>984</v>
      </c>
      <c r="I59" s="112" t="s">
        <v>984</v>
      </c>
      <c r="J59" s="112" t="s">
        <v>984</v>
      </c>
    </row>
    <row r="60" spans="1:10" ht="14.25" customHeight="1">
      <c r="A60" s="112" t="s">
        <v>6226</v>
      </c>
      <c r="B60" s="112" t="s">
        <v>6225</v>
      </c>
      <c r="C60" s="117" t="s">
        <v>6224</v>
      </c>
      <c r="D60" s="116" t="s">
        <v>984</v>
      </c>
      <c r="E60" s="116" t="s">
        <v>6249</v>
      </c>
      <c r="F60" s="116" t="s">
        <v>6247</v>
      </c>
      <c r="G60" s="116" t="s">
        <v>6248</v>
      </c>
      <c r="H60" s="112" t="s">
        <v>984</v>
      </c>
      <c r="I60" s="112" t="s">
        <v>984</v>
      </c>
      <c r="J60" s="112" t="s">
        <v>984</v>
      </c>
    </row>
    <row r="61" spans="1:10" ht="14.25" customHeight="1">
      <c r="A61" s="112" t="s">
        <v>6226</v>
      </c>
      <c r="B61" s="112" t="s">
        <v>6225</v>
      </c>
      <c r="C61" s="117" t="s">
        <v>6224</v>
      </c>
      <c r="D61" s="116" t="s">
        <v>984</v>
      </c>
      <c r="E61" s="116"/>
      <c r="F61" s="116" t="s">
        <v>6247</v>
      </c>
      <c r="G61" s="118" t="s">
        <v>6246</v>
      </c>
      <c r="H61" s="112" t="s">
        <v>984</v>
      </c>
      <c r="I61" s="112" t="s">
        <v>984</v>
      </c>
      <c r="J61" s="112" t="s">
        <v>984</v>
      </c>
    </row>
    <row r="62" spans="1:10" ht="14.25" customHeight="1">
      <c r="A62" s="112" t="s">
        <v>6226</v>
      </c>
      <c r="B62" s="112" t="s">
        <v>6225</v>
      </c>
      <c r="C62" s="117" t="s">
        <v>6224</v>
      </c>
      <c r="D62" s="116" t="s">
        <v>984</v>
      </c>
      <c r="E62" s="116"/>
      <c r="F62" s="116" t="s">
        <v>6245</v>
      </c>
      <c r="G62" s="118" t="s">
        <v>6244</v>
      </c>
      <c r="H62" s="112" t="s">
        <v>984</v>
      </c>
      <c r="I62" s="112" t="s">
        <v>984</v>
      </c>
      <c r="J62" s="112" t="s">
        <v>984</v>
      </c>
    </row>
    <row r="63" spans="1:10" ht="14.25" customHeight="1">
      <c r="A63" s="112" t="s">
        <v>6226</v>
      </c>
      <c r="B63" s="112" t="s">
        <v>6225</v>
      </c>
      <c r="C63" s="117" t="s">
        <v>6224</v>
      </c>
      <c r="D63" s="116" t="s">
        <v>984</v>
      </c>
      <c r="E63" s="116"/>
      <c r="F63" s="116" t="s">
        <v>6243</v>
      </c>
      <c r="G63" s="118" t="s">
        <v>6242</v>
      </c>
      <c r="H63" s="112" t="s">
        <v>984</v>
      </c>
      <c r="I63" s="112" t="s">
        <v>984</v>
      </c>
      <c r="J63" s="112" t="s">
        <v>984</v>
      </c>
    </row>
    <row r="64" spans="1:10" ht="14.25" customHeight="1">
      <c r="A64" s="112" t="s">
        <v>6226</v>
      </c>
      <c r="B64" s="112" t="s">
        <v>6225</v>
      </c>
      <c r="C64" s="117" t="s">
        <v>6231</v>
      </c>
      <c r="D64" s="116" t="s">
        <v>984</v>
      </c>
      <c r="E64" s="116" t="s">
        <v>6241</v>
      </c>
      <c r="F64" s="116" t="s">
        <v>6208</v>
      </c>
      <c r="G64" s="116" t="s">
        <v>6240</v>
      </c>
      <c r="H64" s="112" t="s">
        <v>984</v>
      </c>
      <c r="I64" s="112" t="s">
        <v>984</v>
      </c>
      <c r="J64" s="112" t="s">
        <v>984</v>
      </c>
    </row>
    <row r="65" spans="1:10" ht="14.25" customHeight="1">
      <c r="A65" s="112" t="s">
        <v>6226</v>
      </c>
      <c r="B65" s="112" t="s">
        <v>6225</v>
      </c>
      <c r="C65" s="117" t="s">
        <v>6231</v>
      </c>
      <c r="D65" s="116" t="s">
        <v>984</v>
      </c>
      <c r="E65" s="116" t="s">
        <v>6239</v>
      </c>
      <c r="F65" s="116" t="s">
        <v>6203</v>
      </c>
      <c r="G65" s="116" t="s">
        <v>6238</v>
      </c>
      <c r="H65" s="112" t="s">
        <v>984</v>
      </c>
      <c r="I65" s="112" t="s">
        <v>984</v>
      </c>
      <c r="J65" s="112" t="s">
        <v>984</v>
      </c>
    </row>
    <row r="66" spans="1:10" ht="14.25" customHeight="1">
      <c r="A66" s="112" t="s">
        <v>6226</v>
      </c>
      <c r="B66" s="112" t="s">
        <v>6225</v>
      </c>
      <c r="C66" s="117" t="s">
        <v>6231</v>
      </c>
      <c r="D66" s="116" t="s">
        <v>984</v>
      </c>
      <c r="E66" s="116" t="s">
        <v>6237</v>
      </c>
      <c r="F66" s="116" t="s">
        <v>6214</v>
      </c>
      <c r="G66" s="116" t="s">
        <v>6236</v>
      </c>
      <c r="H66" s="112" t="s">
        <v>984</v>
      </c>
      <c r="I66" s="112" t="s">
        <v>984</v>
      </c>
      <c r="J66" s="112" t="s">
        <v>984</v>
      </c>
    </row>
    <row r="67" spans="1:10" ht="14.25" customHeight="1">
      <c r="A67" s="112" t="s">
        <v>6226</v>
      </c>
      <c r="B67" s="112" t="s">
        <v>6225</v>
      </c>
      <c r="C67" s="116" t="s">
        <v>6231</v>
      </c>
      <c r="D67" s="116" t="s">
        <v>984</v>
      </c>
      <c r="E67" s="116" t="s">
        <v>6235</v>
      </c>
      <c r="F67" s="116" t="s">
        <v>6190</v>
      </c>
      <c r="G67" s="116" t="s">
        <v>6234</v>
      </c>
      <c r="H67" s="112" t="s">
        <v>984</v>
      </c>
      <c r="I67" s="112" t="s">
        <v>984</v>
      </c>
      <c r="J67" s="112" t="s">
        <v>984</v>
      </c>
    </row>
    <row r="68" spans="1:10" ht="14.25" customHeight="1">
      <c r="A68" s="112" t="s">
        <v>6226</v>
      </c>
      <c r="B68" s="112" t="s">
        <v>6225</v>
      </c>
      <c r="C68" s="116" t="s">
        <v>6231</v>
      </c>
      <c r="D68" s="116" t="s">
        <v>984</v>
      </c>
      <c r="E68" s="116" t="s">
        <v>6233</v>
      </c>
      <c r="F68" s="116" t="s">
        <v>6211</v>
      </c>
      <c r="G68" s="116" t="s">
        <v>6232</v>
      </c>
      <c r="H68" s="112" t="s">
        <v>984</v>
      </c>
      <c r="I68" s="112" t="s">
        <v>984</v>
      </c>
      <c r="J68" s="112" t="s">
        <v>984</v>
      </c>
    </row>
    <row r="69" spans="1:10" ht="14.25" customHeight="1">
      <c r="A69" s="112" t="s">
        <v>6226</v>
      </c>
      <c r="B69" s="112" t="s">
        <v>6225</v>
      </c>
      <c r="C69" s="116" t="s">
        <v>6231</v>
      </c>
      <c r="D69" s="116" t="s">
        <v>984</v>
      </c>
      <c r="E69" s="116" t="s">
        <v>6230</v>
      </c>
      <c r="F69" s="116" t="s">
        <v>6217</v>
      </c>
      <c r="G69" s="116" t="s">
        <v>6229</v>
      </c>
      <c r="H69" s="112" t="s">
        <v>984</v>
      </c>
      <c r="I69" s="112" t="s">
        <v>984</v>
      </c>
      <c r="J69" s="112" t="s">
        <v>984</v>
      </c>
    </row>
    <row r="70" spans="1:10" ht="14.25" customHeight="1">
      <c r="A70" s="112" t="s">
        <v>6226</v>
      </c>
      <c r="B70" s="112" t="s">
        <v>6225</v>
      </c>
      <c r="C70" s="117" t="s">
        <v>6224</v>
      </c>
      <c r="D70" s="116" t="s">
        <v>984</v>
      </c>
      <c r="E70" s="116"/>
      <c r="F70" s="116" t="s">
        <v>6228</v>
      </c>
      <c r="G70" s="116" t="s">
        <v>6227</v>
      </c>
      <c r="H70" s="112" t="s">
        <v>984</v>
      </c>
      <c r="I70" s="112" t="s">
        <v>984</v>
      </c>
      <c r="J70" s="112" t="s">
        <v>984</v>
      </c>
    </row>
    <row r="71" spans="1:10" ht="14.25" customHeight="1">
      <c r="A71" s="112" t="s">
        <v>6226</v>
      </c>
      <c r="B71" s="112" t="s">
        <v>6225</v>
      </c>
      <c r="C71" s="117" t="s">
        <v>6224</v>
      </c>
      <c r="D71" s="116" t="s">
        <v>984</v>
      </c>
      <c r="E71" s="116"/>
      <c r="F71" s="116" t="s">
        <v>6223</v>
      </c>
      <c r="G71" s="116"/>
      <c r="H71" s="112" t="s">
        <v>984</v>
      </c>
      <c r="J71" s="112" t="s">
        <v>984</v>
      </c>
    </row>
    <row r="72" spans="1:10" ht="14.25" customHeight="1"/>
    <row r="73" spans="1:10" ht="14.25" customHeight="1"/>
    <row r="74" spans="1:10" ht="14.25" customHeight="1"/>
    <row r="75" spans="1:10" ht="14.25" customHeight="1"/>
    <row r="76" spans="1:10" ht="14.25" customHeight="1"/>
    <row r="77" spans="1:10" ht="14.25" customHeight="1"/>
    <row r="78" spans="1:10" ht="14.25" customHeight="1"/>
    <row r="79" spans="1:10" ht="14.25" customHeight="1"/>
    <row r="80" spans="1:10" ht="14.25" customHeight="1"/>
    <row r="81" s="112" customFormat="1" ht="14.25" customHeight="1"/>
    <row r="82" s="112" customFormat="1" ht="14.25" customHeight="1"/>
    <row r="83" s="112" customFormat="1" ht="14.25" customHeight="1"/>
    <row r="84" s="112" customFormat="1" ht="14.25" customHeight="1"/>
    <row r="85" s="112" customFormat="1" ht="14.25" customHeight="1"/>
    <row r="86" s="112" customFormat="1" ht="14.25" customHeight="1"/>
    <row r="87" s="112" customFormat="1" ht="14.25" customHeight="1"/>
    <row r="88" s="112" customFormat="1" ht="14.25" customHeight="1"/>
    <row r="89" s="112" customFormat="1" ht="14.25" customHeight="1"/>
    <row r="90" s="112" customFormat="1" ht="14.25" customHeight="1"/>
    <row r="91" s="112" customFormat="1" ht="14.25" customHeight="1"/>
    <row r="92" s="112" customFormat="1" ht="14.25" customHeight="1"/>
    <row r="93" s="112" customFormat="1" ht="14.25" customHeight="1"/>
    <row r="94" s="112" customFormat="1" ht="14.25" customHeight="1"/>
    <row r="95" s="112" customFormat="1" ht="14.25" customHeight="1"/>
    <row r="96" s="112" customFormat="1" ht="14.25" customHeight="1"/>
    <row r="97" s="112" customFormat="1" ht="14.25" customHeight="1"/>
    <row r="98" s="112" customFormat="1" ht="14.25" customHeight="1"/>
    <row r="99" s="112" customFormat="1" ht="14.25" customHeight="1"/>
    <row r="100" s="112" customFormat="1" ht="14.25" customHeight="1"/>
    <row r="101" s="112" customFormat="1" ht="14.25" customHeight="1"/>
    <row r="102" s="112" customFormat="1" ht="14.25" customHeight="1"/>
    <row r="103" s="112" customFormat="1" ht="14.25" customHeight="1"/>
    <row r="104" s="112" customFormat="1" ht="14.25" customHeight="1"/>
    <row r="105" s="112" customFormat="1" ht="14.25" customHeight="1"/>
    <row r="106" s="112" customFormat="1" ht="14.25" customHeight="1"/>
    <row r="107" s="112" customFormat="1" ht="14.25" customHeight="1"/>
    <row r="108" s="112" customFormat="1" ht="14.25" customHeight="1"/>
    <row r="109" s="112" customFormat="1" ht="14.25" customHeight="1"/>
    <row r="110" s="112" customFormat="1" ht="14.25" customHeight="1"/>
    <row r="111" s="112" customFormat="1" ht="14.25" customHeight="1"/>
    <row r="112" s="112" customFormat="1" ht="14.25" customHeight="1"/>
    <row r="113" s="112" customFormat="1" ht="14.25" customHeight="1"/>
    <row r="114" s="112" customFormat="1" ht="14.25" customHeight="1"/>
    <row r="115" s="112" customFormat="1" ht="14.25" customHeight="1"/>
    <row r="116" s="112" customFormat="1" ht="14.25" customHeight="1"/>
    <row r="117" s="112" customFormat="1" ht="14.25" customHeight="1"/>
    <row r="118" s="112" customFormat="1" ht="14.25" customHeight="1"/>
    <row r="119" s="112" customFormat="1" ht="14.25" customHeight="1"/>
    <row r="120" s="112" customFormat="1" ht="14.25" customHeight="1"/>
    <row r="121" s="112" customFormat="1" ht="14.25" customHeight="1"/>
    <row r="122" s="112" customFormat="1" ht="14.25" customHeight="1"/>
    <row r="123" s="112" customFormat="1" ht="14.25" customHeight="1"/>
    <row r="124" s="112" customFormat="1" ht="14.25" customHeight="1"/>
    <row r="125" s="112" customFormat="1" ht="14.25" customHeight="1"/>
    <row r="126" s="112" customFormat="1" ht="14.25" customHeight="1"/>
    <row r="127" s="112" customFormat="1" ht="14.25" customHeight="1"/>
    <row r="128" s="112" customFormat="1" ht="14.25" customHeight="1"/>
    <row r="129" s="112" customFormat="1" ht="14.25" customHeight="1"/>
    <row r="130" s="112" customFormat="1" ht="14.25" customHeight="1"/>
    <row r="131" s="112" customFormat="1" ht="14.25" customHeight="1"/>
    <row r="132" s="112" customFormat="1" ht="14.25" customHeight="1"/>
    <row r="133" s="112" customFormat="1" ht="14.25" customHeight="1"/>
    <row r="134" s="112" customFormat="1" ht="14.25" customHeight="1"/>
    <row r="135" s="112" customFormat="1" ht="14.25" customHeight="1"/>
    <row r="136" s="112" customFormat="1" ht="14.25" customHeight="1"/>
    <row r="137" s="112" customFormat="1" ht="14.25" customHeight="1"/>
    <row r="138" s="112" customFormat="1" ht="14.25" customHeight="1"/>
    <row r="139" s="112" customFormat="1" ht="14.25" customHeight="1"/>
    <row r="140" s="112" customFormat="1" ht="14.25" customHeight="1"/>
    <row r="141" s="112" customFormat="1" ht="14.25" customHeight="1"/>
    <row r="142" s="112" customFormat="1" ht="14.25" customHeight="1"/>
    <row r="143" s="112" customFormat="1" ht="14.25" customHeight="1"/>
    <row r="144" s="112" customFormat="1" ht="14.25" customHeight="1"/>
    <row r="145" s="112" customFormat="1" ht="14.25" customHeight="1"/>
    <row r="146" s="112" customFormat="1" ht="14.25" customHeight="1"/>
    <row r="147" s="112" customFormat="1" ht="14.25" customHeight="1"/>
    <row r="148" s="112" customFormat="1" ht="14.25" customHeight="1"/>
    <row r="149" s="112" customFormat="1" ht="14.25" customHeight="1"/>
    <row r="150" s="112" customFormat="1" ht="14.25" customHeight="1"/>
    <row r="151" s="112" customFormat="1" ht="14.25" customHeight="1"/>
    <row r="152" s="112" customFormat="1" ht="14.25" customHeight="1"/>
    <row r="153" s="112" customFormat="1" ht="14.25" customHeight="1"/>
    <row r="154" s="112" customFormat="1" ht="14.25" customHeight="1"/>
    <row r="155" s="112" customFormat="1" ht="14.25" customHeight="1"/>
    <row r="156" s="112" customFormat="1" ht="14.25" customHeight="1"/>
    <row r="157" s="112" customFormat="1" ht="14.25" customHeight="1"/>
    <row r="158" s="112" customFormat="1" ht="14.25" customHeight="1"/>
    <row r="159" s="112" customFormat="1" ht="14.25" customHeight="1"/>
    <row r="160" s="112" customFormat="1" ht="14.25" customHeight="1"/>
    <row r="161" s="112" customFormat="1" ht="14.25" customHeight="1"/>
    <row r="162" s="112" customFormat="1" ht="14.25" customHeight="1"/>
    <row r="163" s="112" customFormat="1" ht="14.25" customHeight="1"/>
    <row r="164" s="112" customFormat="1" ht="14.25" customHeight="1"/>
    <row r="165" s="112" customFormat="1" ht="14.25" customHeight="1"/>
    <row r="166" s="112" customFormat="1" ht="14.25" customHeight="1"/>
    <row r="167" s="112" customFormat="1" ht="14.25" customHeight="1"/>
    <row r="168" s="112" customFormat="1" ht="14.25" customHeight="1"/>
    <row r="169" s="112" customFormat="1" ht="14.25" customHeight="1"/>
    <row r="170" s="112" customFormat="1" ht="14.25" customHeight="1"/>
    <row r="171" s="112" customFormat="1" ht="14.25" customHeight="1"/>
    <row r="172" s="112" customFormat="1" ht="14.25" customHeight="1"/>
    <row r="173" s="112" customFormat="1" ht="14.25" customHeight="1"/>
    <row r="174" s="112" customFormat="1" ht="14.25" customHeight="1"/>
    <row r="175" s="112" customFormat="1" ht="14.25" customHeight="1"/>
    <row r="176" s="112" customFormat="1" ht="14.25" customHeight="1"/>
    <row r="177" s="112" customFormat="1" ht="14.25" customHeight="1"/>
    <row r="178" s="112" customFormat="1" ht="14.25" customHeight="1"/>
    <row r="179" s="112" customFormat="1" ht="14.25" customHeight="1"/>
    <row r="180" s="112" customFormat="1" ht="14.25" customHeight="1"/>
    <row r="181" s="112" customFormat="1" ht="14.25" customHeight="1"/>
    <row r="182" s="112" customFormat="1" ht="14.25" customHeight="1"/>
    <row r="183" s="112" customFormat="1" ht="14.25" customHeight="1"/>
    <row r="184" s="112" customFormat="1" ht="14.25" customHeight="1"/>
    <row r="185" s="112" customFormat="1" ht="14.25" customHeight="1"/>
    <row r="186" s="112" customFormat="1" ht="14.25" customHeight="1"/>
    <row r="187" s="112" customFormat="1" ht="14.25" customHeight="1"/>
    <row r="188" s="112" customFormat="1" ht="14.25" customHeight="1"/>
    <row r="189" s="112" customFormat="1" ht="14.25" customHeight="1"/>
    <row r="190" s="112" customFormat="1" ht="14.25" customHeight="1"/>
    <row r="191" s="112" customFormat="1" ht="14.25" customHeight="1"/>
    <row r="192" s="112" customFormat="1" ht="14.25" customHeight="1"/>
    <row r="193" s="112" customFormat="1" ht="14.25" customHeight="1"/>
    <row r="194" s="112" customFormat="1" ht="14.25" customHeight="1"/>
    <row r="195" s="112" customFormat="1" ht="14.25" customHeight="1"/>
    <row r="196" s="112" customFormat="1" ht="14.25" customHeight="1"/>
    <row r="197" s="112" customFormat="1" ht="14.25" customHeight="1"/>
    <row r="198" s="112" customFormat="1" ht="14.25" customHeight="1"/>
    <row r="199" s="112" customFormat="1" ht="14.25" customHeight="1"/>
    <row r="200" s="112" customFormat="1" ht="14.25" customHeight="1"/>
    <row r="201" s="112" customFormat="1" ht="14.25" customHeight="1"/>
    <row r="202" s="112" customFormat="1" ht="14.25" customHeight="1"/>
    <row r="203" s="112" customFormat="1" ht="14.25" customHeight="1"/>
    <row r="204" s="112" customFormat="1" ht="14.25" customHeight="1"/>
    <row r="205" s="112" customFormat="1" ht="14.25" customHeight="1"/>
    <row r="206" s="112" customFormat="1" ht="14.25" customHeight="1"/>
    <row r="207" s="112" customFormat="1" ht="14.25" customHeight="1"/>
    <row r="208" s="112" customFormat="1" ht="14.25" customHeight="1"/>
    <row r="209" s="112" customFormat="1" ht="14.25" customHeight="1"/>
    <row r="210" s="112" customFormat="1" ht="14.25" customHeight="1"/>
    <row r="211" s="112" customFormat="1" ht="14.25" customHeight="1"/>
    <row r="212" s="112" customFormat="1" ht="14.25" customHeight="1"/>
    <row r="213" s="112" customFormat="1" ht="14.25" customHeight="1"/>
    <row r="214" s="112" customFormat="1" ht="14.25" customHeight="1"/>
    <row r="215" s="112" customFormat="1" ht="14.25" customHeight="1"/>
    <row r="216" s="112" customFormat="1" ht="14.25" customHeight="1"/>
    <row r="217" s="112" customFormat="1" ht="14.25" customHeight="1"/>
    <row r="218" s="112" customFormat="1" ht="14.25" customHeight="1"/>
    <row r="219" s="112" customFormat="1" ht="14.25" customHeight="1"/>
    <row r="220" s="112" customFormat="1" ht="14.25" customHeight="1"/>
    <row r="221" s="112" customFormat="1" ht="14.25" customHeight="1"/>
    <row r="222" s="112" customFormat="1" ht="14.25" customHeight="1"/>
    <row r="223" s="112" customFormat="1" ht="14.25" customHeight="1"/>
    <row r="224" s="112" customFormat="1" ht="14.25" customHeight="1"/>
    <row r="225" s="112" customFormat="1" ht="14.25" customHeight="1"/>
    <row r="226" s="112" customFormat="1" ht="14.25" customHeight="1"/>
    <row r="227" s="112" customFormat="1" ht="14.25" customHeight="1"/>
    <row r="228" s="112" customFormat="1" ht="14.25" customHeight="1"/>
    <row r="229" s="112" customFormat="1" ht="14.25" customHeight="1"/>
    <row r="230" s="112" customFormat="1" ht="14.25" customHeight="1"/>
    <row r="231" s="112" customFormat="1" ht="14.25" customHeight="1"/>
    <row r="232" s="112" customFormat="1" ht="14.25" customHeight="1"/>
    <row r="233" s="112" customFormat="1" ht="14.25" customHeight="1"/>
    <row r="234" s="112" customFormat="1" ht="14.25" customHeight="1"/>
    <row r="235" s="112" customFormat="1" ht="14.25" customHeight="1"/>
    <row r="236" s="112" customFormat="1" ht="14.25" customHeight="1"/>
    <row r="237" s="112" customFormat="1" ht="14.25" customHeight="1"/>
    <row r="238" s="112" customFormat="1" ht="14.25" customHeight="1"/>
    <row r="239" s="112" customFormat="1" ht="14.25" customHeight="1"/>
    <row r="240" s="112" customFormat="1" ht="14.25" customHeight="1"/>
    <row r="241" s="112" customFormat="1" ht="14.25" customHeight="1"/>
    <row r="242" s="112" customFormat="1" ht="14.25" customHeight="1"/>
    <row r="243" s="112" customFormat="1" ht="14.25" customHeight="1"/>
    <row r="244" s="112" customFormat="1" ht="14.25" customHeight="1"/>
    <row r="245" s="112" customFormat="1" ht="14.25" customHeight="1"/>
    <row r="246" s="112" customFormat="1" ht="14.25" customHeight="1"/>
    <row r="247" s="112" customFormat="1" ht="14.25" customHeight="1"/>
    <row r="248" s="112" customFormat="1" ht="14.25" customHeight="1"/>
    <row r="249" s="112" customFormat="1" ht="14.25" customHeight="1"/>
    <row r="250" s="112" customFormat="1" ht="14.25" customHeight="1"/>
    <row r="251" s="112" customFormat="1" ht="14.25" customHeight="1"/>
    <row r="252" s="112" customFormat="1" ht="14.25" customHeight="1"/>
    <row r="253" s="112" customFormat="1" ht="14.25" customHeight="1"/>
    <row r="254" s="112" customFormat="1" ht="14.25" customHeight="1"/>
    <row r="255" s="112" customFormat="1" ht="14.25" customHeight="1"/>
    <row r="256" s="112" customFormat="1" ht="14.25" customHeight="1"/>
    <row r="257" s="112" customFormat="1" ht="14.25" customHeight="1"/>
    <row r="258" s="112" customFormat="1" ht="14.25" customHeight="1"/>
    <row r="259" s="112" customFormat="1" ht="14.25" customHeight="1"/>
    <row r="260" s="112" customFormat="1" ht="14.25" customHeight="1"/>
    <row r="261" s="112" customFormat="1" ht="14.25" customHeight="1"/>
    <row r="262" s="112" customFormat="1" ht="14.25" customHeight="1"/>
    <row r="263" s="112" customFormat="1" ht="14.25" customHeight="1"/>
    <row r="264" s="112" customFormat="1" ht="14.25" customHeight="1"/>
    <row r="265" s="112" customFormat="1" ht="14.25" customHeight="1"/>
    <row r="266" s="112" customFormat="1" ht="14.25" customHeight="1"/>
    <row r="267" s="112" customFormat="1" ht="14.25" customHeight="1"/>
    <row r="268" s="112" customFormat="1" ht="14.25" customHeight="1"/>
    <row r="269" s="112" customFormat="1" ht="14.25" customHeight="1"/>
    <row r="270" s="112" customFormat="1" ht="14.25" customHeight="1"/>
    <row r="271" s="112" customFormat="1" ht="14.25" customHeight="1"/>
    <row r="272" s="112" customFormat="1" ht="14.25" customHeight="1"/>
    <row r="273" s="112" customFormat="1" ht="14.25" customHeight="1"/>
    <row r="274" s="112" customFormat="1" ht="14.25" customHeight="1"/>
    <row r="275" s="112" customFormat="1" ht="14.25" customHeight="1"/>
    <row r="276" s="112" customFormat="1" ht="14.25" customHeight="1"/>
    <row r="277" s="112" customFormat="1" ht="14.25" customHeight="1"/>
    <row r="278" s="112" customFormat="1" ht="14.25" customHeight="1"/>
    <row r="279" s="112" customFormat="1" ht="14.25" customHeight="1"/>
    <row r="280" s="112" customFormat="1" ht="14.25" customHeight="1"/>
    <row r="281" s="112" customFormat="1" ht="14.25" customHeight="1"/>
    <row r="282" s="112" customFormat="1" ht="14.25" customHeight="1"/>
    <row r="283" s="112" customFormat="1" ht="14.25" customHeight="1"/>
    <row r="284" s="112" customFormat="1" ht="14.25" customHeight="1"/>
    <row r="285" s="112" customFormat="1" ht="14.25" customHeight="1"/>
    <row r="286" s="112" customFormat="1" ht="14.25" customHeight="1"/>
    <row r="287" s="112" customFormat="1" ht="14.25" customHeight="1"/>
    <row r="288" s="112" customFormat="1" ht="14.25" customHeight="1"/>
    <row r="289" s="112" customFormat="1" ht="14.25" customHeight="1"/>
    <row r="290" s="112" customFormat="1" ht="14.25" customHeight="1"/>
    <row r="291" s="112" customFormat="1" ht="14.25" customHeight="1"/>
    <row r="292" s="112" customFormat="1" ht="14.25" customHeight="1"/>
    <row r="293" s="112" customFormat="1" ht="14.25" customHeight="1"/>
    <row r="294" s="112" customFormat="1" ht="14.25" customHeight="1"/>
    <row r="295" s="112" customFormat="1" ht="14.25" customHeight="1"/>
    <row r="296" s="112" customFormat="1" ht="14.25" customHeight="1"/>
    <row r="297" s="112" customFormat="1" ht="14.25" customHeight="1"/>
    <row r="298" s="112" customFormat="1" ht="14.25" customHeight="1"/>
    <row r="299" s="112" customFormat="1" ht="14.25" customHeight="1"/>
    <row r="300" s="112" customFormat="1" ht="14.25" customHeight="1"/>
    <row r="301" s="112" customFormat="1" ht="14.25" customHeight="1"/>
    <row r="302" s="112" customFormat="1" ht="14.25" customHeight="1"/>
    <row r="303" s="112" customFormat="1" ht="14.25" customHeight="1"/>
    <row r="304" s="112" customFormat="1" ht="14.25" customHeight="1"/>
    <row r="305" s="112" customFormat="1" ht="14.25" customHeight="1"/>
    <row r="306" s="112" customFormat="1" ht="14.25" customHeight="1"/>
    <row r="307" s="112" customFormat="1" ht="14.25" customHeight="1"/>
    <row r="308" s="112" customFormat="1" ht="14.25" customHeight="1"/>
    <row r="309" s="112" customFormat="1" ht="14.25" customHeight="1"/>
    <row r="310" s="112" customFormat="1" ht="14.25" customHeight="1"/>
    <row r="311" s="112" customFormat="1" ht="14.25" customHeight="1"/>
    <row r="312" s="112" customFormat="1" ht="14.25" customHeight="1"/>
    <row r="313" s="112" customFormat="1" ht="14.25" customHeight="1"/>
    <row r="314" s="112" customFormat="1" ht="14.25" customHeight="1"/>
    <row r="315" s="112" customFormat="1" ht="14.25" customHeight="1"/>
    <row r="316" s="112" customFormat="1" ht="14.25" customHeight="1"/>
    <row r="317" s="112" customFormat="1" ht="14.25" customHeight="1"/>
    <row r="318" s="112" customFormat="1" ht="14.25" customHeight="1"/>
    <row r="319" s="112" customFormat="1" ht="14.25" customHeight="1"/>
    <row r="320" s="112" customFormat="1" ht="14.25" customHeight="1"/>
    <row r="321" s="112" customFormat="1" ht="14.25" customHeight="1"/>
    <row r="322" s="112" customFormat="1" ht="14.25" customHeight="1"/>
    <row r="323" s="112" customFormat="1" ht="14.25" customHeight="1"/>
    <row r="324" s="112" customFormat="1" ht="14.25" customHeight="1"/>
    <row r="325" s="112" customFormat="1" ht="14.25" customHeight="1"/>
    <row r="326" s="112" customFormat="1" ht="14.25" customHeight="1"/>
    <row r="327" s="112" customFormat="1" ht="14.25" customHeight="1"/>
    <row r="328" s="112" customFormat="1" ht="14.25" customHeight="1"/>
    <row r="329" s="112" customFormat="1" ht="14.25" customHeight="1"/>
    <row r="330" s="112" customFormat="1" ht="14.25" customHeight="1"/>
    <row r="331" s="112" customFormat="1" ht="14.25" customHeight="1"/>
    <row r="332" s="112" customFormat="1" ht="14.25" customHeight="1"/>
    <row r="333" s="112" customFormat="1" ht="14.25" customHeight="1"/>
    <row r="334" s="112" customFormat="1" ht="14.25" customHeight="1"/>
    <row r="335" s="112" customFormat="1" ht="14.25" customHeight="1"/>
    <row r="336" s="112" customFormat="1" ht="14.25" customHeight="1"/>
    <row r="337" s="112" customFormat="1" ht="14.25" customHeight="1"/>
    <row r="338" s="112" customFormat="1" ht="14.25" customHeight="1"/>
    <row r="339" s="112" customFormat="1" ht="14.25" customHeight="1"/>
    <row r="340" s="112" customFormat="1" ht="14.25" customHeight="1"/>
    <row r="341" s="112" customFormat="1" ht="14.25" customHeight="1"/>
    <row r="342" s="112" customFormat="1" ht="14.25" customHeight="1"/>
    <row r="343" s="112" customFormat="1" ht="14.25" customHeight="1"/>
    <row r="344" s="112" customFormat="1" ht="14.25" customHeight="1"/>
    <row r="345" s="112" customFormat="1" ht="14.25" customHeight="1"/>
    <row r="346" s="112" customFormat="1" ht="14.25" customHeight="1"/>
    <row r="347" s="112" customFormat="1" ht="14.25" customHeight="1"/>
    <row r="348" s="112" customFormat="1" ht="14.25" customHeight="1"/>
    <row r="349" s="112" customFormat="1" ht="14.25" customHeight="1"/>
    <row r="350" s="112" customFormat="1" ht="14.25" customHeight="1"/>
    <row r="351" s="112" customFormat="1" ht="14.25" customHeight="1"/>
    <row r="352" s="112" customFormat="1" ht="14.25" customHeight="1"/>
    <row r="353" s="112" customFormat="1" ht="14.25" customHeight="1"/>
    <row r="354" s="112" customFormat="1" ht="14.25" customHeight="1"/>
    <row r="355" s="112" customFormat="1" ht="14.25" customHeight="1"/>
    <row r="356" s="112" customFormat="1" ht="14.25" customHeight="1"/>
    <row r="357" s="112" customFormat="1" ht="14.25" customHeight="1"/>
    <row r="358" s="112" customFormat="1" ht="14.25" customHeight="1"/>
    <row r="359" s="112" customFormat="1" ht="14.25" customHeight="1"/>
    <row r="360" s="112" customFormat="1" ht="14.25" customHeight="1"/>
    <row r="361" s="112" customFormat="1" ht="14.25" customHeight="1"/>
    <row r="362" s="112" customFormat="1" ht="14.25" customHeight="1"/>
    <row r="363" s="112" customFormat="1" ht="14.25" customHeight="1"/>
    <row r="364" s="112" customFormat="1" ht="14.25" customHeight="1"/>
    <row r="365" s="112" customFormat="1" ht="14.25" customHeight="1"/>
    <row r="366" s="112" customFormat="1" ht="14.25" customHeight="1"/>
    <row r="367" s="112" customFormat="1" ht="14.25" customHeight="1"/>
    <row r="368" s="112" customFormat="1" ht="14.25" customHeight="1"/>
    <row r="369" s="112" customFormat="1" ht="14.25" customHeight="1"/>
    <row r="370" s="112" customFormat="1" ht="14.25" customHeight="1"/>
    <row r="371" s="112" customFormat="1" ht="14.25" customHeight="1"/>
    <row r="372" s="112" customFormat="1" ht="14.25" customHeight="1"/>
    <row r="373" s="112" customFormat="1" ht="14.25" customHeight="1"/>
    <row r="374" s="112" customFormat="1" ht="14.25" customHeight="1"/>
    <row r="375" s="112" customFormat="1" ht="14.25" customHeight="1"/>
    <row r="376" s="112" customFormat="1" ht="14.25" customHeight="1"/>
    <row r="377" s="112" customFormat="1" ht="14.25" customHeight="1"/>
    <row r="378" s="112" customFormat="1" ht="14.25" customHeight="1"/>
    <row r="379" s="112" customFormat="1" ht="14.25" customHeight="1"/>
    <row r="380" s="112" customFormat="1" ht="14.25" customHeight="1"/>
    <row r="381" s="112" customFormat="1" ht="14.25" customHeight="1"/>
    <row r="382" s="112" customFormat="1" ht="14.25" customHeight="1"/>
    <row r="383" s="112" customFormat="1" ht="14.25" customHeight="1"/>
    <row r="384" s="112" customFormat="1" ht="14.25" customHeight="1"/>
    <row r="385" s="112" customFormat="1" ht="14.25" customHeight="1"/>
    <row r="386" s="112" customFormat="1" ht="14.25" customHeight="1"/>
    <row r="387" s="112" customFormat="1" ht="14.25" customHeight="1"/>
    <row r="388" s="112" customFormat="1" ht="14.25" customHeight="1"/>
    <row r="389" s="112" customFormat="1" ht="14.25" customHeight="1"/>
    <row r="390" s="112" customFormat="1" ht="14.25" customHeight="1"/>
    <row r="391" s="112" customFormat="1" ht="14.25" customHeight="1"/>
    <row r="392" s="112" customFormat="1" ht="14.25" customHeight="1"/>
    <row r="393" s="112" customFormat="1" ht="14.25" customHeight="1"/>
    <row r="394" s="112" customFormat="1" ht="14.25" customHeight="1"/>
    <row r="395" s="112" customFormat="1" ht="14.25" customHeight="1"/>
    <row r="396" s="112" customFormat="1" ht="14.25" customHeight="1"/>
    <row r="397" s="112" customFormat="1" ht="14.25" customHeight="1"/>
    <row r="398" s="112" customFormat="1" ht="14.25" customHeight="1"/>
    <row r="399" s="112" customFormat="1" ht="14.25" customHeight="1"/>
    <row r="400" s="112" customFormat="1" ht="14.25" customHeight="1"/>
    <row r="401" s="112" customFormat="1" ht="14.25" customHeight="1"/>
    <row r="402" s="112" customFormat="1" ht="14.25" customHeight="1"/>
    <row r="403" s="112" customFormat="1" ht="14.25" customHeight="1"/>
    <row r="404" s="112" customFormat="1" ht="14.25" customHeight="1"/>
    <row r="405" s="112" customFormat="1" ht="14.25" customHeight="1"/>
    <row r="406" s="112" customFormat="1" ht="14.25" customHeight="1"/>
    <row r="407" s="112" customFormat="1" ht="14.25" customHeight="1"/>
    <row r="408" s="112" customFormat="1" ht="14.25" customHeight="1"/>
    <row r="409" s="112" customFormat="1" ht="14.25" customHeight="1"/>
    <row r="410" s="112" customFormat="1" ht="14.25" customHeight="1"/>
    <row r="411" s="112" customFormat="1" ht="14.25" customHeight="1"/>
    <row r="412" s="112" customFormat="1" ht="14.25" customHeight="1"/>
    <row r="413" s="112" customFormat="1" ht="14.25" customHeight="1"/>
    <row r="414" s="112" customFormat="1" ht="14.25" customHeight="1"/>
    <row r="415" s="112" customFormat="1" ht="14.25" customHeight="1"/>
    <row r="416" s="112" customFormat="1" ht="14.25" customHeight="1"/>
    <row r="417" s="112" customFormat="1" ht="14.25" customHeight="1"/>
    <row r="418" s="112" customFormat="1" ht="14.25" customHeight="1"/>
    <row r="419" s="112" customFormat="1" ht="14.25" customHeight="1"/>
    <row r="420" s="112" customFormat="1" ht="14.25" customHeight="1"/>
    <row r="421" s="112" customFormat="1" ht="14.25" customHeight="1"/>
    <row r="422" s="112" customFormat="1" ht="14.25" customHeight="1"/>
    <row r="423" s="112" customFormat="1" ht="14.25" customHeight="1"/>
    <row r="424" s="112" customFormat="1" ht="14.25" customHeight="1"/>
    <row r="425" s="112" customFormat="1" ht="14.25" customHeight="1"/>
    <row r="426" s="112" customFormat="1" ht="14.25" customHeight="1"/>
    <row r="427" s="112" customFormat="1" ht="14.25" customHeight="1"/>
    <row r="428" s="112" customFormat="1" ht="14.25" customHeight="1"/>
    <row r="429" s="112" customFormat="1" ht="14.25" customHeight="1"/>
    <row r="430" s="112" customFormat="1" ht="14.25" customHeight="1"/>
    <row r="431" s="112" customFormat="1" ht="14.25" customHeight="1"/>
    <row r="432" s="112" customFormat="1" ht="14.25" customHeight="1"/>
    <row r="433" s="112" customFormat="1" ht="14.25" customHeight="1"/>
    <row r="434" s="112" customFormat="1" ht="14.25" customHeight="1"/>
    <row r="435" s="112" customFormat="1" ht="14.25" customHeight="1"/>
    <row r="436" s="112" customFormat="1" ht="14.25" customHeight="1"/>
    <row r="437" s="112" customFormat="1" ht="14.25" customHeight="1"/>
    <row r="438" s="112" customFormat="1" ht="14.25" customHeight="1"/>
    <row r="439" s="112" customFormat="1" ht="14.25" customHeight="1"/>
    <row r="440" s="112" customFormat="1" ht="14.25" customHeight="1"/>
    <row r="441" s="112" customFormat="1" ht="14.25" customHeight="1"/>
    <row r="442" s="112" customFormat="1" ht="14.25" customHeight="1"/>
    <row r="443" s="112" customFormat="1" ht="14.25" customHeight="1"/>
    <row r="444" s="112" customFormat="1" ht="14.25" customHeight="1"/>
    <row r="445" s="112" customFormat="1" ht="14.25" customHeight="1"/>
    <row r="446" s="112" customFormat="1" ht="14.25" customHeight="1"/>
    <row r="447" s="112" customFormat="1" ht="14.25" customHeight="1"/>
    <row r="448" s="112" customFormat="1" ht="14.25" customHeight="1"/>
    <row r="449" s="112" customFormat="1" ht="14.25" customHeight="1"/>
    <row r="450" s="112" customFormat="1" ht="14.25" customHeight="1"/>
    <row r="451" s="112" customFormat="1" ht="14.25" customHeight="1"/>
    <row r="452" s="112" customFormat="1" ht="14.25" customHeight="1"/>
    <row r="453" s="112" customFormat="1" ht="14.25" customHeight="1"/>
    <row r="454" s="112" customFormat="1" ht="14.25" customHeight="1"/>
    <row r="455" s="112" customFormat="1" ht="14.25" customHeight="1"/>
    <row r="456" s="112" customFormat="1" ht="14.25" customHeight="1"/>
    <row r="457" s="112" customFormat="1" ht="14.25" customHeight="1"/>
    <row r="458" s="112" customFormat="1" ht="14.25" customHeight="1"/>
    <row r="459" s="112" customFormat="1" ht="14.25" customHeight="1"/>
    <row r="460" s="112" customFormat="1" ht="14.25" customHeight="1"/>
    <row r="461" s="112" customFormat="1" ht="14.25" customHeight="1"/>
    <row r="462" s="112" customFormat="1" ht="14.25" customHeight="1"/>
    <row r="463" s="112" customFormat="1" ht="14.25" customHeight="1"/>
    <row r="464" s="112" customFormat="1" ht="14.25" customHeight="1"/>
    <row r="465" s="112" customFormat="1" ht="14.25" customHeight="1"/>
    <row r="466" s="112" customFormat="1" ht="14.25" customHeight="1"/>
    <row r="467" s="112" customFormat="1" ht="14.25" customHeight="1"/>
    <row r="468" s="112" customFormat="1" ht="14.25" customHeight="1"/>
    <row r="469" s="112" customFormat="1" ht="14.25" customHeight="1"/>
    <row r="470" s="112" customFormat="1" ht="14.25" customHeight="1"/>
    <row r="471" s="112" customFormat="1" ht="14.25" customHeight="1"/>
    <row r="472" s="112" customFormat="1" ht="14.25" customHeight="1"/>
    <row r="473" s="112" customFormat="1" ht="14.25" customHeight="1"/>
    <row r="474" s="112" customFormat="1" ht="14.25" customHeight="1"/>
    <row r="475" s="112" customFormat="1" ht="14.25" customHeight="1"/>
    <row r="476" s="112" customFormat="1" ht="14.25" customHeight="1"/>
    <row r="477" s="112" customFormat="1" ht="14.25" customHeight="1"/>
    <row r="478" s="112" customFormat="1" ht="14.25" customHeight="1"/>
    <row r="479" s="112" customFormat="1" ht="14.25" customHeight="1"/>
    <row r="480" s="112" customFormat="1" ht="14.25" customHeight="1"/>
    <row r="481" s="112" customFormat="1" ht="14.25" customHeight="1"/>
    <row r="482" s="112" customFormat="1" ht="14.25" customHeight="1"/>
    <row r="483" s="112" customFormat="1" ht="14.25" customHeight="1"/>
    <row r="484" s="112" customFormat="1" ht="14.25" customHeight="1"/>
    <row r="485" s="112" customFormat="1" ht="14.25" customHeight="1"/>
    <row r="486" s="112" customFormat="1" ht="14.25" customHeight="1"/>
    <row r="487" s="112" customFormat="1" ht="14.25" customHeight="1"/>
    <row r="488" s="112" customFormat="1" ht="14.25" customHeight="1"/>
    <row r="489" s="112" customFormat="1" ht="14.25" customHeight="1"/>
    <row r="490" s="112" customFormat="1" ht="14.25" customHeight="1"/>
    <row r="491" s="112" customFormat="1" ht="14.25" customHeight="1"/>
    <row r="492" s="112" customFormat="1" ht="14.25" customHeight="1"/>
    <row r="493" s="112" customFormat="1" ht="14.25" customHeight="1"/>
    <row r="494" s="112" customFormat="1" ht="14.25" customHeight="1"/>
    <row r="495" s="112" customFormat="1" ht="14.25" customHeight="1"/>
    <row r="496" s="112" customFormat="1" ht="14.25" customHeight="1"/>
    <row r="497" s="112" customFormat="1" ht="14.25" customHeight="1"/>
    <row r="498" s="112" customFormat="1" ht="14.25" customHeight="1"/>
    <row r="499" s="112" customFormat="1" ht="14.25" customHeight="1"/>
    <row r="500" s="112" customFormat="1" ht="14.25" customHeight="1"/>
    <row r="501" s="112" customFormat="1" ht="14.25" customHeight="1"/>
    <row r="502" s="112" customFormat="1" ht="14.25" customHeight="1"/>
    <row r="503" s="112" customFormat="1" ht="14.25" customHeight="1"/>
    <row r="504" s="112" customFormat="1" ht="14.25" customHeight="1"/>
    <row r="505" s="112" customFormat="1" ht="14.25" customHeight="1"/>
    <row r="506" s="112" customFormat="1" ht="14.25" customHeight="1"/>
    <row r="507" s="112" customFormat="1" ht="14.25" customHeight="1"/>
    <row r="508" s="112" customFormat="1" ht="14.25" customHeight="1"/>
    <row r="509" s="112" customFormat="1" ht="14.25" customHeight="1"/>
    <row r="510" s="112" customFormat="1" ht="14.25" customHeight="1"/>
    <row r="511" s="112" customFormat="1" ht="14.25" customHeight="1"/>
    <row r="512" s="112" customFormat="1" ht="14.25" customHeight="1"/>
    <row r="513" s="112" customFormat="1" ht="14.25" customHeight="1"/>
    <row r="514" s="112" customFormat="1" ht="14.25" customHeight="1"/>
    <row r="515" s="112" customFormat="1" ht="14.25" customHeight="1"/>
    <row r="516" s="112" customFormat="1" ht="14.25" customHeight="1"/>
    <row r="517" s="112" customFormat="1" ht="14.25" customHeight="1"/>
    <row r="518" s="112" customFormat="1" ht="14.25" customHeight="1"/>
    <row r="519" s="112" customFormat="1" ht="14.25" customHeight="1"/>
    <row r="520" s="112" customFormat="1" ht="14.25" customHeight="1"/>
    <row r="521" s="112" customFormat="1" ht="14.25" customHeight="1"/>
    <row r="522" s="112" customFormat="1" ht="14.25" customHeight="1"/>
    <row r="523" s="112" customFormat="1" ht="14.25" customHeight="1"/>
    <row r="524" s="112" customFormat="1" ht="14.25" customHeight="1"/>
    <row r="525" s="112" customFormat="1" ht="14.25" customHeight="1"/>
    <row r="526" s="112" customFormat="1" ht="14.25" customHeight="1"/>
    <row r="527" s="112" customFormat="1" ht="14.25" customHeight="1"/>
    <row r="528" s="112" customFormat="1" ht="14.25" customHeight="1"/>
    <row r="529" s="112" customFormat="1" ht="14.25" customHeight="1"/>
    <row r="530" s="112" customFormat="1" ht="14.25" customHeight="1"/>
    <row r="531" s="112" customFormat="1" ht="14.25" customHeight="1"/>
    <row r="532" s="112" customFormat="1" ht="14.25" customHeight="1"/>
    <row r="533" s="112" customFormat="1" ht="14.25" customHeight="1"/>
    <row r="534" s="112" customFormat="1" ht="14.25" customHeight="1"/>
    <row r="535" s="112" customFormat="1" ht="14.25" customHeight="1"/>
    <row r="536" s="112" customFormat="1" ht="14.25" customHeight="1"/>
    <row r="537" s="112" customFormat="1" ht="14.25" customHeight="1"/>
    <row r="538" s="112" customFormat="1" ht="14.25" customHeight="1"/>
    <row r="539" s="112" customFormat="1" ht="14.25" customHeight="1"/>
    <row r="540" s="112" customFormat="1" ht="14.25" customHeight="1"/>
    <row r="541" s="112" customFormat="1" ht="14.25" customHeight="1"/>
    <row r="542" s="112" customFormat="1" ht="14.25" customHeight="1"/>
    <row r="543" s="112" customFormat="1" ht="14.25" customHeight="1"/>
    <row r="544" s="112" customFormat="1" ht="14.25" customHeight="1"/>
    <row r="545" s="112" customFormat="1" ht="14.25" customHeight="1"/>
    <row r="546" s="112" customFormat="1" ht="14.25" customHeight="1"/>
    <row r="547" s="112" customFormat="1" ht="14.25" customHeight="1"/>
    <row r="548" s="112" customFormat="1" ht="14.25" customHeight="1"/>
    <row r="549" s="112" customFormat="1" ht="14.25" customHeight="1"/>
    <row r="550" s="112" customFormat="1" ht="14.25" customHeight="1"/>
    <row r="551" s="112" customFormat="1" ht="14.25" customHeight="1"/>
    <row r="552" s="112" customFormat="1" ht="14.25" customHeight="1"/>
    <row r="553" s="112" customFormat="1" ht="14.25" customHeight="1"/>
    <row r="554" s="112" customFormat="1" ht="14.25" customHeight="1"/>
    <row r="555" s="112" customFormat="1" ht="14.25" customHeight="1"/>
    <row r="556" s="112" customFormat="1" ht="14.25" customHeight="1"/>
    <row r="557" s="112" customFormat="1" ht="14.25" customHeight="1"/>
    <row r="558" s="112" customFormat="1" ht="14.25" customHeight="1"/>
    <row r="559" s="112" customFormat="1" ht="14.25" customHeight="1"/>
    <row r="560" s="112" customFormat="1" ht="14.25" customHeight="1"/>
    <row r="561" s="112" customFormat="1" ht="14.25" customHeight="1"/>
    <row r="562" s="112" customFormat="1" ht="14.25" customHeight="1"/>
    <row r="563" s="112" customFormat="1" ht="14.25" customHeight="1"/>
    <row r="564" s="112" customFormat="1" ht="14.25" customHeight="1"/>
    <row r="565" s="112" customFormat="1" ht="14.25" customHeight="1"/>
    <row r="566" s="112" customFormat="1" ht="14.25" customHeight="1"/>
    <row r="567" s="112" customFormat="1" ht="14.25" customHeight="1"/>
    <row r="568" s="112" customFormat="1" ht="14.25" customHeight="1"/>
    <row r="569" s="112" customFormat="1" ht="14.25" customHeight="1"/>
    <row r="570" s="112" customFormat="1" ht="14.25" customHeight="1"/>
    <row r="571" s="112" customFormat="1" ht="14.25" customHeight="1"/>
    <row r="572" s="112" customFormat="1" ht="14.25" customHeight="1"/>
    <row r="573" s="112" customFormat="1" ht="14.25" customHeight="1"/>
    <row r="574" s="112" customFormat="1" ht="14.25" customHeight="1"/>
    <row r="575" s="112" customFormat="1" ht="14.25" customHeight="1"/>
    <row r="576" s="112" customFormat="1" ht="14.25" customHeight="1"/>
    <row r="577" s="112" customFormat="1" ht="14.25" customHeight="1"/>
    <row r="578" s="112" customFormat="1" ht="14.25" customHeight="1"/>
    <row r="579" s="112" customFormat="1" ht="14.25" customHeight="1"/>
    <row r="580" s="112" customFormat="1" ht="14.25" customHeight="1"/>
    <row r="581" s="112" customFormat="1" ht="14.25" customHeight="1"/>
    <row r="582" s="112" customFormat="1" ht="14.25" customHeight="1"/>
    <row r="583" s="112" customFormat="1" ht="14.25" customHeight="1"/>
    <row r="584" s="112" customFormat="1" ht="14.25" customHeight="1"/>
    <row r="585" s="112" customFormat="1" ht="14.25" customHeight="1"/>
    <row r="586" s="112" customFormat="1" ht="14.25" customHeight="1"/>
    <row r="587" s="112" customFormat="1" ht="14.25" customHeight="1"/>
    <row r="588" s="112" customFormat="1" ht="14.25" customHeight="1"/>
    <row r="589" s="112" customFormat="1" ht="14.25" customHeight="1"/>
    <row r="590" s="112" customFormat="1" ht="14.25" customHeight="1"/>
    <row r="591" s="112" customFormat="1" ht="14.25" customHeight="1"/>
    <row r="592" s="112" customFormat="1" ht="14.25" customHeight="1"/>
    <row r="593" s="112" customFormat="1" ht="14.25" customHeight="1"/>
    <row r="594" s="112" customFormat="1" ht="14.25" customHeight="1"/>
    <row r="595" s="112" customFormat="1" ht="14.25" customHeight="1"/>
    <row r="596" s="112" customFormat="1" ht="14.25" customHeight="1"/>
    <row r="597" s="112" customFormat="1" ht="14.25" customHeight="1"/>
    <row r="598" s="112" customFormat="1" ht="14.25" customHeight="1"/>
    <row r="599" s="112" customFormat="1" ht="14.25" customHeight="1"/>
    <row r="600" s="112" customFormat="1" ht="14.25" customHeight="1"/>
    <row r="601" s="112" customFormat="1" ht="14.25" customHeight="1"/>
    <row r="602" s="112" customFormat="1" ht="14.25" customHeight="1"/>
    <row r="603" s="112" customFormat="1" ht="14.25" customHeight="1"/>
    <row r="604" s="112" customFormat="1" ht="14.25" customHeight="1"/>
    <row r="605" s="112" customFormat="1" ht="14.25" customHeight="1"/>
    <row r="606" s="112" customFormat="1" ht="14.25" customHeight="1"/>
    <row r="607" s="112" customFormat="1" ht="14.25" customHeight="1"/>
    <row r="608" s="112" customFormat="1" ht="14.25" customHeight="1"/>
    <row r="609" s="112" customFormat="1" ht="14.25" customHeight="1"/>
    <row r="610" s="112" customFormat="1" ht="14.25" customHeight="1"/>
    <row r="611" s="112" customFormat="1" ht="14.25" customHeight="1"/>
    <row r="612" s="112" customFormat="1" ht="14.25" customHeight="1"/>
    <row r="613" s="112" customFormat="1" ht="14.25" customHeight="1"/>
    <row r="614" s="112" customFormat="1" ht="14.25" customHeight="1"/>
    <row r="615" s="112" customFormat="1" ht="14.25" customHeight="1"/>
    <row r="616" s="112" customFormat="1" ht="14.25" customHeight="1"/>
    <row r="617" s="112" customFormat="1" ht="14.25" customHeight="1"/>
    <row r="618" s="112" customFormat="1" ht="14.25" customHeight="1"/>
    <row r="619" s="112" customFormat="1" ht="14.25" customHeight="1"/>
    <row r="620" s="112" customFormat="1" ht="14.25" customHeight="1"/>
    <row r="621" s="112" customFormat="1" ht="14.25" customHeight="1"/>
    <row r="622" s="112" customFormat="1" ht="14.25" customHeight="1"/>
    <row r="623" s="112" customFormat="1" ht="14.25" customHeight="1"/>
    <row r="624" s="112" customFormat="1" ht="14.25" customHeight="1"/>
    <row r="625" s="112" customFormat="1" ht="14.25" customHeight="1"/>
    <row r="626" s="112" customFormat="1" ht="14.25" customHeight="1"/>
    <row r="627" s="112" customFormat="1" ht="14.25" customHeight="1"/>
    <row r="628" s="112" customFormat="1" ht="14.25" customHeight="1"/>
    <row r="629" s="112" customFormat="1" ht="14.25" customHeight="1"/>
    <row r="630" s="112" customFormat="1" ht="14.25" customHeight="1"/>
    <row r="631" s="112" customFormat="1" ht="14.25" customHeight="1"/>
    <row r="632" s="112" customFormat="1" ht="14.25" customHeight="1"/>
    <row r="633" s="112" customFormat="1" ht="14.25" customHeight="1"/>
    <row r="634" s="112" customFormat="1" ht="14.25" customHeight="1"/>
    <row r="635" s="112" customFormat="1" ht="14.25" customHeight="1"/>
    <row r="636" s="112" customFormat="1" ht="14.25" customHeight="1"/>
    <row r="637" s="112" customFormat="1" ht="14.25" customHeight="1"/>
    <row r="638" s="112" customFormat="1" ht="14.25" customHeight="1"/>
    <row r="639" s="112" customFormat="1" ht="14.25" customHeight="1"/>
    <row r="640" s="112" customFormat="1" ht="14.25" customHeight="1"/>
    <row r="641" s="112" customFormat="1" ht="14.25" customHeight="1"/>
    <row r="642" s="112" customFormat="1" ht="14.25" customHeight="1"/>
    <row r="643" s="112" customFormat="1" ht="14.25" customHeight="1"/>
    <row r="644" s="112" customFormat="1" ht="14.25" customHeight="1"/>
    <row r="645" s="112" customFormat="1" ht="14.25" customHeight="1"/>
    <row r="646" s="112" customFormat="1" ht="14.25" customHeight="1"/>
    <row r="647" s="112" customFormat="1" ht="14.25" customHeight="1"/>
    <row r="648" s="112" customFormat="1" ht="14.25" customHeight="1"/>
    <row r="649" s="112" customFormat="1" ht="14.25" customHeight="1"/>
    <row r="650" s="112" customFormat="1" ht="14.25" customHeight="1"/>
    <row r="651" s="112" customFormat="1" ht="14.25" customHeight="1"/>
    <row r="652" s="112" customFormat="1" ht="14.25" customHeight="1"/>
    <row r="653" s="112" customFormat="1" ht="14.25" customHeight="1"/>
    <row r="654" s="112" customFormat="1" ht="14.25" customHeight="1"/>
    <row r="655" s="112" customFormat="1" ht="14.25" customHeight="1"/>
    <row r="656" s="112" customFormat="1" ht="14.25" customHeight="1"/>
    <row r="657" s="112" customFormat="1" ht="14.25" customHeight="1"/>
    <row r="658" s="112" customFormat="1" ht="14.25" customHeight="1"/>
    <row r="659" s="112" customFormat="1" ht="14.25" customHeight="1"/>
    <row r="660" s="112" customFormat="1" ht="14.25" customHeight="1"/>
    <row r="661" s="112" customFormat="1" ht="14.25" customHeight="1"/>
    <row r="662" s="112" customFormat="1" ht="14.25" customHeight="1"/>
    <row r="663" s="112" customFormat="1" ht="14.25" customHeight="1"/>
    <row r="664" s="112" customFormat="1" ht="14.25" customHeight="1"/>
    <row r="665" s="112" customFormat="1" ht="14.25" customHeight="1"/>
    <row r="666" s="112" customFormat="1" ht="14.25" customHeight="1"/>
    <row r="667" s="112" customFormat="1" ht="14.25" customHeight="1"/>
    <row r="668" s="112" customFormat="1" ht="14.25" customHeight="1"/>
    <row r="669" s="112" customFormat="1" ht="14.25" customHeight="1"/>
    <row r="670" s="112" customFormat="1" ht="14.25" customHeight="1"/>
    <row r="671" s="112" customFormat="1" ht="14.25" customHeight="1"/>
    <row r="672" s="112" customFormat="1" ht="14.25" customHeight="1"/>
    <row r="673" s="112" customFormat="1" ht="14.25" customHeight="1"/>
    <row r="674" s="112" customFormat="1" ht="14.25" customHeight="1"/>
    <row r="675" s="112" customFormat="1" ht="14.25" customHeight="1"/>
    <row r="676" s="112" customFormat="1" ht="14.25" customHeight="1"/>
    <row r="677" s="112" customFormat="1" ht="14.25" customHeight="1"/>
    <row r="678" s="112" customFormat="1" ht="14.25" customHeight="1"/>
    <row r="679" s="112" customFormat="1" ht="14.25" customHeight="1"/>
    <row r="680" s="112" customFormat="1" ht="14.25" customHeight="1"/>
    <row r="681" s="112" customFormat="1" ht="14.25" customHeight="1"/>
    <row r="682" s="112" customFormat="1" ht="14.25" customHeight="1"/>
    <row r="683" s="112" customFormat="1" ht="14.25" customHeight="1"/>
    <row r="684" s="112" customFormat="1" ht="14.25" customHeight="1"/>
    <row r="685" s="112" customFormat="1" ht="14.25" customHeight="1"/>
    <row r="686" s="112" customFormat="1" ht="14.25" customHeight="1"/>
    <row r="687" s="112" customFormat="1" ht="14.25" customHeight="1"/>
    <row r="688" s="112" customFormat="1" ht="14.25" customHeight="1"/>
    <row r="689" s="112" customFormat="1" ht="14.25" customHeight="1"/>
    <row r="690" s="112" customFormat="1" ht="14.25" customHeight="1"/>
    <row r="691" s="112" customFormat="1" ht="14.25" customHeight="1"/>
    <row r="692" s="112" customFormat="1" ht="14.25" customHeight="1"/>
    <row r="693" s="112" customFormat="1" ht="14.25" customHeight="1"/>
    <row r="694" s="112" customFormat="1" ht="14.25" customHeight="1"/>
    <row r="695" s="112" customFormat="1" ht="14.25" customHeight="1"/>
    <row r="696" s="112" customFormat="1" ht="14.25" customHeight="1"/>
    <row r="697" s="112" customFormat="1" ht="14.25" customHeight="1"/>
    <row r="698" s="112" customFormat="1" ht="14.25" customHeight="1"/>
    <row r="699" s="112" customFormat="1" ht="14.25" customHeight="1"/>
    <row r="700" s="112" customFormat="1" ht="14.25" customHeight="1"/>
    <row r="701" s="112" customFormat="1" ht="14.25" customHeight="1"/>
    <row r="702" s="112" customFormat="1" ht="14.25" customHeight="1"/>
    <row r="703" s="112" customFormat="1" ht="14.25" customHeight="1"/>
    <row r="704" s="112" customFormat="1" ht="14.25" customHeight="1"/>
    <row r="705" s="112" customFormat="1" ht="14.25" customHeight="1"/>
    <row r="706" s="112" customFormat="1" ht="14.25" customHeight="1"/>
    <row r="707" s="112" customFormat="1" ht="14.25" customHeight="1"/>
    <row r="708" s="112" customFormat="1" ht="14.25" customHeight="1"/>
    <row r="709" s="112" customFormat="1" ht="14.25" customHeight="1"/>
    <row r="710" s="112" customFormat="1" ht="14.25" customHeight="1"/>
    <row r="711" s="112" customFormat="1" ht="14.25" customHeight="1"/>
    <row r="712" s="112" customFormat="1" ht="14.25" customHeight="1"/>
    <row r="713" s="112" customFormat="1" ht="14.25" customHeight="1"/>
    <row r="714" s="112" customFormat="1" ht="14.25" customHeight="1"/>
    <row r="715" s="112" customFormat="1" ht="14.25" customHeight="1"/>
    <row r="716" s="112" customFormat="1" ht="14.25" customHeight="1"/>
    <row r="717" s="112" customFormat="1" ht="14.25" customHeight="1"/>
    <row r="718" s="112" customFormat="1" ht="14.25" customHeight="1"/>
    <row r="719" s="112" customFormat="1" ht="14.25" customHeight="1"/>
    <row r="720" s="112" customFormat="1" ht="14.25" customHeight="1"/>
    <row r="721" s="112" customFormat="1" ht="14.25" customHeight="1"/>
    <row r="722" s="112" customFormat="1" ht="14.25" customHeight="1"/>
    <row r="723" s="112" customFormat="1" ht="14.25" customHeight="1"/>
    <row r="724" s="112" customFormat="1" ht="14.25" customHeight="1"/>
    <row r="725" s="112" customFormat="1" ht="14.25" customHeight="1"/>
    <row r="726" s="112" customFormat="1" ht="14.25" customHeight="1"/>
    <row r="727" s="112" customFormat="1" ht="14.25" customHeight="1"/>
    <row r="728" s="112" customFormat="1" ht="14.25" customHeight="1"/>
    <row r="729" s="112" customFormat="1" ht="14.25" customHeight="1"/>
    <row r="730" s="112" customFormat="1" ht="14.25" customHeight="1"/>
    <row r="731" s="112" customFormat="1" ht="14.25" customHeight="1"/>
    <row r="732" s="112" customFormat="1" ht="14.25" customHeight="1"/>
    <row r="733" s="112" customFormat="1" ht="14.25" customHeight="1"/>
    <row r="734" s="112" customFormat="1" ht="14.25" customHeight="1"/>
    <row r="735" s="112" customFormat="1" ht="14.25" customHeight="1"/>
    <row r="736" s="112" customFormat="1" ht="14.25" customHeight="1"/>
    <row r="737" s="112" customFormat="1" ht="14.25" customHeight="1"/>
    <row r="738" s="112" customFormat="1" ht="14.25" customHeight="1"/>
    <row r="739" s="112" customFormat="1" ht="14.25" customHeight="1"/>
    <row r="740" s="112" customFormat="1" ht="14.25" customHeight="1"/>
    <row r="741" s="112" customFormat="1" ht="14.25" customHeight="1"/>
    <row r="742" s="112" customFormat="1" ht="14.25" customHeight="1"/>
    <row r="743" s="112" customFormat="1" ht="14.25" customHeight="1"/>
    <row r="744" s="112" customFormat="1" ht="14.25" customHeight="1"/>
    <row r="745" s="112" customFormat="1" ht="14.25" customHeight="1"/>
    <row r="746" s="112" customFormat="1" ht="14.25" customHeight="1"/>
    <row r="747" s="112" customFormat="1" ht="14.25" customHeight="1"/>
    <row r="748" s="112" customFormat="1" ht="14.25" customHeight="1"/>
    <row r="749" s="112" customFormat="1" ht="14.25" customHeight="1"/>
    <row r="750" s="112" customFormat="1" ht="14.25" customHeight="1"/>
    <row r="751" s="112" customFormat="1" ht="14.25" customHeight="1"/>
    <row r="752" s="112" customFormat="1" ht="14.25" customHeight="1"/>
    <row r="753" s="112" customFormat="1" ht="14.25" customHeight="1"/>
    <row r="754" s="112" customFormat="1" ht="14.25" customHeight="1"/>
    <row r="755" s="112" customFormat="1" ht="14.25" customHeight="1"/>
    <row r="756" s="112" customFormat="1" ht="14.25" customHeight="1"/>
    <row r="757" s="112" customFormat="1" ht="14.25" customHeight="1"/>
    <row r="758" s="112" customFormat="1" ht="14.25" customHeight="1"/>
    <row r="759" s="112" customFormat="1" ht="14.25" customHeight="1"/>
    <row r="760" s="112" customFormat="1" ht="14.25" customHeight="1"/>
    <row r="761" s="112" customFormat="1" ht="14.25" customHeight="1"/>
    <row r="762" s="112" customFormat="1" ht="14.25" customHeight="1"/>
    <row r="763" s="112" customFormat="1" ht="14.25" customHeight="1"/>
    <row r="764" s="112" customFormat="1" ht="14.25" customHeight="1"/>
    <row r="765" s="112" customFormat="1" ht="14.25" customHeight="1"/>
    <row r="766" s="112" customFormat="1" ht="14.25" customHeight="1"/>
    <row r="767" s="112" customFormat="1" ht="14.25" customHeight="1"/>
    <row r="768" s="112" customFormat="1" ht="14.25" customHeight="1"/>
    <row r="769" s="112" customFormat="1" ht="14.25" customHeight="1"/>
    <row r="770" s="112" customFormat="1" ht="14.25" customHeight="1"/>
    <row r="771" s="112" customFormat="1" ht="14.25" customHeight="1"/>
    <row r="772" s="112" customFormat="1" ht="14.25" customHeight="1"/>
    <row r="773" s="112" customFormat="1" ht="14.25" customHeight="1"/>
    <row r="774" s="112" customFormat="1" ht="14.25" customHeight="1"/>
    <row r="775" s="112" customFormat="1" ht="14.25" customHeight="1"/>
    <row r="776" s="112" customFormat="1" ht="14.25" customHeight="1"/>
    <row r="777" s="112" customFormat="1" ht="14.25" customHeight="1"/>
    <row r="778" s="112" customFormat="1" ht="14.25" customHeight="1"/>
    <row r="779" s="112" customFormat="1" ht="14.25" customHeight="1"/>
    <row r="780" s="112" customFormat="1" ht="14.25" customHeight="1"/>
    <row r="781" s="112" customFormat="1" ht="14.25" customHeight="1"/>
    <row r="782" s="112" customFormat="1" ht="14.25" customHeight="1"/>
    <row r="783" s="112" customFormat="1" ht="14.25" customHeight="1"/>
    <row r="784" s="112" customFormat="1" ht="14.25" customHeight="1"/>
    <row r="785" s="112" customFormat="1" ht="14.25" customHeight="1"/>
    <row r="786" s="112" customFormat="1" ht="14.25" customHeight="1"/>
    <row r="787" s="112" customFormat="1" ht="14.25" customHeight="1"/>
    <row r="788" s="112" customFormat="1" ht="14.25" customHeight="1"/>
    <row r="789" s="112" customFormat="1" ht="14.25" customHeight="1"/>
    <row r="790" s="112" customFormat="1" ht="14.25" customHeight="1"/>
    <row r="791" s="112" customFormat="1" ht="14.25" customHeight="1"/>
    <row r="792" s="112" customFormat="1" ht="14.25" customHeight="1"/>
    <row r="793" s="112" customFormat="1" ht="14.25" customHeight="1"/>
    <row r="794" s="112" customFormat="1" ht="14.25" customHeight="1"/>
    <row r="795" s="112" customFormat="1" ht="14.25" customHeight="1"/>
    <row r="796" s="112" customFormat="1" ht="14.25" customHeight="1"/>
    <row r="797" s="112" customFormat="1" ht="14.25" customHeight="1"/>
    <row r="798" s="112" customFormat="1" ht="14.25" customHeight="1"/>
    <row r="799" s="112" customFormat="1" ht="14.25" customHeight="1"/>
    <row r="800" s="112" customFormat="1" ht="14.25" customHeight="1"/>
    <row r="801" s="112" customFormat="1" ht="14.25" customHeight="1"/>
    <row r="802" s="112" customFormat="1" ht="14.25" customHeight="1"/>
    <row r="803" s="112" customFormat="1" ht="14.25" customHeight="1"/>
    <row r="804" s="112" customFormat="1" ht="14.25" customHeight="1"/>
    <row r="805" s="112" customFormat="1" ht="14.25" customHeight="1"/>
    <row r="806" s="112" customFormat="1" ht="14.25" customHeight="1"/>
    <row r="807" s="112" customFormat="1" ht="14.25" customHeight="1"/>
    <row r="808" s="112" customFormat="1" ht="14.25" customHeight="1"/>
    <row r="809" s="112" customFormat="1" ht="14.25" customHeight="1"/>
    <row r="810" s="112" customFormat="1" ht="14.25" customHeight="1"/>
    <row r="811" s="112" customFormat="1" ht="14.25" customHeight="1"/>
    <row r="812" s="112" customFormat="1" ht="14.25" customHeight="1"/>
    <row r="813" s="112" customFormat="1" ht="14.25" customHeight="1"/>
    <row r="814" s="112" customFormat="1" ht="14.25" customHeight="1"/>
    <row r="815" s="112" customFormat="1" ht="14.25" customHeight="1"/>
    <row r="816" s="112" customFormat="1" ht="14.25" customHeight="1"/>
    <row r="817" s="112" customFormat="1" ht="14.25" customHeight="1"/>
    <row r="818" s="112" customFormat="1" ht="14.25" customHeight="1"/>
    <row r="819" s="112" customFormat="1" ht="14.25" customHeight="1"/>
    <row r="820" s="112" customFormat="1" ht="14.25" customHeight="1"/>
    <row r="821" s="112" customFormat="1" ht="14.25" customHeight="1"/>
    <row r="822" s="112" customFormat="1" ht="14.25" customHeight="1"/>
    <row r="823" s="112" customFormat="1" ht="14.25" customHeight="1"/>
    <row r="824" s="112" customFormat="1" ht="14.25" customHeight="1"/>
    <row r="825" s="112" customFormat="1" ht="14.25" customHeight="1"/>
    <row r="826" s="112" customFormat="1" ht="14.25" customHeight="1"/>
    <row r="827" s="112" customFormat="1" ht="14.25" customHeight="1"/>
    <row r="828" s="112" customFormat="1" ht="14.25" customHeight="1"/>
    <row r="829" s="112" customFormat="1" ht="14.25" customHeight="1"/>
    <row r="830" s="112" customFormat="1" ht="14.25" customHeight="1"/>
    <row r="831" s="112" customFormat="1" ht="14.25" customHeight="1"/>
    <row r="832" s="112" customFormat="1" ht="14.25" customHeight="1"/>
    <row r="833" s="112" customFormat="1" ht="14.25" customHeight="1"/>
    <row r="834" s="112" customFormat="1" ht="14.25" customHeight="1"/>
    <row r="835" s="112" customFormat="1" ht="14.25" customHeight="1"/>
    <row r="836" s="112" customFormat="1" ht="14.25" customHeight="1"/>
    <row r="837" s="112" customFormat="1" ht="14.25" customHeight="1"/>
    <row r="838" s="112" customFormat="1" ht="14.25" customHeight="1"/>
    <row r="839" s="112" customFormat="1" ht="14.25" customHeight="1"/>
    <row r="840" s="112" customFormat="1" ht="14.25" customHeight="1"/>
    <row r="841" s="112" customFormat="1" ht="14.25" customHeight="1"/>
    <row r="842" s="112" customFormat="1" ht="14.25" customHeight="1"/>
    <row r="843" s="112" customFormat="1" ht="14.25" customHeight="1"/>
    <row r="844" s="112" customFormat="1" ht="14.25" customHeight="1"/>
    <row r="845" s="112" customFormat="1" ht="14.25" customHeight="1"/>
    <row r="846" s="112" customFormat="1" ht="14.25" customHeight="1"/>
    <row r="847" s="112" customFormat="1" ht="14.25" customHeight="1"/>
    <row r="848" s="112" customFormat="1" ht="14.25" customHeight="1"/>
    <row r="849" s="112" customFormat="1" ht="14.25" customHeight="1"/>
    <row r="850" s="112" customFormat="1" ht="14.25" customHeight="1"/>
    <row r="851" s="112" customFormat="1" ht="14.25" customHeight="1"/>
    <row r="852" s="112" customFormat="1" ht="14.25" customHeight="1"/>
    <row r="853" s="112" customFormat="1" ht="14.25" customHeight="1"/>
    <row r="854" s="112" customFormat="1" ht="14.25" customHeight="1"/>
    <row r="855" s="112" customFormat="1" ht="14.25" customHeight="1"/>
    <row r="856" s="112" customFormat="1" ht="14.25" customHeight="1"/>
    <row r="857" s="112" customFormat="1" ht="14.25" customHeight="1"/>
    <row r="858" s="112" customFormat="1" ht="14.25" customHeight="1"/>
    <row r="859" s="112" customFormat="1" ht="14.25" customHeight="1"/>
    <row r="860" s="112" customFormat="1" ht="14.25" customHeight="1"/>
    <row r="861" s="112" customFormat="1" ht="14.25" customHeight="1"/>
    <row r="862" s="112" customFormat="1" ht="14.25" customHeight="1"/>
    <row r="863" s="112" customFormat="1" ht="14.25" customHeight="1"/>
    <row r="864" s="112" customFormat="1" ht="14.25" customHeight="1"/>
    <row r="865" s="112" customFormat="1" ht="14.25" customHeight="1"/>
    <row r="866" s="112" customFormat="1" ht="14.25" customHeight="1"/>
    <row r="867" s="112" customFormat="1" ht="14.25" customHeight="1"/>
    <row r="868" s="112" customFormat="1" ht="14.25" customHeight="1"/>
    <row r="869" s="112" customFormat="1" ht="14.25" customHeight="1"/>
    <row r="870" s="112" customFormat="1" ht="14.25" customHeight="1"/>
    <row r="871" s="112" customFormat="1" ht="14.25" customHeight="1"/>
    <row r="872" s="112" customFormat="1" ht="14.25" customHeight="1"/>
    <row r="873" s="112" customFormat="1" ht="14.25" customHeight="1"/>
    <row r="874" s="112" customFormat="1" ht="14.25" customHeight="1"/>
    <row r="875" s="112" customFormat="1" ht="14.25" customHeight="1"/>
    <row r="876" s="112" customFormat="1" ht="14.25" customHeight="1"/>
    <row r="877" s="112" customFormat="1" ht="14.25" customHeight="1"/>
    <row r="878" s="112" customFormat="1" ht="14.25" customHeight="1"/>
    <row r="879" s="112" customFormat="1" ht="14.25" customHeight="1"/>
    <row r="880" s="112" customFormat="1" ht="14.25" customHeight="1"/>
    <row r="881" s="112" customFormat="1" ht="14.25" customHeight="1"/>
    <row r="882" s="112" customFormat="1" ht="14.25" customHeight="1"/>
    <row r="883" s="112" customFormat="1" ht="14.25" customHeight="1"/>
    <row r="884" s="112" customFormat="1" ht="14.25" customHeight="1"/>
    <row r="885" s="112" customFormat="1" ht="14.25" customHeight="1"/>
    <row r="886" s="112" customFormat="1" ht="14.25" customHeight="1"/>
    <row r="887" s="112" customFormat="1" ht="14.25" customHeight="1"/>
    <row r="888" s="112" customFormat="1" ht="14.25" customHeight="1"/>
    <row r="889" s="112" customFormat="1" ht="14.25" customHeight="1"/>
    <row r="890" s="112" customFormat="1" ht="14.25" customHeight="1"/>
    <row r="891" s="112" customFormat="1" ht="14.25" customHeight="1"/>
    <row r="892" s="112" customFormat="1" ht="14.25" customHeight="1"/>
    <row r="893" s="112" customFormat="1" ht="14.25" customHeight="1"/>
    <row r="894" s="112" customFormat="1" ht="14.25" customHeight="1"/>
    <row r="895" s="112" customFormat="1" ht="14.25" customHeight="1"/>
    <row r="896" s="112" customFormat="1" ht="14.25" customHeight="1"/>
    <row r="897" s="112" customFormat="1" ht="14.25" customHeight="1"/>
    <row r="898" s="112" customFormat="1" ht="14.25" customHeight="1"/>
    <row r="899" s="112" customFormat="1" ht="14.25" customHeight="1"/>
    <row r="900" s="112" customFormat="1" ht="14.25" customHeight="1"/>
    <row r="901" s="112" customFormat="1" ht="14.25" customHeight="1"/>
    <row r="902" s="112" customFormat="1" ht="14.25" customHeight="1"/>
    <row r="903" s="112" customFormat="1" ht="14.25" customHeight="1"/>
    <row r="904" s="112" customFormat="1" ht="14.25" customHeight="1"/>
    <row r="905" s="112" customFormat="1" ht="14.25" customHeight="1"/>
    <row r="906" s="112" customFormat="1" ht="14.25" customHeight="1"/>
    <row r="907" s="112" customFormat="1" ht="14.25" customHeight="1"/>
    <row r="908" s="112" customFormat="1" ht="14.25" customHeight="1"/>
    <row r="909" s="112" customFormat="1" ht="14.25" customHeight="1"/>
    <row r="910" s="112" customFormat="1" ht="14.25" customHeight="1"/>
    <row r="911" s="112" customFormat="1" ht="14.25" customHeight="1"/>
    <row r="912" s="112" customFormat="1" ht="14.25" customHeight="1"/>
    <row r="913" s="112" customFormat="1" ht="14.25" customHeight="1"/>
    <row r="914" s="112" customFormat="1" ht="14.25" customHeight="1"/>
    <row r="915" s="112" customFormat="1" ht="14.25" customHeight="1"/>
    <row r="916" s="112" customFormat="1" ht="14.25" customHeight="1"/>
    <row r="917" s="112" customFormat="1" ht="14.25" customHeight="1"/>
    <row r="918" s="112" customFormat="1" ht="14.25" customHeight="1"/>
    <row r="919" s="112" customFormat="1" ht="14.25" customHeight="1"/>
    <row r="920" s="112" customFormat="1" ht="14.25" customHeight="1"/>
    <row r="921" s="112" customFormat="1" ht="14.25" customHeight="1"/>
    <row r="922" s="112" customFormat="1" ht="14.25" customHeight="1"/>
    <row r="923" s="112" customFormat="1" ht="14.25" customHeight="1"/>
    <row r="924" s="112" customFormat="1" ht="14.25" customHeight="1"/>
    <row r="925" s="112" customFormat="1" ht="14.25" customHeight="1"/>
    <row r="926" s="112" customFormat="1" ht="14.25" customHeight="1"/>
    <row r="927" s="112" customFormat="1" ht="14.25" customHeight="1"/>
    <row r="928" s="112" customFormat="1" ht="14.25" customHeight="1"/>
    <row r="929" s="112" customFormat="1" ht="14.25" customHeight="1"/>
    <row r="930" s="112" customFormat="1" ht="14.25" customHeight="1"/>
    <row r="931" s="112" customFormat="1" ht="14.25" customHeight="1"/>
    <row r="932" s="112" customFormat="1" ht="14.25" customHeight="1"/>
    <row r="933" s="112" customFormat="1" ht="14.25" customHeight="1"/>
    <row r="934" s="112" customFormat="1" ht="14.25" customHeight="1"/>
    <row r="935" s="112" customFormat="1" ht="14.25" customHeight="1"/>
    <row r="936" s="112" customFormat="1" ht="14.25" customHeight="1"/>
    <row r="937" s="112" customFormat="1" ht="14.25" customHeight="1"/>
    <row r="938" s="112" customFormat="1" ht="14.25" customHeight="1"/>
    <row r="939" s="112" customFormat="1" ht="14.25" customHeight="1"/>
    <row r="940" s="112" customFormat="1" ht="14.25" customHeight="1"/>
    <row r="941" s="112" customFormat="1" ht="14.25" customHeight="1"/>
    <row r="942" s="112" customFormat="1" ht="14.25" customHeight="1"/>
    <row r="943" s="112" customFormat="1" ht="14.25" customHeight="1"/>
    <row r="944" s="112" customFormat="1" ht="14.25" customHeight="1"/>
    <row r="945" s="112" customFormat="1" ht="14.25" customHeight="1"/>
    <row r="946" s="112" customFormat="1" ht="14.25" customHeight="1"/>
    <row r="947" s="112" customFormat="1" ht="14.25" customHeight="1"/>
    <row r="948" s="112" customFormat="1" ht="14.25" customHeight="1"/>
    <row r="949" s="112" customFormat="1" ht="14.25" customHeight="1"/>
    <row r="950" s="112" customFormat="1" ht="14.25" customHeight="1"/>
    <row r="951" s="112" customFormat="1" ht="14.25" customHeight="1"/>
    <row r="952" s="112" customFormat="1" ht="14.25" customHeight="1"/>
    <row r="953" s="112" customFormat="1" ht="14.25" customHeight="1"/>
    <row r="954" s="112" customFormat="1" ht="14.25" customHeight="1"/>
    <row r="955" s="112" customFormat="1" ht="14.25" customHeight="1"/>
    <row r="956" s="112" customFormat="1" ht="14.25" customHeight="1"/>
    <row r="957" s="112" customFormat="1" ht="14.25" customHeight="1"/>
    <row r="958" s="112" customFormat="1" ht="14.25" customHeight="1"/>
    <row r="959" s="112" customFormat="1" ht="14.25" customHeight="1"/>
    <row r="960" s="112" customFormat="1" ht="14.25" customHeight="1"/>
    <row r="961" s="112" customFormat="1" ht="14.25" customHeight="1"/>
    <row r="962" s="112" customFormat="1" ht="14.25" customHeight="1"/>
    <row r="963" s="112" customFormat="1" ht="14.25" customHeight="1"/>
    <row r="964" s="112" customFormat="1" ht="14.25" customHeight="1"/>
    <row r="965" s="112" customFormat="1" ht="14.25" customHeight="1"/>
    <row r="966" s="112" customFormat="1" ht="14.25" customHeight="1"/>
    <row r="967" s="112" customFormat="1" ht="14.25" customHeight="1"/>
    <row r="968" s="112" customFormat="1" ht="14.25" customHeight="1"/>
    <row r="969" s="112" customFormat="1" ht="14.25" customHeight="1"/>
    <row r="970" s="112" customFormat="1" ht="14.25" customHeight="1"/>
    <row r="971" s="112" customFormat="1" ht="14.25" customHeight="1"/>
    <row r="972" s="112" customFormat="1" ht="14.25" customHeight="1"/>
    <row r="973" s="112" customFormat="1" ht="14.25" customHeight="1"/>
    <row r="974" s="112" customFormat="1" ht="14.25" customHeight="1"/>
    <row r="975" s="112" customFormat="1" ht="14.25" customHeight="1"/>
    <row r="976" s="112" customFormat="1" ht="14.25" customHeight="1"/>
    <row r="977" s="112" customFormat="1" ht="14.25" customHeight="1"/>
    <row r="978" s="112" customFormat="1" ht="14.25" customHeight="1"/>
    <row r="979" s="112" customFormat="1" ht="14.25" customHeight="1"/>
    <row r="980" s="112" customFormat="1" ht="14.25" customHeight="1"/>
    <row r="981" s="112" customFormat="1" ht="14.25" customHeight="1"/>
    <row r="982" s="112" customFormat="1" ht="14.25" customHeight="1"/>
    <row r="983" s="112" customFormat="1" ht="14.25" customHeight="1"/>
    <row r="984" s="112" customFormat="1" ht="14.25" customHeight="1"/>
    <row r="985" s="112" customFormat="1" ht="14.25" customHeight="1"/>
    <row r="986" s="112" customFormat="1" ht="14.25" customHeight="1"/>
    <row r="987" s="112" customFormat="1" ht="14.25" customHeight="1"/>
    <row r="988" s="112" customFormat="1" ht="14.25" customHeight="1"/>
    <row r="989" s="112" customFormat="1" ht="14.25" customHeight="1"/>
    <row r="990" s="112" customFormat="1" ht="14.25" customHeight="1"/>
    <row r="991" s="112" customFormat="1" ht="14.25" customHeight="1"/>
    <row r="992" s="112" customFormat="1" ht="14.25" customHeight="1"/>
    <row r="993" s="112" customFormat="1" ht="14.25" customHeight="1"/>
    <row r="994" s="112" customFormat="1" ht="14.25" customHeight="1"/>
    <row r="995" s="112" customFormat="1" ht="14.25" customHeight="1"/>
    <row r="996" s="112" customFormat="1" ht="14.25" customHeight="1"/>
    <row r="997" s="112" customFormat="1" ht="14.25" customHeight="1"/>
    <row r="998" s="112" customFormat="1" ht="14.25" customHeight="1"/>
    <row r="999" s="112" customFormat="1" ht="14.25" customHeight="1"/>
    <row r="1000" s="112" customFormat="1" ht="14.25" customHeight="1"/>
  </sheetData>
  <conditionalFormatting sqref="C49:E66">
    <cfRule type="cellIs" dxfId="5" priority="1" operator="equal">
      <formula>"-"</formula>
    </cfRule>
    <cfRule type="cellIs" dxfId="4" priority="2" operator="equal">
      <formula>"TRUE"</formula>
    </cfRule>
  </conditionalFormatting>
  <conditionalFormatting sqref="C70:E71">
    <cfRule type="cellIs" dxfId="3" priority="3" operator="equal">
      <formula>"-"</formula>
    </cfRule>
    <cfRule type="cellIs" dxfId="2" priority="4" operator="equal">
      <formula>"TRUE"</formula>
    </cfRule>
  </conditionalFormatting>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6836-440D-4F4A-80A8-5A3208F278BF}">
  <dimension ref="A1:Z1000"/>
  <sheetViews>
    <sheetView workbookViewId="0">
      <pane ySplit="1" topLeftCell="A2" activePane="bottomLeft" state="frozen"/>
      <selection pane="bottomLeft" activeCell="B3" sqref="B3"/>
    </sheetView>
  </sheetViews>
  <sheetFormatPr defaultColWidth="12.625" defaultRowHeight="15" customHeight="1"/>
  <cols>
    <col min="1" max="1" width="65.875" style="112" customWidth="1"/>
    <col min="2" max="2" width="24.875" style="112" customWidth="1"/>
    <col min="3" max="6" width="12.625" style="112" customWidth="1"/>
    <col min="7" max="16384" width="12.625" style="112"/>
  </cols>
  <sheetData>
    <row r="1" spans="1:26" ht="14.25" customHeight="1">
      <c r="A1" s="155" t="s">
        <v>5663</v>
      </c>
      <c r="B1" s="155" t="s">
        <v>6556</v>
      </c>
      <c r="C1" s="116"/>
      <c r="D1" s="116"/>
      <c r="E1" s="116"/>
      <c r="F1" s="116"/>
      <c r="G1" s="116"/>
      <c r="H1" s="116"/>
      <c r="I1" s="116"/>
      <c r="J1" s="116"/>
      <c r="K1" s="116"/>
      <c r="L1" s="116"/>
      <c r="M1" s="116"/>
      <c r="N1" s="116"/>
      <c r="O1" s="116"/>
      <c r="P1" s="116"/>
      <c r="Q1" s="116"/>
      <c r="R1" s="116"/>
      <c r="S1" s="116"/>
      <c r="T1" s="116"/>
      <c r="U1" s="116"/>
      <c r="V1" s="116"/>
      <c r="W1" s="116"/>
      <c r="X1" s="116"/>
      <c r="Y1" s="116"/>
      <c r="Z1" s="116"/>
    </row>
    <row r="2" spans="1:26" ht="14.25" customHeight="1">
      <c r="A2" s="137" t="s">
        <v>5605</v>
      </c>
      <c r="B2" s="137" t="s">
        <v>984</v>
      </c>
      <c r="C2" s="116"/>
      <c r="D2" s="116"/>
      <c r="E2" s="116"/>
      <c r="F2" s="116"/>
      <c r="G2" s="116"/>
      <c r="H2" s="116"/>
      <c r="I2" s="116"/>
      <c r="J2" s="116"/>
      <c r="K2" s="116"/>
      <c r="L2" s="116"/>
      <c r="M2" s="116"/>
      <c r="N2" s="116"/>
      <c r="O2" s="116"/>
      <c r="P2" s="116"/>
      <c r="Q2" s="116"/>
      <c r="R2" s="116"/>
      <c r="S2" s="116"/>
      <c r="T2" s="116"/>
      <c r="U2" s="116"/>
      <c r="V2" s="116"/>
      <c r="W2" s="116"/>
      <c r="X2" s="116"/>
      <c r="Y2" s="116"/>
      <c r="Z2" s="116"/>
    </row>
    <row r="3" spans="1:26" ht="14.25" customHeight="1">
      <c r="A3" s="137" t="s">
        <v>5592</v>
      </c>
      <c r="B3" s="137" t="s">
        <v>6555</v>
      </c>
      <c r="C3" s="116"/>
      <c r="D3" s="116"/>
      <c r="E3" s="116"/>
      <c r="F3" s="116"/>
      <c r="G3" s="116"/>
      <c r="H3" s="116"/>
      <c r="I3" s="116"/>
      <c r="J3" s="116"/>
      <c r="K3" s="116"/>
      <c r="L3" s="116"/>
      <c r="M3" s="116"/>
      <c r="N3" s="116"/>
      <c r="O3" s="116"/>
      <c r="P3" s="116"/>
      <c r="Q3" s="116"/>
      <c r="R3" s="116"/>
      <c r="S3" s="116"/>
      <c r="T3" s="116"/>
      <c r="U3" s="116"/>
      <c r="V3" s="116"/>
      <c r="W3" s="116"/>
      <c r="X3" s="116"/>
      <c r="Y3" s="116"/>
      <c r="Z3" s="116"/>
    </row>
    <row r="4" spans="1:26" ht="14.25" customHeight="1">
      <c r="A4" s="153" t="s">
        <v>6554</v>
      </c>
      <c r="B4" s="137" t="s">
        <v>984</v>
      </c>
      <c r="C4" s="116"/>
      <c r="D4" s="116"/>
      <c r="E4" s="116"/>
      <c r="F4" s="116"/>
      <c r="G4" s="116"/>
      <c r="H4" s="116"/>
      <c r="I4" s="116"/>
      <c r="J4" s="116"/>
      <c r="K4" s="116"/>
      <c r="L4" s="116"/>
      <c r="M4" s="116"/>
      <c r="N4" s="116"/>
      <c r="O4" s="116"/>
      <c r="P4" s="116"/>
      <c r="Q4" s="116"/>
      <c r="R4" s="116"/>
      <c r="S4" s="116"/>
      <c r="T4" s="116"/>
      <c r="U4" s="116"/>
      <c r="V4" s="116"/>
      <c r="W4" s="116"/>
      <c r="X4" s="116"/>
      <c r="Y4" s="116"/>
      <c r="Z4" s="116"/>
    </row>
    <row r="5" spans="1:26" ht="14.25" customHeight="1">
      <c r="A5" s="137" t="s">
        <v>5558</v>
      </c>
      <c r="B5" s="137" t="s">
        <v>6553</v>
      </c>
      <c r="C5" s="116"/>
      <c r="D5" s="116"/>
      <c r="E5" s="116"/>
      <c r="F5" s="116"/>
      <c r="G5" s="116"/>
      <c r="H5" s="116"/>
      <c r="I5" s="116"/>
      <c r="J5" s="116"/>
      <c r="K5" s="116"/>
      <c r="L5" s="116"/>
      <c r="M5" s="116"/>
      <c r="N5" s="116"/>
      <c r="O5" s="116"/>
      <c r="P5" s="116"/>
      <c r="Q5" s="116"/>
      <c r="R5" s="116"/>
      <c r="S5" s="116"/>
      <c r="T5" s="116"/>
      <c r="U5" s="116"/>
      <c r="V5" s="116"/>
      <c r="W5" s="116"/>
      <c r="X5" s="116"/>
      <c r="Y5" s="116"/>
      <c r="Z5" s="116"/>
    </row>
    <row r="6" spans="1:26" ht="14.25" customHeight="1">
      <c r="A6" s="137" t="s">
        <v>5555</v>
      </c>
      <c r="B6" s="137" t="s">
        <v>984</v>
      </c>
      <c r="C6" s="116"/>
      <c r="D6" s="116"/>
      <c r="E6" s="116"/>
      <c r="F6" s="116"/>
      <c r="G6" s="116"/>
      <c r="H6" s="116"/>
      <c r="I6" s="116"/>
      <c r="J6" s="116"/>
      <c r="K6" s="116"/>
      <c r="L6" s="116"/>
      <c r="M6" s="116"/>
      <c r="N6" s="116"/>
      <c r="O6" s="116"/>
      <c r="P6" s="116"/>
      <c r="Q6" s="116"/>
      <c r="R6" s="116"/>
      <c r="S6" s="116"/>
      <c r="T6" s="116"/>
      <c r="U6" s="116"/>
      <c r="V6" s="116"/>
      <c r="W6" s="116"/>
      <c r="X6" s="116"/>
      <c r="Y6" s="116"/>
      <c r="Z6" s="116"/>
    </row>
    <row r="7" spans="1:26" ht="14.25" customHeight="1">
      <c r="A7" s="137" t="s">
        <v>40</v>
      </c>
      <c r="B7" s="137" t="s">
        <v>6552</v>
      </c>
      <c r="C7" s="116"/>
      <c r="D7" s="116"/>
      <c r="E7" s="116"/>
      <c r="F7" s="116"/>
      <c r="G7" s="116"/>
      <c r="H7" s="116"/>
      <c r="I7" s="116"/>
      <c r="J7" s="116"/>
      <c r="K7" s="116"/>
      <c r="L7" s="116"/>
      <c r="M7" s="116"/>
      <c r="N7" s="116"/>
      <c r="O7" s="116"/>
      <c r="P7" s="116"/>
      <c r="Q7" s="116"/>
      <c r="R7" s="116"/>
      <c r="S7" s="116"/>
      <c r="T7" s="116"/>
      <c r="U7" s="116"/>
      <c r="V7" s="116"/>
      <c r="W7" s="116"/>
      <c r="X7" s="116"/>
      <c r="Y7" s="116"/>
      <c r="Z7" s="116"/>
    </row>
    <row r="8" spans="1:26" ht="14.25" customHeight="1">
      <c r="A8" s="137" t="s">
        <v>5543</v>
      </c>
      <c r="B8" s="152" t="s">
        <v>6551</v>
      </c>
      <c r="C8" s="116"/>
      <c r="D8" s="116"/>
      <c r="E8" s="116"/>
      <c r="F8" s="116"/>
      <c r="G8" s="116"/>
      <c r="H8" s="116"/>
      <c r="I8" s="116"/>
      <c r="J8" s="116"/>
      <c r="K8" s="116"/>
      <c r="L8" s="116"/>
      <c r="M8" s="116"/>
      <c r="N8" s="116"/>
      <c r="O8" s="116"/>
      <c r="P8" s="116"/>
      <c r="Q8" s="116"/>
      <c r="R8" s="116"/>
      <c r="S8" s="116"/>
      <c r="T8" s="116"/>
      <c r="U8" s="116"/>
      <c r="V8" s="116"/>
      <c r="W8" s="116"/>
      <c r="X8" s="116"/>
      <c r="Y8" s="116"/>
      <c r="Z8" s="116"/>
    </row>
    <row r="9" spans="1:26" ht="14.25" customHeight="1">
      <c r="A9" s="137" t="s">
        <v>5508</v>
      </c>
      <c r="B9" s="152" t="s">
        <v>6550</v>
      </c>
      <c r="C9" s="116"/>
      <c r="D9" s="116"/>
      <c r="E9" s="116"/>
      <c r="F9" s="116"/>
      <c r="G9" s="116"/>
      <c r="H9" s="116"/>
      <c r="I9" s="116"/>
      <c r="J9" s="116"/>
      <c r="K9" s="116"/>
      <c r="L9" s="116"/>
      <c r="M9" s="116"/>
      <c r="N9" s="116"/>
      <c r="O9" s="116"/>
      <c r="P9" s="116"/>
      <c r="Q9" s="116"/>
      <c r="R9" s="116"/>
      <c r="S9" s="116"/>
      <c r="T9" s="116"/>
      <c r="U9" s="116"/>
      <c r="V9" s="116"/>
      <c r="W9" s="116"/>
      <c r="X9" s="116"/>
      <c r="Y9" s="116"/>
      <c r="Z9" s="116"/>
    </row>
    <row r="10" spans="1:26" ht="14.25" customHeight="1">
      <c r="A10" s="137" t="s">
        <v>5480</v>
      </c>
      <c r="B10" s="137" t="s">
        <v>6549</v>
      </c>
      <c r="C10" s="116"/>
      <c r="D10" s="116"/>
      <c r="E10" s="151"/>
      <c r="F10" s="151"/>
      <c r="G10" s="151"/>
      <c r="H10" s="151"/>
      <c r="I10" s="151"/>
      <c r="J10" s="151"/>
      <c r="K10" s="151"/>
      <c r="L10" s="151"/>
      <c r="M10" s="151"/>
      <c r="N10" s="151"/>
      <c r="O10" s="151"/>
      <c r="P10" s="151"/>
      <c r="Q10" s="151"/>
      <c r="R10" s="151"/>
      <c r="S10" s="151"/>
      <c r="T10" s="151"/>
      <c r="U10" s="151"/>
      <c r="V10" s="151"/>
      <c r="W10" s="151"/>
      <c r="X10" s="151"/>
      <c r="Y10" s="151"/>
      <c r="Z10" s="151"/>
    </row>
    <row r="11" spans="1:26" ht="14.25" customHeight="1">
      <c r="A11" s="137" t="s">
        <v>5472</v>
      </c>
      <c r="B11" s="137" t="s">
        <v>6548</v>
      </c>
      <c r="C11" s="116"/>
      <c r="D11" s="116"/>
      <c r="E11" s="151"/>
      <c r="F11" s="151"/>
      <c r="G11" s="151"/>
      <c r="H11" s="151"/>
      <c r="I11" s="151"/>
      <c r="J11" s="151"/>
      <c r="K11" s="151"/>
      <c r="L11" s="151"/>
      <c r="M11" s="151"/>
      <c r="N11" s="151"/>
      <c r="O11" s="151"/>
      <c r="P11" s="151"/>
      <c r="Q11" s="151"/>
      <c r="R11" s="151"/>
      <c r="S11" s="151"/>
      <c r="T11" s="151"/>
      <c r="U11" s="151"/>
      <c r="V11" s="151"/>
      <c r="W11" s="151"/>
      <c r="X11" s="151"/>
      <c r="Y11" s="151"/>
      <c r="Z11" s="151"/>
    </row>
    <row r="12" spans="1:26" ht="14.25" customHeight="1">
      <c r="A12" s="137" t="s">
        <v>458</v>
      </c>
      <c r="B12" s="154" t="s">
        <v>6547</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row>
    <row r="13" spans="1:26" ht="14.25" customHeight="1">
      <c r="A13" s="137" t="s">
        <v>5419</v>
      </c>
      <c r="B13" s="137" t="s">
        <v>984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row>
    <row r="14" spans="1:26" ht="14.25" customHeight="1">
      <c r="A14" s="137" t="s">
        <v>5406</v>
      </c>
      <c r="B14" s="137" t="s">
        <v>984</v>
      </c>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row>
    <row r="15" spans="1:26" ht="14.25" customHeight="1">
      <c r="A15" s="153" t="s">
        <v>6546</v>
      </c>
      <c r="B15" s="137" t="s">
        <v>6545</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row>
    <row r="16" spans="1:26" ht="14.25" customHeight="1">
      <c r="A16" s="137" t="s">
        <v>6544</v>
      </c>
      <c r="B16" s="137" t="s">
        <v>6543</v>
      </c>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row>
    <row r="17" spans="1:26" ht="14.25" customHeight="1">
      <c r="A17" s="137" t="s">
        <v>5655</v>
      </c>
      <c r="B17" s="137"/>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row>
    <row r="18" spans="1:26" ht="14.25" customHeight="1">
      <c r="A18" s="137" t="s">
        <v>5653</v>
      </c>
      <c r="B18" s="137" t="s">
        <v>984</v>
      </c>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row>
    <row r="19" spans="1:26" ht="14.25" customHeight="1">
      <c r="A19" s="137" t="s">
        <v>5635</v>
      </c>
      <c r="B19" s="137" t="s">
        <v>984</v>
      </c>
      <c r="C19" s="116"/>
      <c r="D19" s="116"/>
      <c r="E19" s="116"/>
      <c r="F19" s="116"/>
      <c r="G19" s="116"/>
      <c r="H19" s="116"/>
      <c r="I19" s="116"/>
      <c r="J19" s="116"/>
      <c r="K19" s="116"/>
      <c r="L19" s="116"/>
      <c r="M19" s="116"/>
      <c r="N19" s="116"/>
      <c r="O19" s="116"/>
      <c r="P19" s="116"/>
      <c r="Q19" s="116"/>
      <c r="R19" s="116"/>
      <c r="S19" s="116"/>
      <c r="T19" s="116"/>
      <c r="U19" s="116"/>
      <c r="V19" s="116"/>
      <c r="W19" s="116"/>
      <c r="X19" s="116"/>
      <c r="Y19" s="116"/>
      <c r="Z19" s="116"/>
    </row>
    <row r="20" spans="1:26" ht="14.25" customHeight="1">
      <c r="A20" s="137" t="s">
        <v>5614</v>
      </c>
      <c r="B20" s="137" t="s">
        <v>984</v>
      </c>
      <c r="C20" s="116"/>
      <c r="D20" s="116"/>
      <c r="E20" s="116"/>
      <c r="F20" s="116"/>
      <c r="G20" s="116"/>
      <c r="H20" s="116"/>
      <c r="I20" s="116"/>
      <c r="J20" s="116"/>
      <c r="K20" s="116"/>
      <c r="L20" s="116"/>
      <c r="M20" s="116"/>
      <c r="N20" s="116"/>
      <c r="O20" s="116"/>
      <c r="P20" s="116"/>
      <c r="Q20" s="116"/>
      <c r="R20" s="116"/>
      <c r="S20" s="116"/>
      <c r="T20" s="116"/>
      <c r="U20" s="116"/>
      <c r="V20" s="116"/>
      <c r="W20" s="116"/>
      <c r="X20" s="116"/>
      <c r="Y20" s="116"/>
      <c r="Z20" s="116"/>
    </row>
    <row r="21" spans="1:26" ht="14.25" customHeight="1">
      <c r="A21" s="137" t="s">
        <v>5611</v>
      </c>
      <c r="B21" s="137" t="s">
        <v>984</v>
      </c>
      <c r="C21" s="116"/>
      <c r="D21" s="116"/>
      <c r="E21" s="116"/>
      <c r="F21" s="116"/>
      <c r="G21" s="116"/>
      <c r="H21" s="116"/>
      <c r="I21" s="116"/>
      <c r="J21" s="116"/>
      <c r="K21" s="116"/>
      <c r="L21" s="116"/>
      <c r="M21" s="116"/>
      <c r="N21" s="116"/>
      <c r="O21" s="116"/>
      <c r="P21" s="116"/>
      <c r="Q21" s="116"/>
      <c r="R21" s="116"/>
      <c r="S21" s="116"/>
      <c r="T21" s="116"/>
      <c r="U21" s="116"/>
      <c r="V21" s="116"/>
      <c r="W21" s="116"/>
      <c r="X21" s="116"/>
      <c r="Y21" s="116"/>
      <c r="Z21" s="116"/>
    </row>
    <row r="22" spans="1:26" ht="14.25" customHeight="1">
      <c r="A22" s="137" t="s">
        <v>5608</v>
      </c>
      <c r="B22" s="137" t="s">
        <v>984</v>
      </c>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row>
    <row r="23" spans="1:26" ht="14.25" customHeight="1">
      <c r="A23" s="137" t="s">
        <v>5577</v>
      </c>
      <c r="B23" s="137" t="s">
        <v>984</v>
      </c>
      <c r="C23" s="116"/>
      <c r="D23" s="116"/>
      <c r="E23" s="116"/>
      <c r="F23" s="116"/>
      <c r="G23" s="116"/>
      <c r="H23" s="116"/>
      <c r="I23" s="116"/>
      <c r="J23" s="116"/>
      <c r="K23" s="116"/>
      <c r="L23" s="116"/>
      <c r="M23" s="116"/>
      <c r="N23" s="116"/>
      <c r="O23" s="116"/>
      <c r="P23" s="116"/>
      <c r="Q23" s="116"/>
      <c r="R23" s="116"/>
      <c r="S23" s="116"/>
      <c r="T23" s="116"/>
      <c r="U23" s="116"/>
      <c r="V23" s="116"/>
      <c r="W23" s="116"/>
      <c r="X23" s="116"/>
      <c r="Y23" s="116"/>
      <c r="Z23" s="116"/>
    </row>
    <row r="24" spans="1:26" ht="14.25" customHeight="1">
      <c r="A24" s="137" t="s">
        <v>5572</v>
      </c>
      <c r="B24" s="137" t="s">
        <v>984</v>
      </c>
      <c r="C24" s="116"/>
      <c r="D24" s="116"/>
      <c r="E24" s="116"/>
      <c r="F24" s="116"/>
      <c r="G24" s="116"/>
      <c r="H24" s="116"/>
      <c r="I24" s="116"/>
      <c r="J24" s="116"/>
      <c r="K24" s="116"/>
      <c r="L24" s="116"/>
      <c r="M24" s="116"/>
      <c r="N24" s="116"/>
      <c r="O24" s="116"/>
      <c r="P24" s="116"/>
      <c r="Q24" s="116"/>
      <c r="R24" s="116"/>
      <c r="S24" s="116"/>
      <c r="T24" s="116"/>
      <c r="U24" s="116"/>
      <c r="V24" s="116"/>
      <c r="W24" s="116"/>
      <c r="X24" s="116"/>
      <c r="Y24" s="116"/>
      <c r="Z24" s="116"/>
    </row>
    <row r="25" spans="1:26" ht="14.25" customHeight="1">
      <c r="A25" s="137" t="s">
        <v>5567</v>
      </c>
      <c r="B25" s="137" t="s">
        <v>984</v>
      </c>
      <c r="C25" s="116"/>
      <c r="D25" s="116"/>
      <c r="E25" s="116"/>
      <c r="F25" s="116"/>
      <c r="G25" s="116"/>
      <c r="H25" s="116"/>
      <c r="I25" s="116"/>
      <c r="J25" s="116"/>
      <c r="K25" s="116"/>
      <c r="L25" s="116"/>
      <c r="M25" s="116"/>
      <c r="N25" s="116"/>
      <c r="O25" s="116"/>
      <c r="P25" s="116"/>
      <c r="Q25" s="116"/>
      <c r="R25" s="116"/>
      <c r="S25" s="116"/>
      <c r="T25" s="116"/>
      <c r="U25" s="116"/>
      <c r="V25" s="116"/>
      <c r="W25" s="116"/>
      <c r="X25" s="116"/>
      <c r="Y25" s="116"/>
      <c r="Z25" s="116"/>
    </row>
    <row r="26" spans="1:26" ht="14.25" customHeight="1">
      <c r="A26" s="137" t="s">
        <v>5561</v>
      </c>
      <c r="B26" s="137" t="s">
        <v>984</v>
      </c>
      <c r="C26" s="116"/>
      <c r="D26" s="116"/>
      <c r="E26" s="116"/>
      <c r="F26" s="116"/>
      <c r="G26" s="116"/>
      <c r="H26" s="116"/>
      <c r="I26" s="116"/>
      <c r="J26" s="116"/>
      <c r="K26" s="116"/>
      <c r="L26" s="116"/>
      <c r="M26" s="116"/>
      <c r="N26" s="116"/>
      <c r="O26" s="116"/>
      <c r="P26" s="116"/>
      <c r="Q26" s="116"/>
      <c r="R26" s="116"/>
      <c r="S26" s="116"/>
      <c r="T26" s="116"/>
      <c r="U26" s="116"/>
      <c r="V26" s="116"/>
      <c r="W26" s="116"/>
      <c r="X26" s="116"/>
      <c r="Y26" s="116"/>
      <c r="Z26" s="116"/>
    </row>
    <row r="27" spans="1:26" ht="14.25" customHeight="1">
      <c r="A27" s="137" t="s">
        <v>5514</v>
      </c>
      <c r="B27" s="137" t="s">
        <v>984</v>
      </c>
      <c r="C27" s="116"/>
      <c r="D27" s="116"/>
      <c r="E27" s="116"/>
      <c r="F27" s="116"/>
      <c r="G27" s="116"/>
      <c r="H27" s="116"/>
      <c r="I27" s="116"/>
      <c r="J27" s="116"/>
      <c r="K27" s="116"/>
      <c r="L27" s="116"/>
      <c r="M27" s="116"/>
      <c r="N27" s="116"/>
      <c r="O27" s="116"/>
      <c r="P27" s="116"/>
      <c r="Q27" s="116"/>
      <c r="R27" s="116"/>
      <c r="S27" s="116"/>
      <c r="T27" s="116"/>
      <c r="U27" s="116"/>
      <c r="V27" s="116"/>
      <c r="W27" s="116"/>
      <c r="X27" s="116"/>
      <c r="Y27" s="116"/>
      <c r="Z27" s="116"/>
    </row>
    <row r="28" spans="1:26" ht="14.25" customHeight="1">
      <c r="A28" s="137" t="s">
        <v>5510</v>
      </c>
      <c r="B28" s="137"/>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row>
    <row r="29" spans="1:26" ht="14.25" customHeight="1">
      <c r="A29" s="137" t="s">
        <v>6430</v>
      </c>
      <c r="B29" s="137" t="s">
        <v>984</v>
      </c>
      <c r="C29" s="116"/>
      <c r="D29" s="116"/>
      <c r="E29" s="116"/>
      <c r="F29" s="116"/>
      <c r="G29" s="116"/>
      <c r="H29" s="116"/>
      <c r="I29" s="116"/>
      <c r="J29" s="116"/>
      <c r="K29" s="116"/>
      <c r="L29" s="116"/>
      <c r="M29" s="116"/>
      <c r="N29" s="116"/>
      <c r="O29" s="116"/>
      <c r="P29" s="116"/>
      <c r="Q29" s="116"/>
      <c r="R29" s="116"/>
      <c r="S29" s="116"/>
      <c r="T29" s="116"/>
      <c r="U29" s="116"/>
      <c r="V29" s="116"/>
      <c r="W29" s="116"/>
      <c r="X29" s="116"/>
      <c r="Y29" s="116"/>
      <c r="Z29" s="116"/>
    </row>
    <row r="30" spans="1:26" ht="14.25" customHeight="1">
      <c r="A30" s="137" t="s">
        <v>6431</v>
      </c>
      <c r="B30" s="137" t="s">
        <v>984</v>
      </c>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row>
    <row r="31" spans="1:26" ht="14.25" customHeight="1">
      <c r="A31" s="137" t="s">
        <v>6429</v>
      </c>
      <c r="B31" s="137" t="s">
        <v>984</v>
      </c>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row>
    <row r="32" spans="1:26" ht="14.25" customHeight="1">
      <c r="A32" s="137" t="s">
        <v>464</v>
      </c>
      <c r="B32" s="137" t="s">
        <v>984</v>
      </c>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row>
    <row r="33" spans="1:26" ht="14.25" customHeight="1">
      <c r="A33" s="137" t="s">
        <v>5383</v>
      </c>
      <c r="B33" s="137" t="s">
        <v>984</v>
      </c>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row r="34" spans="1:26" ht="14.25" customHeight="1">
      <c r="A34" s="137" t="s">
        <v>5380</v>
      </c>
      <c r="B34" s="137" t="s">
        <v>984</v>
      </c>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row>
    <row r="35" spans="1:26" ht="14.25" customHeight="1">
      <c r="A35" s="137" t="s">
        <v>5377</v>
      </c>
      <c r="B35" s="137" t="s">
        <v>984</v>
      </c>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row>
    <row r="36" spans="1:26" ht="14.25" customHeight="1">
      <c r="A36" s="137" t="s">
        <v>5372</v>
      </c>
      <c r="B36" s="137" t="s">
        <v>984</v>
      </c>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row>
    <row r="37" spans="1:26" ht="14.25" customHeight="1">
      <c r="A37" s="137" t="s">
        <v>5626</v>
      </c>
      <c r="B37" s="137" t="s">
        <v>984</v>
      </c>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row>
    <row r="38" spans="1:26" ht="14.25" customHeight="1">
      <c r="A38" s="137" t="s">
        <v>5619</v>
      </c>
      <c r="B38" s="137" t="s">
        <v>984</v>
      </c>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row r="39" spans="1:26" ht="14.25" customHeight="1">
      <c r="A39" s="137" t="s">
        <v>5602</v>
      </c>
      <c r="B39" s="152"/>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row>
    <row r="40" spans="1:26" ht="14.25" customHeight="1">
      <c r="A40" s="137" t="s">
        <v>5598</v>
      </c>
      <c r="B40" s="137" t="s">
        <v>6542</v>
      </c>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row>
    <row r="41" spans="1:26" ht="14.25" customHeight="1">
      <c r="A41" s="137" t="s">
        <v>5595</v>
      </c>
      <c r="B41" s="137" t="s">
        <v>984</v>
      </c>
      <c r="C41" s="116"/>
      <c r="D41" s="116"/>
      <c r="E41" s="151"/>
      <c r="F41" s="151"/>
      <c r="G41" s="151"/>
      <c r="H41" s="151"/>
      <c r="I41" s="151"/>
      <c r="J41" s="151"/>
      <c r="K41" s="151"/>
      <c r="L41" s="151"/>
      <c r="M41" s="151"/>
      <c r="N41" s="151"/>
      <c r="O41" s="151"/>
      <c r="P41" s="151"/>
      <c r="Q41" s="151"/>
      <c r="R41" s="151"/>
      <c r="S41" s="151"/>
      <c r="T41" s="151"/>
      <c r="U41" s="151"/>
      <c r="V41" s="151"/>
      <c r="W41" s="151"/>
      <c r="X41" s="151"/>
      <c r="Y41" s="151"/>
      <c r="Z41" s="151"/>
    </row>
    <row r="42" spans="1:26" ht="14.25" customHeight="1">
      <c r="A42" s="137" t="s">
        <v>5589</v>
      </c>
      <c r="B42" s="137" t="s">
        <v>984</v>
      </c>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row>
    <row r="43" spans="1:26" ht="14.25" customHeight="1">
      <c r="A43" s="137" t="s">
        <v>5586</v>
      </c>
      <c r="B43" s="137" t="s">
        <v>984</v>
      </c>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row>
    <row r="44" spans="1:26" ht="14.25" customHeight="1">
      <c r="A44" s="137" t="s">
        <v>5564</v>
      </c>
      <c r="B44" s="137" t="s">
        <v>984</v>
      </c>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row>
    <row r="45" spans="1:26" ht="14.25" customHeight="1">
      <c r="A45" s="137" t="s">
        <v>5400</v>
      </c>
      <c r="B45" s="137" t="s">
        <v>984</v>
      </c>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row>
    <row r="46" spans="1:26" ht="14.25" customHeight="1">
      <c r="A46" s="137" t="s">
        <v>6396</v>
      </c>
      <c r="B46" s="137" t="s">
        <v>984</v>
      </c>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row>
    <row r="47" spans="1:26" ht="14.25" customHeight="1">
      <c r="A47" s="137" t="s">
        <v>5538</v>
      </c>
      <c r="B47" s="137" t="s">
        <v>6541</v>
      </c>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row>
    <row r="48" spans="1:26" ht="14.25" customHeight="1">
      <c r="A48" s="137" t="s">
        <v>5538</v>
      </c>
      <c r="B48" s="137" t="s">
        <v>6540</v>
      </c>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row>
    <row r="49" spans="1:26" ht="14.25" customHeight="1">
      <c r="A49" s="137" t="s">
        <v>5517</v>
      </c>
      <c r="B49" s="137" t="s">
        <v>984</v>
      </c>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row>
    <row r="50" spans="1:26" ht="14.25" customHeight="1">
      <c r="A50" s="137" t="s">
        <v>6539</v>
      </c>
      <c r="B50" s="137" t="s">
        <v>6538</v>
      </c>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row>
    <row r="51" spans="1:26" ht="14.25" customHeight="1">
      <c r="A51" s="137" t="s">
        <v>6537</v>
      </c>
      <c r="B51" s="137" t="s">
        <v>6536</v>
      </c>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row>
    <row r="52" spans="1:26" ht="14.25" customHeight="1">
      <c r="A52" s="137" t="s">
        <v>5419</v>
      </c>
      <c r="B52" s="137" t="s">
        <v>6535</v>
      </c>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row>
    <row r="53" spans="1:26" ht="14.25" customHeight="1">
      <c r="A53" s="137" t="s">
        <v>6534</v>
      </c>
      <c r="B53" s="137" t="s">
        <v>984</v>
      </c>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row>
    <row r="54" spans="1:26" ht="14.25" customHeight="1">
      <c r="A54" s="137" t="s">
        <v>5388</v>
      </c>
      <c r="B54" s="137" t="s">
        <v>984</v>
      </c>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row>
    <row r="55" spans="1:26" ht="14.25" customHeight="1">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spans="1:26" ht="14.2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spans="1:26" ht="14.25" customHeight="1">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row r="58" spans="1:26" ht="14.25" customHeight="1">
      <c r="A58" s="116"/>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row>
    <row r="59" spans="1:26" ht="14.25" customHeight="1">
      <c r="A59" s="116"/>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row>
    <row r="60" spans="1:26" ht="14.25" customHeight="1">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row>
    <row r="61" spans="1:26" ht="14.25" customHeight="1">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spans="1:26" ht="14.25" customHeight="1">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spans="1:26" ht="14.25" customHeight="1">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spans="1:26" ht="14.25" customHeight="1">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spans="1:26" ht="14.25" customHeigh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spans="1:26" ht="14.25" customHeight="1">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spans="1:26" ht="14.25" customHeight="1">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spans="1:26" ht="14.25" customHeigh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spans="1:26" ht="14.25" customHeigh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spans="1:26" ht="14.25" customHeigh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spans="1:26" ht="14.25" customHeigh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spans="1:26" ht="14.2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spans="1:26" ht="14.25" customHeigh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spans="1:26" ht="14.25" customHeigh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spans="1:26" ht="14.25" customHeigh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spans="1:26" ht="14.2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spans="1:26" ht="14.25" customHeigh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spans="1:26" ht="14.25" customHeigh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4.25" customHeigh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spans="1:26" ht="14.25" customHeigh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spans="1:26" ht="14.2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spans="1:26" ht="14.2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spans="1:26" ht="14.2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spans="1:26" ht="14.2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spans="1:26" ht="14.2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spans="1:26" ht="14.2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spans="1:26" ht="14.2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spans="1:26" ht="14.2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spans="1:26" ht="14.2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spans="1:26" ht="14.2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spans="1:26" ht="14.2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spans="1:26" ht="14.2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spans="1:26" ht="14.2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spans="1:26" ht="14.2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spans="1:26" ht="14.2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spans="1:26" ht="14.2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spans="1:26" ht="14.2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spans="1:26" ht="14.2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spans="1:26" ht="14.2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spans="1:26" ht="14.2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4.2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4.2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4.2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4.2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4.2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4.2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4.2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4.2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4.2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4.2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4.2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4.2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4.2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4.2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4.2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4.2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4.2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4.2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4.2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4.2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4.2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4.2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4.2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4.2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4.2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4.2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4.2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4.2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4.2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4.2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4.2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4.2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4.2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4.2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4.2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4.2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4.2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4.2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4.2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4.2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4.2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4.2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4.2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4.2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4.2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4.2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4.2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4.2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4.2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4.2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4.2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4.2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4.2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4.2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4.2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4.2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4.2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4.2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4.2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4.2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4.2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4.2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4.2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4.2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4.2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4.2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4.2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4.2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4.2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4.2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4.2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4.2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4.2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4.2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4.2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4.2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4.2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4.2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4.2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4.2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4.2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4.2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4.2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4.2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4.2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4.2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4.2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4.2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4.2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4.2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4.2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4.2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4.2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4.2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4.2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4.2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4.2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4.2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4.2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4.2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4.2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4.2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4.2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4.2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4.2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4.2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4.2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4.2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4.2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4.2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4.2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4.2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4.2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4.2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4.2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4.2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4.2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4.2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4.2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4.2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4.2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4.2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4.2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4.2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4.2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4.2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4.2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4.2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4.2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4.2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4.2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4.2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4.2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4.2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4.2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4.2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4.2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4.2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4.2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4.2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4.2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4.2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4.2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4.2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4.2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4.2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4.2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4.2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4.2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4.2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4.2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4.2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4.2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4.2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4.2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4.2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4.2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4.2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4.2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4.2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4.2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4.2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4.2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4.2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4.2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4.2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4.2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4.2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4.2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4.2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4.2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4.2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4.2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4.2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4.2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4.2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4.2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4.2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4.2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4.2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4.2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4.2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4.2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4.2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4.2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4.2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4.2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4.2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4.2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4.2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4.2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4.2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4.2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4.2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4.2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4.2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4.2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4.2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4.2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4.2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4.2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4.2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4.2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4.2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4.2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4.2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4.2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4.2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4.2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4.2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4.2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4.2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4.2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4.2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4.2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4.2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4.2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4.2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4.2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4.2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4.2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4.2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4.2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4.2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4.2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4.2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4.2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4.2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4.2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4.2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4.2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4.2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4.2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4.2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4.2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4.2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4.2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4.2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4.2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4.2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4.2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4.2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4.2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4.2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4.2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4.2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4.2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4.2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4.2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4.2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4.2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4.2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4.2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4.2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4.2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4.2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4.2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4.2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4.2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4.2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4.2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4.2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4.2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4.2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4.2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4.2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4.2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4.2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4.2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4.2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4.2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4.2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4.2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4.2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4.2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4.2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4.2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4.2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4.2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4.2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4.2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4.2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4.2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4.2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4.2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4.2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4.2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4.2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4.2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4.2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4.2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4.2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4.2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4.2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4.2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4.2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4.2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4.2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4.2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4.2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4.2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4.2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4.2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4.2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4.2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4.2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4.2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4.2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4.2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4.2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4.2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4.2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4.2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4.2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4.2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4.2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4.2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4.2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4.2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4.2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4.2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4.2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4.2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4.2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4.2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4.2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4.2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4.2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4.2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4.2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4.2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4.2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4.2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4.2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4.2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4.2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4.2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4.2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4.2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4.2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4.2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4.2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4.2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4.2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4.2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4.2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4.2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4.2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4.2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4.2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4.2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4.2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4.2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4.2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4.2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4.2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4.2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4.2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4.2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4.2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4.2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4.2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4.2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4.2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4.2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4.2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4.2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4.2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4.2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4.2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4.2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4.2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4.2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4.2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4.2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4.2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4.2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4.2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4.2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4.2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4.2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4.2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4.2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4.2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4.2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4.2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4.2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4.2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4.2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4.2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4.2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4.2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4.2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4.2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4.2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4.2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4.2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4.2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4.2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4.2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4.2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4.2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4.2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4.2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4.2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4.2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4.2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4.2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4.2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4.2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4.2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4.2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4.2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4.2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4.2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4.2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4.2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4.2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4.2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4.2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4.2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4.2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4.2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4.2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4.2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4.2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4.2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4.2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4.2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4.2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4.2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4.2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4.2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4.2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4.2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4.2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4.2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4.2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4.2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4.2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4.2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4.2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4.2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4.2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4.2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4.2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4.2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4.2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4.2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4.2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4.2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4.2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4.2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4.2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4.2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4.2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4.2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4.2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4.2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4.2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4.2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4.2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4.2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4.2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4.2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4.2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4.2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4.2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4.2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4.2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4.2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4.2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4.2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4.2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4.2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4.2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4.2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4.25" customHeigh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4.25" customHeigh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4.25" customHeigh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4.25" customHeigh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4.25" customHeight="1">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4.25" customHeight="1">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4.25" customHeight="1">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4.25" customHeight="1">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4.25" customHeight="1">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4.25" customHeight="1">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4.25" customHeight="1">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4.25" customHeight="1">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4.25" customHeight="1">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4.25" customHeight="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4.25" customHeight="1">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4.25" customHeight="1">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4.25" customHeight="1">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4.25" customHeight="1">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4.25" customHeight="1">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4.25" customHeight="1">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4.25" customHeight="1">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4.25" customHeight="1">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4.25" customHeight="1">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4.25" customHeight="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4.25" customHeight="1">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4.25" customHeight="1">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4.25" customHeight="1">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4.25" customHeight="1">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4.25" customHeight="1">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4.25" customHeight="1">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4.25" customHeight="1">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4.25" customHeight="1">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4.25" customHeight="1">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4.25" customHeight="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4.25" customHeight="1">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4.25" customHeight="1">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4.25" customHeight="1">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4.25" customHeight="1">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4.25" customHeight="1">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4.25" customHeight="1">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4.25" customHeight="1">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4.25" customHeight="1">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4.25" customHeight="1">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4.25" customHeight="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4.25" customHeight="1">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4.25" customHeight="1">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4.25" customHeight="1">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4.25" customHeight="1">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4.25" customHeight="1">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4.25" customHeight="1">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4.25" customHeight="1">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4.25" customHeight="1">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4.25" customHeight="1">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4.25" customHeight="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4.25" customHeight="1">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4.25" customHeight="1">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4.25" customHeight="1">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4.25" customHeight="1">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4.25" customHeight="1">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4.25" customHeight="1">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4.25" customHeight="1">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4.25" customHeight="1">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4.25" customHeight="1">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4.25" customHeight="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4.25" customHeight="1">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4.25" customHeight="1">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4.25" customHeight="1">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4.25" customHeight="1">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4.25" customHeight="1">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4.25" customHeight="1">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4.25" customHeight="1">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4.25" customHeight="1">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4.25" customHeight="1">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4.25" customHeight="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4.25" customHeight="1">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4.25" customHeight="1">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4.25" customHeight="1">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4.25" customHeight="1">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4.25" customHeight="1">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4.25" customHeight="1">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4.25" customHeight="1">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4.25" customHeight="1">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4.25" customHeight="1">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4.25" customHeight="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4.25" customHeight="1">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4.25" customHeight="1">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4.25" customHeight="1">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4.25" customHeight="1">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4.25" customHeight="1">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4.25" customHeight="1">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4.25" customHeight="1">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4.25" customHeight="1">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4.25" customHeight="1">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4.25" customHeight="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4.25" customHeight="1">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4.25" customHeight="1">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4.25" customHeight="1">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4.25" customHeight="1">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4.25" customHeight="1">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4.25" customHeight="1">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4.25" customHeight="1">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4.25" customHeight="1">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4.25" customHeight="1">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4.25" customHeight="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4.25" customHeight="1">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4.25" customHeight="1">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4.25" customHeight="1">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4.25" customHeight="1">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4.25" customHeight="1">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4.25" customHeight="1">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4.25" customHeight="1">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4.25" customHeight="1">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4.25" customHeight="1">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4.25" customHeight="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4.25" customHeight="1">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4.25" customHeight="1">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4.25" customHeight="1">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4.25" customHeight="1">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4.25" customHeight="1">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4.25" customHeight="1">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4.25" customHeight="1">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4.25" customHeight="1">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4.25" customHeight="1">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4.25" customHeight="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4.25" customHeight="1">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4.25" customHeight="1">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4.25" customHeight="1">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4.25" customHeight="1">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4.25" customHeight="1">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4.25" customHeight="1">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4.25" customHeight="1">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4.25" customHeight="1">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4.25" customHeight="1">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4.25" customHeight="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4.25" customHeight="1">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4.25" customHeight="1">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4.25" customHeight="1">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4.25" customHeight="1">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4.25" customHeight="1">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4.25" customHeight="1">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4.25" customHeight="1">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4.25" customHeight="1">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4.25" customHeight="1">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4.25" customHeight="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4.25" customHeight="1">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4.25" customHeight="1">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4.25" customHeight="1">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4.25" customHeight="1">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4.25" customHeight="1">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4.25" customHeight="1">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4.25" customHeight="1">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4.25" customHeight="1">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4.25" customHeight="1">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4.25" customHeight="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4.25" customHeight="1">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4.25" customHeight="1">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4.25" customHeight="1">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4.25" customHeight="1">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4.25" customHeight="1">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4.25" customHeight="1">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4.25" customHeight="1">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4.25" customHeight="1">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4.25" customHeight="1">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4.25" customHeight="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4.25" customHeight="1">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4.25" customHeight="1">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4.25" customHeight="1">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4.25" customHeight="1">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4.25" customHeight="1">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4.25" customHeight="1">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4.25" customHeight="1">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4.25" customHeight="1">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4.25" customHeight="1">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4.25" customHeight="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4.25" customHeight="1">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4.25" customHeight="1">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4.25" customHeight="1">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4.25" customHeight="1">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4.25" customHeight="1">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4.25" customHeight="1">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4.25" customHeight="1">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4.25" customHeight="1">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4.25" customHeight="1">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4.25" customHeight="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4.25" customHeight="1">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4.25" customHeight="1">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4.25" customHeight="1">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4.25" customHeight="1">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4.25" customHeight="1">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4.25" customHeight="1">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4.25" customHeight="1">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4.25" customHeight="1">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4.25" customHeight="1">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4.25" customHeight="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4.25" customHeight="1">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4.25" customHeight="1">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4.25" customHeight="1">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4.25" customHeight="1">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4.25" customHeight="1">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4.25" customHeight="1">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4.25" customHeight="1">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4.25" customHeight="1">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4.25" customHeight="1">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4.25" customHeight="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4.25" customHeight="1">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4.25" customHeight="1">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4.25" customHeight="1">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4.25" customHeight="1">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4.25" customHeight="1">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4.25" customHeight="1">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4.25" customHeight="1">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4.25" customHeight="1">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4.25" customHeight="1">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4.25" customHeight="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4.25" customHeight="1">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4.25" customHeight="1">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4.25" customHeight="1">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4.25" customHeight="1">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4.25" customHeight="1">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4.25" customHeight="1">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4.25" customHeight="1">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4.25" customHeight="1">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4.25" customHeight="1">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4.25" customHeight="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4.25" customHeight="1">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4.25" customHeight="1">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4.25" customHeight="1">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4.25" customHeight="1">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4.25" customHeight="1">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4.25" customHeight="1">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4.25" customHeight="1">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4.25" customHeight="1">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4.25" customHeight="1">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4.25" customHeight="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4.25" customHeight="1">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4.25" customHeight="1">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4.25" customHeight="1">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4.25" customHeight="1">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4.25" customHeight="1">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4.25" customHeight="1">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4.25" customHeight="1">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4.25" customHeight="1">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4.25" customHeight="1">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4.25" customHeight="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4.25" customHeight="1">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4.25" customHeight="1">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4.25" customHeight="1">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4.25" customHeight="1">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4.25" customHeight="1">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4.25" customHeight="1">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4.25" customHeight="1">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4.25" customHeight="1">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4.25" customHeight="1">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4.25" customHeight="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4.25" customHeight="1">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4.25" customHeight="1">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4.25" customHeight="1">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4.25" customHeight="1">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4.25" customHeight="1">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4.25" customHeight="1">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4.25" customHeight="1">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4.25" customHeight="1">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4.25" customHeight="1">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4.25" customHeight="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4.25" customHeight="1">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4.25" customHeight="1">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4.25" customHeight="1">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4.25" customHeight="1">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4.25" customHeight="1">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4.25" customHeight="1">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4.25" customHeight="1">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4.25" customHeight="1">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4.25" customHeight="1">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4.25" customHeight="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4.25" customHeight="1">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4.25" customHeight="1">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4.25" customHeight="1">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4.25" customHeight="1">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4.25" customHeight="1">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4.25" customHeight="1">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4.25" customHeight="1">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4.25" customHeight="1">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4.25" customHeight="1">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4.25" customHeight="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4.25" customHeight="1">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4.25" customHeight="1">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4.25" customHeight="1">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4.25" customHeight="1">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4.25" customHeight="1">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4.25" customHeight="1">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4.25" customHeight="1">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4.25" customHeight="1">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4.25" customHeight="1">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4.25" customHeight="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4.25" customHeight="1">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4.25" customHeight="1">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4.25" customHeight="1">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4.25" customHeight="1">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4.25" customHeight="1">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4.25" customHeight="1">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4.25" customHeight="1">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4.25" customHeight="1">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4.25" customHeight="1">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4.25" customHeight="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4.25" customHeight="1">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4.25" customHeight="1">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4.25" customHeight="1">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4.25" customHeight="1">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4.25" customHeight="1">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4.25" customHeight="1">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4.25" customHeight="1">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4.25" customHeight="1">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4.25" customHeight="1">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4.25" customHeight="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4.25" customHeight="1">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4.25" customHeight="1">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4.25" customHeight="1">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4.25" customHeight="1">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4.25" customHeight="1">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4.25" customHeight="1">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4.25" customHeight="1">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4.25" customHeight="1">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4.25" customHeight="1">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4.25" customHeight="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4.25" customHeight="1">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4.25" customHeight="1">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4.25" customHeight="1">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4.25" customHeight="1">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4.25" customHeight="1">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4.25" customHeight="1">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4.25" customHeight="1">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4.25" customHeight="1">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4.25" customHeight="1">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4.25" customHeight="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4.25" customHeight="1">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4.25" customHeight="1">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4.25" customHeight="1">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4.25" customHeight="1">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4.25" customHeight="1">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4.25" customHeight="1">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4.25" customHeight="1">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4.25" customHeight="1">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4.25" customHeight="1">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4.25" customHeight="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4.25" customHeight="1">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4.25" customHeight="1">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4.25" customHeight="1">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4.25" customHeight="1">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4.25" customHeight="1">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4.25" customHeight="1">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4.25" customHeight="1">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4.25" customHeight="1">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4.25" customHeight="1">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4.25" customHeight="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4.25" customHeight="1">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4.25" customHeight="1">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4.25" customHeight="1">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4.25" customHeight="1">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4.25" customHeight="1">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4.25" customHeight="1">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4.25" customHeight="1">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4.25" customHeight="1">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4.25" customHeight="1">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4.25" customHeight="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4.25" customHeight="1">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4.25" customHeight="1">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4.25" customHeight="1">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4.25" customHeight="1">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4.25" customHeight="1">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4.25" customHeight="1">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4.25" customHeight="1">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4.25" customHeight="1">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4.25" customHeight="1">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4.25" customHeight="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4.25" customHeight="1">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4.25" customHeight="1">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4.25" customHeight="1">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4.25" customHeight="1">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4.25" customHeight="1">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4.25" customHeight="1">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4.25" customHeight="1">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4.25" customHeight="1">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4.25" customHeight="1">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4.25" customHeight="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4.25" customHeight="1">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4.25" customHeight="1">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4.25" customHeight="1">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4.25" customHeight="1">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4.25" customHeight="1">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4.25" customHeight="1">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4.25" customHeight="1">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4.25" customHeight="1">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4.25" customHeight="1">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4.25" customHeight="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4.25" customHeight="1">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4.25" customHeight="1">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4.25" customHeight="1">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4.25" customHeight="1">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4.25" customHeight="1">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4.25" customHeight="1">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4.25" customHeight="1">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4.25" customHeight="1">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4.25" customHeight="1">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4.25" customHeight="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4.25" customHeight="1">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4.25" customHeight="1">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4.25" customHeight="1">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4.25" customHeight="1">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4.25" customHeight="1">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4.25" customHeight="1">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4.25" customHeight="1">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4.25" customHeight="1">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4.25" customHeight="1">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4.25" customHeight="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4.25" customHeight="1">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4.25" customHeight="1">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4.25" customHeight="1">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4.25" customHeight="1">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4.25" customHeight="1">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4.25" customHeight="1">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4.25" customHeight="1">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4.25" customHeight="1">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4.25" customHeight="1">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autoFilter ref="A1:B54" xr:uid="{00000000-0009-0000-0000-000005000000}"/>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election activeCell="E11" sqref="E11"/>
    </sheetView>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667</v>
      </c>
      <c r="B1" t="s">
        <v>0</v>
      </c>
      <c r="C1" t="s">
        <v>795</v>
      </c>
      <c r="D1" t="s">
        <v>795</v>
      </c>
      <c r="E1" t="s">
        <v>350</v>
      </c>
      <c r="F1" t="s">
        <v>1063</v>
      </c>
    </row>
    <row r="2" spans="1:6">
      <c r="A2" t="s">
        <v>651</v>
      </c>
      <c r="B2" t="s">
        <v>627</v>
      </c>
      <c r="C2" t="s">
        <v>777</v>
      </c>
      <c r="D2" t="s">
        <v>796</v>
      </c>
      <c r="E2" s="13" t="s">
        <v>1319</v>
      </c>
      <c r="F2" s="13" t="s">
        <v>1274</v>
      </c>
    </row>
    <row r="3" spans="1:6" ht="15">
      <c r="A3" s="27" t="s">
        <v>463</v>
      </c>
      <c r="B3" s="29" t="s">
        <v>658</v>
      </c>
      <c r="C3" s="27" t="s">
        <v>786</v>
      </c>
      <c r="D3" s="27" t="s">
        <v>786</v>
      </c>
      <c r="E3" s="28" t="s">
        <v>1312</v>
      </c>
      <c r="F3" s="28" t="s">
        <v>1305</v>
      </c>
    </row>
    <row r="4" spans="1:6">
      <c r="A4" s="27" t="s">
        <v>651</v>
      </c>
      <c r="B4" s="27" t="s">
        <v>629</v>
      </c>
      <c r="C4" s="27" t="s">
        <v>779</v>
      </c>
      <c r="D4" s="27" t="s">
        <v>779</v>
      </c>
      <c r="E4" s="28" t="s">
        <v>1320</v>
      </c>
      <c r="F4" s="28" t="s">
        <v>1275</v>
      </c>
    </row>
    <row r="5" spans="1:6" ht="15">
      <c r="A5" t="s">
        <v>463</v>
      </c>
      <c r="B5" s="12" t="s">
        <v>629</v>
      </c>
      <c r="C5" t="s">
        <v>779</v>
      </c>
      <c r="D5" t="s">
        <v>779</v>
      </c>
      <c r="E5" s="13" t="s">
        <v>1350</v>
      </c>
      <c r="F5" s="13" t="s">
        <v>1354</v>
      </c>
    </row>
    <row r="6" spans="1:6">
      <c r="A6" s="27" t="s">
        <v>651</v>
      </c>
      <c r="B6" s="27" t="s">
        <v>628</v>
      </c>
      <c r="C6" s="27" t="s">
        <v>778</v>
      </c>
      <c r="D6" s="27" t="s">
        <v>778</v>
      </c>
      <c r="E6" s="28" t="s">
        <v>1321</v>
      </c>
      <c r="F6" s="28" t="s">
        <v>1276</v>
      </c>
    </row>
    <row r="7" spans="1:6" ht="15">
      <c r="A7" t="s">
        <v>463</v>
      </c>
      <c r="B7" s="12" t="s">
        <v>659</v>
      </c>
      <c r="C7" t="s">
        <v>1247</v>
      </c>
      <c r="D7" t="e">
        <v>#N/A</v>
      </c>
      <c r="E7" s="13" t="s">
        <v>1313</v>
      </c>
      <c r="F7" s="13" t="s">
        <v>1306</v>
      </c>
    </row>
    <row r="8" spans="1:6">
      <c r="A8" t="s">
        <v>651</v>
      </c>
      <c r="B8" t="s">
        <v>225</v>
      </c>
      <c r="C8" t="s">
        <v>802</v>
      </c>
      <c r="D8" t="s">
        <v>224</v>
      </c>
      <c r="E8" s="13" t="s">
        <v>1322</v>
      </c>
      <c r="F8" s="13" t="s">
        <v>1277</v>
      </c>
    </row>
    <row r="9" spans="1:6" ht="15">
      <c r="A9" t="s">
        <v>463</v>
      </c>
      <c r="B9" s="12" t="s">
        <v>660</v>
      </c>
      <c r="C9" t="s">
        <v>812</v>
      </c>
      <c r="D9" t="s">
        <v>812</v>
      </c>
      <c r="E9" s="13" t="s">
        <v>1351</v>
      </c>
      <c r="F9" s="13" t="s">
        <v>1355</v>
      </c>
    </row>
    <row r="10" spans="1:6">
      <c r="A10" s="27" t="s">
        <v>651</v>
      </c>
      <c r="B10" s="27" t="s">
        <v>630</v>
      </c>
      <c r="C10" s="27" t="s">
        <v>780</v>
      </c>
      <c r="D10" s="27" t="s">
        <v>780</v>
      </c>
      <c r="E10" s="28" t="s">
        <v>1323</v>
      </c>
      <c r="F10" s="28" t="s">
        <v>1278</v>
      </c>
    </row>
    <row r="11" spans="1:6">
      <c r="A11" t="s">
        <v>651</v>
      </c>
      <c r="B11" t="s">
        <v>631</v>
      </c>
      <c r="C11" t="s">
        <v>799</v>
      </c>
      <c r="D11" t="s">
        <v>781</v>
      </c>
      <c r="E11" s="13" t="s">
        <v>1324</v>
      </c>
      <c r="F11" s="13" t="s">
        <v>1279</v>
      </c>
    </row>
    <row r="12" spans="1:6">
      <c r="A12" t="s">
        <v>651</v>
      </c>
      <c r="B12" t="s">
        <v>527</v>
      </c>
      <c r="C12" t="s">
        <v>518</v>
      </c>
      <c r="D12" t="s">
        <v>518</v>
      </c>
      <c r="E12" s="13" t="s">
        <v>1325</v>
      </c>
      <c r="F12" s="13" t="s">
        <v>1280</v>
      </c>
    </row>
    <row r="13" spans="1:6">
      <c r="A13" t="s">
        <v>651</v>
      </c>
      <c r="B13" t="s">
        <v>217</v>
      </c>
      <c r="C13" t="s">
        <v>216</v>
      </c>
      <c r="D13" t="s">
        <v>216</v>
      </c>
      <c r="E13" s="13" t="s">
        <v>1326</v>
      </c>
      <c r="F13" s="13" t="s">
        <v>1281</v>
      </c>
    </row>
    <row r="14" spans="1:6">
      <c r="A14" t="s">
        <v>651</v>
      </c>
      <c r="B14" t="s">
        <v>632</v>
      </c>
      <c r="C14" t="s">
        <v>782</v>
      </c>
      <c r="D14" t="s">
        <v>782</v>
      </c>
      <c r="E14" s="13" t="s">
        <v>1327</v>
      </c>
      <c r="F14" s="13" t="s">
        <v>1282</v>
      </c>
    </row>
    <row r="15" spans="1:6" ht="15">
      <c r="A15" t="s">
        <v>463</v>
      </c>
      <c r="B15" s="12" t="s">
        <v>531</v>
      </c>
      <c r="C15" t="s">
        <v>203</v>
      </c>
      <c r="D15" t="e">
        <v>#N/A</v>
      </c>
      <c r="E15" s="13" t="s">
        <v>1314</v>
      </c>
      <c r="F15" s="13" t="s">
        <v>1307</v>
      </c>
    </row>
    <row r="16" spans="1:6">
      <c r="A16" t="s">
        <v>651</v>
      </c>
      <c r="B16" t="s">
        <v>202</v>
      </c>
      <c r="C16" t="s">
        <v>200</v>
      </c>
      <c r="D16" t="s">
        <v>200</v>
      </c>
      <c r="E16" s="13" t="s">
        <v>1328</v>
      </c>
      <c r="F16" s="13" t="s">
        <v>1283</v>
      </c>
    </row>
    <row r="17" spans="1:6">
      <c r="A17" t="s">
        <v>651</v>
      </c>
      <c r="B17" t="s">
        <v>633</v>
      </c>
      <c r="C17" t="s">
        <v>804</v>
      </c>
      <c r="D17" t="s">
        <v>804</v>
      </c>
      <c r="E17" s="13" t="s">
        <v>1329</v>
      </c>
      <c r="F17" s="13" t="s">
        <v>1284</v>
      </c>
    </row>
    <row r="18" spans="1:6">
      <c r="A18" t="s">
        <v>651</v>
      </c>
      <c r="B18" t="s">
        <v>634</v>
      </c>
      <c r="C18" t="s">
        <v>805</v>
      </c>
      <c r="D18" t="s">
        <v>805</v>
      </c>
      <c r="E18" s="13" t="s">
        <v>1330</v>
      </c>
      <c r="F18" s="13" t="s">
        <v>1285</v>
      </c>
    </row>
    <row r="19" spans="1:6">
      <c r="A19" t="s">
        <v>651</v>
      </c>
      <c r="B19" t="s">
        <v>192</v>
      </c>
      <c r="C19" t="s">
        <v>190</v>
      </c>
      <c r="D19" t="s">
        <v>190</v>
      </c>
      <c r="E19" t="s">
        <v>1331</v>
      </c>
      <c r="F19" t="s">
        <v>1286</v>
      </c>
    </row>
    <row r="20" spans="1:6">
      <c r="A20" t="s">
        <v>651</v>
      </c>
      <c r="B20" s="17" t="s">
        <v>639</v>
      </c>
      <c r="C20" t="s">
        <v>797</v>
      </c>
      <c r="D20" t="e">
        <v>#N/A</v>
      </c>
      <c r="E20" s="13" t="s">
        <v>1332</v>
      </c>
      <c r="F20" s="13" t="s">
        <v>1287</v>
      </c>
    </row>
    <row r="21" spans="1:6">
      <c r="A21" t="s">
        <v>651</v>
      </c>
      <c r="B21" t="s">
        <v>635</v>
      </c>
      <c r="C21" t="s">
        <v>188</v>
      </c>
      <c r="D21" t="e">
        <v>#N/A</v>
      </c>
      <c r="E21" s="13" t="s">
        <v>1333</v>
      </c>
      <c r="F21" s="13" t="s">
        <v>1288</v>
      </c>
    </row>
    <row r="22" spans="1:6">
      <c r="A22" t="s">
        <v>651</v>
      </c>
      <c r="B22" t="s">
        <v>636</v>
      </c>
      <c r="C22" t="s">
        <v>783</v>
      </c>
      <c r="D22" t="s">
        <v>783</v>
      </c>
      <c r="E22" s="13" t="s">
        <v>1334</v>
      </c>
      <c r="F22" s="13" t="s">
        <v>1289</v>
      </c>
    </row>
    <row r="23" spans="1:6">
      <c r="A23" t="s">
        <v>651</v>
      </c>
      <c r="B23" t="s">
        <v>637</v>
      </c>
      <c r="C23" t="s">
        <v>806</v>
      </c>
      <c r="D23" t="s">
        <v>806</v>
      </c>
      <c r="E23" s="13" t="s">
        <v>1335</v>
      </c>
      <c r="F23" s="13" t="s">
        <v>1290</v>
      </c>
    </row>
    <row r="24" spans="1:6">
      <c r="A24" t="s">
        <v>651</v>
      </c>
      <c r="B24" t="s">
        <v>638</v>
      </c>
      <c r="C24" t="s">
        <v>807</v>
      </c>
      <c r="D24" t="e">
        <v>#N/A</v>
      </c>
      <c r="E24" s="13" t="s">
        <v>1336</v>
      </c>
      <c r="F24" s="13" t="s">
        <v>1291</v>
      </c>
    </row>
    <row r="25" spans="1:6">
      <c r="A25" t="s">
        <v>651</v>
      </c>
      <c r="B25" t="s">
        <v>46</v>
      </c>
      <c r="C25" t="s">
        <v>149</v>
      </c>
      <c r="D25" t="s">
        <v>793</v>
      </c>
      <c r="E25" s="13" t="s">
        <v>1337</v>
      </c>
      <c r="F25" s="13" t="s">
        <v>1292</v>
      </c>
    </row>
    <row r="26" spans="1:6">
      <c r="A26" t="s">
        <v>651</v>
      </c>
      <c r="B26" s="17" t="s">
        <v>640</v>
      </c>
      <c r="C26" t="s">
        <v>808</v>
      </c>
      <c r="D26" t="e">
        <v>#N/A</v>
      </c>
      <c r="E26" s="13" t="s">
        <v>1338</v>
      </c>
      <c r="F26" s="13" t="s">
        <v>1293</v>
      </c>
    </row>
    <row r="27" spans="1:6">
      <c r="A27" t="s">
        <v>651</v>
      </c>
      <c r="B27" t="s">
        <v>641</v>
      </c>
      <c r="C27" t="s">
        <v>784</v>
      </c>
      <c r="D27" t="s">
        <v>784</v>
      </c>
      <c r="E27" s="13" t="s">
        <v>1339</v>
      </c>
      <c r="F27" s="13" t="s">
        <v>1294</v>
      </c>
    </row>
    <row r="28" spans="1:6" ht="15">
      <c r="A28" t="s">
        <v>463</v>
      </c>
      <c r="B28" s="12" t="s">
        <v>661</v>
      </c>
      <c r="C28" t="s">
        <v>787</v>
      </c>
      <c r="D28" t="s">
        <v>787</v>
      </c>
      <c r="E28" s="13" t="s">
        <v>1315</v>
      </c>
      <c r="F28" s="13" t="s">
        <v>1308</v>
      </c>
    </row>
    <row r="29" spans="1:6" ht="15">
      <c r="A29" s="27" t="s">
        <v>463</v>
      </c>
      <c r="B29" s="29" t="s">
        <v>662</v>
      </c>
      <c r="C29" s="27" t="s">
        <v>788</v>
      </c>
      <c r="D29" s="27" t="s">
        <v>788</v>
      </c>
      <c r="E29" s="28" t="s">
        <v>1352</v>
      </c>
      <c r="F29" s="28" t="s">
        <v>1353</v>
      </c>
    </row>
    <row r="30" spans="1:6">
      <c r="A30" t="s">
        <v>651</v>
      </c>
      <c r="B30" t="s">
        <v>642</v>
      </c>
      <c r="C30" t="s">
        <v>801</v>
      </c>
      <c r="D30" t="s">
        <v>794</v>
      </c>
      <c r="E30" s="13" t="s">
        <v>1340</v>
      </c>
      <c r="F30" s="13" t="s">
        <v>1295</v>
      </c>
    </row>
    <row r="31" spans="1:6">
      <c r="A31" t="s">
        <v>651</v>
      </c>
      <c r="B31" t="s">
        <v>643</v>
      </c>
      <c r="C31" t="s">
        <v>785</v>
      </c>
      <c r="D31" t="s">
        <v>785</v>
      </c>
      <c r="E31" s="13" t="s">
        <v>1341</v>
      </c>
      <c r="F31" s="13" t="s">
        <v>1296</v>
      </c>
    </row>
    <row r="32" spans="1:6" ht="15">
      <c r="A32" t="s">
        <v>463</v>
      </c>
      <c r="B32" s="12" t="s">
        <v>663</v>
      </c>
      <c r="C32" t="s">
        <v>789</v>
      </c>
      <c r="D32" t="s">
        <v>789</v>
      </c>
      <c r="E32" s="13" t="s">
        <v>1316</v>
      </c>
      <c r="F32" s="13" t="s">
        <v>1309</v>
      </c>
    </row>
    <row r="33" spans="1:6">
      <c r="A33" t="s">
        <v>651</v>
      </c>
      <c r="B33" s="2" t="s">
        <v>644</v>
      </c>
      <c r="C33" t="s">
        <v>253</v>
      </c>
      <c r="D33" t="s">
        <v>253</v>
      </c>
      <c r="E33" s="24" t="s">
        <v>1343</v>
      </c>
      <c r="F33" s="24" t="s">
        <v>1298</v>
      </c>
    </row>
    <row r="34" spans="1:6">
      <c r="A34" t="s">
        <v>651</v>
      </c>
      <c r="B34" t="s">
        <v>645</v>
      </c>
      <c r="C34" t="s">
        <v>809</v>
      </c>
      <c r="D34" t="s">
        <v>809</v>
      </c>
      <c r="E34" s="13" t="s">
        <v>1344</v>
      </c>
      <c r="F34" s="13" t="s">
        <v>1299</v>
      </c>
    </row>
    <row r="35" spans="1:6">
      <c r="A35" t="s">
        <v>651</v>
      </c>
      <c r="B35" t="s">
        <v>442</v>
      </c>
      <c r="C35" t="s">
        <v>800</v>
      </c>
      <c r="D35" t="s">
        <v>451</v>
      </c>
      <c r="E35" s="13" t="s">
        <v>1345</v>
      </c>
      <c r="F35" s="13" t="s">
        <v>1300</v>
      </c>
    </row>
    <row r="36" spans="1:6">
      <c r="A36" t="s">
        <v>651</v>
      </c>
      <c r="B36" t="s">
        <v>101</v>
      </c>
      <c r="C36" t="s">
        <v>803</v>
      </c>
      <c r="D36" t="s">
        <v>99</v>
      </c>
      <c r="E36" s="13" t="s">
        <v>1346</v>
      </c>
      <c r="F36" s="13" t="s">
        <v>1301</v>
      </c>
    </row>
    <row r="37" spans="1:6">
      <c r="A37" t="s">
        <v>651</v>
      </c>
      <c r="B37" t="s">
        <v>647</v>
      </c>
      <c r="C37" t="s">
        <v>810</v>
      </c>
      <c r="D37" t="e">
        <v>#N/A</v>
      </c>
      <c r="E37" s="13" t="s">
        <v>1347</v>
      </c>
      <c r="F37" s="13" t="s">
        <v>1302</v>
      </c>
    </row>
    <row r="38" spans="1:6">
      <c r="A38" t="s">
        <v>651</v>
      </c>
      <c r="B38" t="s">
        <v>74</v>
      </c>
      <c r="C38" t="s">
        <v>73</v>
      </c>
      <c r="D38" t="s">
        <v>73</v>
      </c>
      <c r="E38" s="13" t="s">
        <v>1348</v>
      </c>
      <c r="F38" s="13" t="s">
        <v>1303</v>
      </c>
    </row>
    <row r="39" spans="1:6" ht="15">
      <c r="A39" s="27" t="s">
        <v>463</v>
      </c>
      <c r="B39" s="29" t="s">
        <v>664</v>
      </c>
      <c r="C39" s="27" t="s">
        <v>790</v>
      </c>
      <c r="D39" s="27" t="s">
        <v>790</v>
      </c>
      <c r="E39" s="28" t="s">
        <v>1317</v>
      </c>
      <c r="F39" s="28" t="s">
        <v>1310</v>
      </c>
    </row>
    <row r="40" spans="1:6" ht="15">
      <c r="A40" t="s">
        <v>463</v>
      </c>
      <c r="B40" s="12" t="s">
        <v>68</v>
      </c>
      <c r="C40" t="s">
        <v>791</v>
      </c>
      <c r="D40" t="s">
        <v>66</v>
      </c>
      <c r="E40" s="13" t="s">
        <v>1318</v>
      </c>
      <c r="F40" s="13" t="s">
        <v>1311</v>
      </c>
    </row>
    <row r="41" spans="1:6">
      <c r="A41" t="s">
        <v>651</v>
      </c>
      <c r="B41" t="s">
        <v>648</v>
      </c>
      <c r="C41" t="s">
        <v>811</v>
      </c>
      <c r="D41" t="e">
        <v>#N/A</v>
      </c>
      <c r="E41" s="13" t="s">
        <v>1349</v>
      </c>
      <c r="F41" s="13" t="s">
        <v>1304</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127</vt:i4>
      </vt:variant>
    </vt:vector>
  </HeadingPairs>
  <TitlesOfParts>
    <vt:vector size="145" baseType="lpstr">
      <vt:lpstr>FIX</vt:lpstr>
      <vt:lpstr>ADD</vt:lpstr>
      <vt:lpstr>ISSUES</vt:lpstr>
      <vt:lpstr>glossary</vt:lpstr>
      <vt:lpstr>lu_question_option</vt:lpstr>
      <vt:lpstr>add_extra_yaml</vt:lpstr>
      <vt:lpstr>nametitle_modappl</vt:lpstr>
      <vt:lpstr>find_replace</vt:lpstr>
      <vt:lpstr>find_key</vt:lpstr>
      <vt:lpstr>find_replace_single</vt:lpstr>
      <vt:lpstr>references</vt:lpstr>
      <vt:lpstr>q_lu_prog_level_TOC</vt:lpstr>
      <vt:lpstr>q_approach</vt:lpstr>
      <vt:lpstr>q_lu_info_pages</vt:lpstr>
      <vt:lpstr>OTHER</vt:lpstr>
      <vt:lpstr>q_sub_links</vt:lpstr>
      <vt:lpstr>q_notes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2025-01-29T03:57:07Z</dcterms:modified>
</cp:coreProperties>
</file>