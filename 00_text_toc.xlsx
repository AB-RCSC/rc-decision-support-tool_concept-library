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si\Documents\GitHub_AB-RCSC\rc-tool_concept-library\"/>
    </mc:Choice>
  </mc:AlternateContent>
  <xr:revisionPtr revIDLastSave="0" documentId="13_ncr:1_{9FD9B3F2-6B0C-4F85-85C1-6B992D44FF65}" xr6:coauthVersionLast="47" xr6:coauthVersionMax="47" xr10:uidLastSave="{00000000-0000-0000-0000-000000000000}"/>
  <bookViews>
    <workbookView xWindow="-28920" yWindow="1080" windowWidth="29040" windowHeight="15720" xr2:uid="{4BC3C181-4CC4-42B0-ABB6-591BAEB00090}"/>
  </bookViews>
  <sheets>
    <sheet name="Sheet1" sheetId="1" r:id="rId1"/>
    <sheet name="02_dialog-boxes" sheetId="3" r:id="rId2"/>
  </sheets>
  <externalReferences>
    <externalReference r:id="rId3"/>
  </externalReferences>
  <definedNames>
    <definedName name="_xlnm._FilterDatabase" localSheetId="0" hidden="1">Sheet1!$A$1:$F$74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11" i="1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F8" i="1"/>
  <c r="F3" i="1"/>
  <c r="F9" i="1"/>
  <c r="F4" i="1"/>
  <c r="F2" i="1"/>
  <c r="F6" i="1"/>
  <c r="F74" i="1"/>
  <c r="F73" i="1"/>
  <c r="F10" i="1"/>
  <c r="F7" i="1"/>
</calcChain>
</file>

<file path=xl/sharedStrings.xml><?xml version="1.0" encoding="utf-8"?>
<sst xmlns="http://schemas.openxmlformats.org/spreadsheetml/2006/main" count="289" uniqueCount="200">
  <si>
    <t>&lt;b&gt;Objectives &amp; Resources&lt;/b&gt;&lt;br&gt;</t>
  </si>
  <si>
    <t>&lt;font color='#FFFFFF'&gt;..........&lt;/font&gt;[{{ title_i_objective }}](/02_dialog-boxes/01_02_objective.md)&lt;br&gt;</t>
  </si>
  <si>
    <t>&lt;font color='#FFFFFF'&gt;..........&lt;/font&gt;[{{ title_i_num_cams }}](/02_dialog-boxes/01_03_num_cams.md)&lt;br&gt;</t>
  </si>
  <si>
    <t>&lt;b&gt;Study area &amp; Site selection constraints&lt;/b&gt;&lt;br&gt;</t>
  </si>
  <si>
    <t>&lt;font color='#FFFFFF'&gt;..........&lt;/font&gt;[{{ title_i_study_area_mult }}](/02_dialog-boxes/01_04_study_area_mult.md)&lt;br&gt;</t>
  </si>
  <si>
    <t>&lt;font color='#FFFFFF'&gt;..........&lt;/font&gt;[{{ title_i_cam_dens_gradient }}](/02_dialog-boxes/01_05_cam_dens_gradient.md)&lt;br&gt;</t>
  </si>
  <si>
    <t>&lt;font color='#FFFFFF'&gt;..........&lt;/font&gt;[{{ title_i_cam_strat_covar }}](/02_dialog-boxes/01_06_cam_strat_covar.md)&lt;br&gt;</t>
  </si>
  <si>
    <t>&lt;font color='#FFFFFF'&gt;..........&lt;/font&gt;[{{ title_i_cam_high_dens }}](/02_dialog-boxes/01_07_cam_high_dens.md)&lt;br&gt;</t>
  </si>
  <si>
    <t>&lt;b&gt;Duration &amp; Timing&lt;/b&gt;&lt;br&gt;</t>
  </si>
  <si>
    <t>&lt;font color='#FFFFFF'&gt;..........&lt;/font&gt;[{{ title_i_surv_dur }}](/02_dialog-boxes/01_08_surv_dur.md)&lt;br&gt;</t>
  </si>
  <si>
    <t>&lt;font color='#FFFFFF'&gt;..........&lt;/font&gt;[{{ title_i_sp_asymptote }}](/02_dialog-boxes/01_10_sp_asymptote.html#i_sp_asymptote)&lt;br&gt;</t>
  </si>
  <si>
    <t>&lt;font color='#FFFFFF'&gt;..........&lt;/font&gt;[{{ title_i_study_season_num }}](/02_dialog-boxes/01_11_study_season_num.md)&lt;br&gt;</t>
  </si>
  <si>
    <t>&lt;b&gt;Target species&lt;/b&gt;&lt;br&gt;</t>
  </si>
  <si>
    <t>&lt;font color='#FFFFFF'&gt;..........&lt;/font&gt;[{{ title_i_obj_targ_sp }}](/02_dialog-boxes/01_12_obj_targ_sp.md)&lt;br&gt;</t>
  </si>
  <si>
    <t>&lt;font color='#FFFFFF'&gt;..........&lt;/font&gt;[{{ title_i_sp_info }}](/02_dialog-boxes/01_13_sp_info.md)&lt;br&gt;</t>
  </si>
  <si>
    <t>&lt;font color='#FFFFFF'&gt;..........&lt;/font&gt;[{{ title_i_sp_type }}](/02_dialog-boxes/01_14_sp_type.md)&lt;br&gt;</t>
  </si>
  <si>
    <t>&lt;font color='#FFFFFF'&gt;..........&lt;/font&gt;[{{ title_i_sp_dens_low }}](/02_dialog-boxes/01_15_sp_dens_low.md)&lt;br&gt;</t>
  </si>
  <si>
    <t>&lt;font color='#FFFFFF'&gt;..........&lt;/font&gt;[{{ title_i_sp_occ_restr }}](/02_dialog-boxes/01_16_sp_occ_restr.md)&lt;br&gt;</t>
  </si>
  <si>
    <t>&lt;font color='#FFFFFF'&gt;..........&lt;/font&gt;[{{ title_i_sp_hr_size }}](/02_dialog-boxes/01_17_sp_hr_size.md)&lt;br&gt;</t>
  </si>
  <si>
    <t>&lt;font color='#FFFFFF'&gt;..........&lt;/font&gt;[{{ title_i_sp_size }}](/02_dialog-boxes/01_18_sp_size.md)&lt;br&gt;</t>
  </si>
  <si>
    <t>&lt;font color='#FFFFFF'&gt;..........&lt;/font&gt;[{{ title_i_sp_rarity }}](/02_dialog-boxes/01_19_sp_rarity.md)&lt;br&gt;</t>
  </si>
  <si>
    <t>&lt;font color='#FFFFFF'&gt;..........&lt;/font&gt;[{{ title_i_sp_detprob_cat }}](/02_dialog-boxes/01_20_sp_detprob_cat.md)&lt;br&gt;</t>
  </si>
  <si>
    <t>&lt;font color='#FFFFFF'&gt;..........&lt;/font&gt;[{{ title_i_sp_behav_index }}](/02_dialog-boxes/01_21_sp_behav.md)&lt;br&gt;</t>
  </si>
  <si>
    <t>&lt;font color='#FFFFFF'&gt;..........&lt;/font&gt;[{{ title_i_markings_index }}](/02_dialog-boxes/01_23_markings.md)&lt;br&gt;</t>
  </si>
  <si>
    <t>&lt;font color='#FFFFFF'&gt;..........&lt;/font&gt;[{{ title_i_auxillary_info_count }}](/02_dialog-boxes/01_26_auxillary_info_count.md)&lt;br&gt;</t>
  </si>
  <si>
    <t>&lt;font color='#FFFFFF'&gt;..........&lt;/font&gt;[{{ title_i_focalarea_calc }}](/02_dialog-boxes/01_28_focalarea_calc.md)&lt;br&gt;</t>
  </si>
  <si>
    <t>&lt;font color='#FFFFFF'&gt;..........&lt;/font&gt;[{{ title_i_sp_common_pop_lg }}](/02_dialog-boxes/01_30_sp_common_pop_lg.md)&lt;br&gt;</t>
  </si>
  <si>
    <t>&lt;b&gt;Equipment &amp; Deployment&lt;/b&gt;&lt;br&gt;</t>
  </si>
  <si>
    <t>&lt;font color='#FFFFFF'&gt;..........&lt;/font&gt;[{{ title_i_cam_equipment }}](/02_dialog-boxes/01_39_cam_equipment.md)&lt;br&gt;</t>
  </si>
  <si>
    <t>&lt;font color='#FFFFFF'&gt;..........&lt;/font&gt;[{{ title_i_cam_settings }}](/02_dialog-boxes/01_40_cam_settings.md)&lt;br&gt;</t>
  </si>
  <si>
    <t>&lt;font color='#FFFFFF'&gt;..........&lt;/font&gt;[{{ title_i_cam_placement }}](/02_dialog-boxes/01_41_cam_placement.md)&lt;br&gt;</t>
  </si>
  <si>
    <t>&lt;font color='#FFFFFF'&gt;..........&lt;/font&gt;[{{ title_i_cam_direction_ds }}](/02_dialog-boxes/01_42_cam_direction_ds.md)&lt;br&gt;</t>
  </si>
  <si>
    <t>&lt;font color='#FFFFFF'&gt;..........&lt;/font&gt;[{{ title_i_bait_lure }}](/02_dialog-boxes/01_43_bait_lure.md)&lt;br&gt;</t>
  </si>
  <si>
    <t>&lt;font color='#FFFFFF'&gt;..........&lt;/font&gt;[{{ title_i_targ_feature }}](/02_dialog-boxes/01_45_targ_feature.md)&lt;br&gt;</t>
  </si>
  <si>
    <t>&lt;b&gt;Data &amp; Analysis&lt;/b&gt;&lt;br&gt;</t>
  </si>
  <si>
    <t>&lt;font color='#FFFFFF'&gt;..........&lt;/font&gt;[{{ title_i_cam_independent }}](/02_dialog-boxes/01_47_cam_independent.md)&lt;br&gt;</t>
  </si>
  <si>
    <t>&lt;font color='#FFFFFF'&gt;..........&lt;/font&gt;[{{ title_i_multisamp_per_loc }}](/02_dialog-boxes/01_48_multisamp_per_loc.md)&lt;br&gt;</t>
  </si>
  <si>
    <t>&lt;font color='#FFFFFF'&gt;..........&lt;/font&gt;[{{ title_i_modmixed }}](/02_dialog-boxes/01_49_modmixed.md)&lt;br&gt;</t>
  </si>
  <si>
    <t>&lt;font color='#FFFFFF'&gt;..........&lt;/font&gt;[{{ title_i_num_det_individ_recaptures }}](/02_dialog-boxes/01_50_num_det_individ_recaptures.md)&lt;br&gt;</t>
  </si>
  <si>
    <t>&lt;font color='#FFFFFF'&gt;..........&lt;/font&gt;[{{ title_i_overdispersion_zeroinflation }}](/02_dialog-boxes/01_53_overdispersion_zeroinflation.md)&lt;br&gt;</t>
  </si>
  <si>
    <t>&lt;b&gt;Recommendations&lt;/b&gt;&lt;br&gt;</t>
  </si>
  <si>
    <t>&lt;font color='#FFFFFF'&gt;......&lt;/font&gt;&lt;b&gt;&lt;i&gt;Sampling design&lt;/i&gt;&lt;/b&gt;&lt;br&gt;</t>
  </si>
  <si>
    <t>&lt;font color='#FFFFFF'&gt;..........&lt;/font&gt;[{{ title_i_design_study_area }}](/02_dialog-boxes/02_01_design_study_area.md)&lt;br&gt;</t>
  </si>
  <si>
    <t>&lt;font color='#FFFFFF'&gt;..........&lt;/font&gt;[{{ title_i_design_cam_arrange }}](/02_dialog-boxes/02_02_00_design_cam_arrange.md)&lt;br&gt;</t>
  </si>
  <si>
    <t>&lt;font color='#FFFFFF'&gt;..........&lt;/font&gt;[{{ title_i_design_cam_spacing }}](/02_dialog-boxes/02_03_design_cam_spacing.md)&lt;br&gt;</t>
  </si>
  <si>
    <t>&lt;font color='#FFFFFF'&gt;..........&lt;/font&gt;[{{ title_i_design_num_cams }}](/02_dialog-boxes/02_04_design_num_cams.md)&lt;br&gt;</t>
  </si>
  <si>
    <t>&lt;font color='#FFFFFF'&gt;..........&lt;/font&gt;[{{ title_i_design_camdays_per_loc }}](/02_dialog-boxes/02_05_design_camdays_per_loc.md)&lt;br&gt;</t>
  </si>
  <si>
    <t>&lt;font color='#FFFFFF'&gt;..........&lt;/font&gt;[{{ title_i_design_cam_days_ttl }}](/02_dialog-boxes/02_06_design_cam_days_ttl.md)&lt;br&gt;</t>
  </si>
  <si>
    <t>&lt;font color='#FFFFFF'&gt;..........&lt;/font&gt;[{{ title_i_design_survey_duration }}](/02_dialog-boxes/02_07_design_survey_duration.md)&lt;br&gt;</t>
  </si>
  <si>
    <t>&lt;font color='#FFFFFF'&gt;......&lt;/font&gt;&lt;b&gt;&lt;i&gt;Modelling Approaches&lt;/i&gt;&lt;/b&gt;&lt;br&gt;</t>
  </si>
  <si>
    <t>&lt;font color='#FFFFFF'&gt;..........&lt;/font&gt;[{{ title_i_mod_inventory }}](/02_dialog-boxes/03_01_mod_inventory.md)&lt;br&gt;</t>
  </si>
  <si>
    <t>&lt;font color='#FFFFFF'&gt;..........&lt;/font&gt;[{{ title_i_mod_divers_rich }}](/02_dialog-boxes/03_02_mod_divers_rich.md)&lt;br&gt;</t>
  </si>
  <si>
    <t>&lt;font color='#FFFFFF'&gt;..........&lt;/font&gt;[{{ title_i_mod_occupancy }}](/02_dialog-boxes/03_03_mod_occupancy.md)&lt;br&gt;</t>
  </si>
  <si>
    <t>&lt;font color='#FFFFFF'&gt;..........&lt;/font&gt;[{{ title_i_mod_rai }}](/02_dialog-boxes/03_04_mod_rai.md)&lt;br&gt;</t>
  </si>
  <si>
    <t>&lt;font color='#FFFFFF'&gt;..........&lt;/font&gt;[{{ title_i_mod_cr_cmr }}](/02_dialog-boxes/03_10_mod_cr_cmr.md)&lt;br&gt;</t>
  </si>
  <si>
    <t>&lt;font color='#FFFFFF'&gt;..........&lt;/font&gt;[{{ title_i_mod_scr_secr }}](/02_dialog-boxes/03_11_mod_scr_secr.md)&lt;br&gt;</t>
  </si>
  <si>
    <t>&lt;font color='#FFFFFF'&gt;..........&lt;/font&gt;[{{ title_i_mod_smr }}](/02_dialog-boxes/03_13_mod_smr.md)&lt;br&gt;</t>
  </si>
  <si>
    <t>&lt;font color='#FFFFFF'&gt;..........&lt;/font&gt;[{{ title_i_mod_sc }}](/02_dialog-boxes/03_14_mod_sc.md)&lt;br&gt;</t>
  </si>
  <si>
    <t>&lt;font color='#FFFFFF'&gt;..........&lt;/font&gt;[{{ title_i_mod_catspim }}](/02_dialog-boxes/03_15_mod_catspim.md)&lt;br&gt;</t>
  </si>
  <si>
    <t>&lt;font color='#FFFFFF'&gt;..........&lt;/font&gt;[{{ title_i_mod_2flankspim }}](/02_dialog-boxes/03_16_mod_2flankspim.md)&lt;br&gt;</t>
  </si>
  <si>
    <t>&lt;font color='#FFFFFF'&gt;..........&lt;/font&gt;[{{ title_i_mod_rem }}](/02_dialog-boxes/03_17_mod_rem.md)&lt;br&gt;</t>
  </si>
  <si>
    <t>&lt;font color='#FFFFFF'&gt;..........&lt;/font&gt;[{{ title_i_mod_rest }}](/02_dialog-boxes/03_18_mod_rest.md)&lt;br&gt;</t>
  </si>
  <si>
    <t>&lt;font color='#FFFFFF'&gt;..........&lt;/font&gt;[{{ title_i_mod_tifc }}](/02_dialog-boxes/03_19_mod_tifc.md)&lt;br&gt;</t>
  </si>
  <si>
    <t>&lt;font color='#FFFFFF'&gt;..........&lt;/font&gt;[{{ title_i_mod_ds }}](/02_dialog-boxes/03_20_mod_ds.md)&lt;br&gt;</t>
  </si>
  <si>
    <t>&lt;font color='#FFFFFF'&gt;..........&lt;/font&gt;[{{ title_i_mod_tte }}](/02_dialog-boxes/03_21_mod_tte.md)&lt;br&gt;</t>
  </si>
  <si>
    <t>&lt;font color='#FFFFFF'&gt;..........&lt;/font&gt;[{{ title_i_mod_ste }}](/02_dialog-boxes/03_22_mod_ste.md)&lt;br&gt;</t>
  </si>
  <si>
    <t>&lt;font color='#FFFFFF'&gt;..........&lt;/font&gt;[{{ title_i_mod_is }}](/02_dialog-boxes/03_23_mod_is.md)&lt;br&gt;</t>
  </si>
  <si>
    <t>&lt;font color='#FFFFFF'&gt;..........&lt;/font&gt;[{{ title_i_mod_behaviour }}](/02_dialog-boxes/03_24_mod_behaviour.md)&lt;br&gt;</t>
  </si>
  <si>
    <t>&lt;br&gt;&lt;font color='#FFFFFF'&gt;......&lt;/font&gt;&lt;b&gt;&lt;i&gt;Analysis considerations&lt;/i&gt;&lt;/b&gt;&lt;br&gt;</t>
  </si>
  <si>
    <t>&lt;b&gt;References / Glossary / Other resources libraries&lt;/b&gt;&lt;br&gt;</t>
  </si>
  <si>
    <t>&lt;font color='#FFFFFF'&gt;......&lt;/font&gt;&lt;b&gt;&lt;i&gt;[{{ title_i_references }}](/02_dialog-boxes/08_references.html)&lt;/i&gt;&lt;/b&gt;&lt;br&gt;</t>
  </si>
  <si>
    <t>&lt;font color='#FFFFFF'&gt;......&lt;/font&gt;&lt;b&gt;&lt;i&gt;[{{ title_i_glossary }}](/02_dialog-boxes/09_glossary.html)&lt;/i&gt;&lt;/b&gt;&lt;br&gt;</t>
  </si>
  <si>
    <t>&lt;font color='#FFFFFF'&gt;......&lt;/font&gt;&lt;b&gt;&lt;i&gt;[{{ title_i_other_resource_lib }}](/02_dialog-boxes/10_other_resource_lib.html)&lt;/i&gt;&lt;/b&gt;</t>
  </si>
  <si>
    <t>&lt;font color='#FFFFFF'&gt;..........&lt;/font&gt;[{{ title_i_objective }}</t>
  </si>
  <si>
    <t>&lt;font color='#FFFFFF'&gt;..........&lt;/font&gt;[{{ title_i_num_cams }}</t>
  </si>
  <si>
    <t>&lt;font color='#FFFFFF'&gt;..........&lt;/font&gt;[{{ title_i_study_area_mult }}</t>
  </si>
  <si>
    <t>&lt;font color='#FFFFFF'&gt;..........&lt;/font&gt;[{{ title_i_cam_dens_gradient }}</t>
  </si>
  <si>
    <t>&lt;font color='#FFFFFF'&gt;..........&lt;/font&gt;[{{ title_i_cam_strat_covar }}</t>
  </si>
  <si>
    <t>&lt;font color='#FFFFFF'&gt;..........&lt;/font&gt;[{{ title_i_cam_high_dens }}</t>
  </si>
  <si>
    <t>&lt;font color='#FFFFFF'&gt;..........&lt;/font&gt;[{{ title_i_surv_dur }}</t>
  </si>
  <si>
    <t>&lt;font color='#FFFFFF'&gt;..........&lt;/font&gt;[{{ title_i_sp_asymptote }}</t>
  </si>
  <si>
    <t>&lt;font color='#FFFFFF'&gt;..........&lt;/font&gt;[{{ title_i_study_season_num }}</t>
  </si>
  <si>
    <t>&lt;font color='#FFFFFF'&gt;..........&lt;/font&gt;[{{ title_i_obj_targ_sp }}</t>
  </si>
  <si>
    <t>&lt;font color='#FFFFFF'&gt;..........&lt;/font&gt;[{{ title_i_sp_info }}</t>
  </si>
  <si>
    <t>&lt;font color='#FFFFFF'&gt;..........&lt;/font&gt;[{{ title_i_sp_type }}</t>
  </si>
  <si>
    <t>&lt;font color='#FFFFFF'&gt;..........&lt;/font&gt;[{{ title_i_sp_dens_low }}</t>
  </si>
  <si>
    <t>&lt;font color='#FFFFFF'&gt;..........&lt;/font&gt;[{{ title_i_sp_occ_restr }}</t>
  </si>
  <si>
    <t>&lt;font color='#FFFFFF'&gt;..........&lt;/font&gt;[{{ title_i_sp_hr_size }}</t>
  </si>
  <si>
    <t>&lt;font color='#FFFFFF'&gt;..........&lt;/font&gt;[{{ title_i_sp_size }}</t>
  </si>
  <si>
    <t>&lt;font color='#FFFFFF'&gt;..........&lt;/font&gt;[{{ title_i_sp_rarity }}</t>
  </si>
  <si>
    <t>&lt;font color='#FFFFFF'&gt;..........&lt;/font&gt;[{{ title_i_sp_detprob_cat }}</t>
  </si>
  <si>
    <t>&lt;font color='#FFFFFF'&gt;..........&lt;/font&gt;[{{ title_i_sp_behav_index }}</t>
  </si>
  <si>
    <t>&lt;font color='#FFFFFF'&gt;..........&lt;/font&gt;[{{ title_i_markings_index }}</t>
  </si>
  <si>
    <t>&lt;font color='#FFFFFF'&gt;..........&lt;/font&gt;[{{ title_i_auxillary_info_count }}</t>
  </si>
  <si>
    <t>&lt;font color='#FFFFFF'&gt;..........&lt;/font&gt;[{{ title_i_focalarea_calc }}</t>
  </si>
  <si>
    <t>&lt;font color='#FFFFFF'&gt;..........&lt;/font&gt;[{{ title_i_sp_common_pop_lg }}</t>
  </si>
  <si>
    <t>&lt;font color='#FFFFFF'&gt;..........&lt;/font&gt;[{{ title_i_cam_equipment }}</t>
  </si>
  <si>
    <t>&lt;font color='#FFFFFF'&gt;..........&lt;/font&gt;[{{ title_i_cam_settings }}</t>
  </si>
  <si>
    <t>&lt;font color='#FFFFFF'&gt;..........&lt;/font&gt;[{{ title_i_cam_placement }}</t>
  </si>
  <si>
    <t>&lt;font color='#FFFFFF'&gt;..........&lt;/font&gt;[{{ title_i_cam_direction_ds }}</t>
  </si>
  <si>
    <t>&lt;font color='#FFFFFF'&gt;..........&lt;/font&gt;[{{ title_i_bait_lure }}</t>
  </si>
  <si>
    <t>&lt;font color='#FFFFFF'&gt;..........&lt;/font&gt;[{{ title_i_targ_feature }}</t>
  </si>
  <si>
    <t>&lt;font color='#FFFFFF'&gt;..........&lt;/font&gt;[{{ title_i_cam_independent }}</t>
  </si>
  <si>
    <t>&lt;font color='#FFFFFF'&gt;..........&lt;/font&gt;[{{ title_i_multisamp_per_loc }}</t>
  </si>
  <si>
    <t>&lt;font color='#FFFFFF'&gt;..........&lt;/font&gt;[{{ title_i_modmixed }}</t>
  </si>
  <si>
    <t>&lt;font color='#FFFFFF'&gt;..........&lt;/font&gt;[{{ title_i_num_det_individ_recaptures }}</t>
  </si>
  <si>
    <t>&lt;font color='#FFFFFF'&gt;..........&lt;/font&gt;[{{ title_i_overdispersion_zeroinflation }}</t>
  </si>
  <si>
    <t>&lt;font color='#FFFFFF'&gt;..........&lt;/font&gt;[{{ title_i_design_study_area }}</t>
  </si>
  <si>
    <t>&lt;font color='#FFFFFF'&gt;..........&lt;/font&gt;[{{ title_i_design_cam_arrange }}</t>
  </si>
  <si>
    <t>&lt;font color='#FFFFFF'&gt;..........&lt;/font&gt;[{{ title_i_design_cam_spacing }}</t>
  </si>
  <si>
    <t>&lt;font color='#FFFFFF'&gt;..........&lt;/font&gt;[{{ title_i_design_num_cams }}</t>
  </si>
  <si>
    <t>&lt;font color='#FFFFFF'&gt;..........&lt;/font&gt;[{{ title_i_design_camdays_per_loc }}</t>
  </si>
  <si>
    <t>&lt;font color='#FFFFFF'&gt;..........&lt;/font&gt;[{{ title_i_design_cam_days_ttl }}</t>
  </si>
  <si>
    <t>&lt;font color='#FFFFFF'&gt;..........&lt;/font&gt;[{{ title_i_design_survey_duration }}</t>
  </si>
  <si>
    <t>&lt;font color='#FFFFFF'&gt;..........&lt;/font&gt;[{{ title_i_mod_inventory }}</t>
  </si>
  <si>
    <t>&lt;font color='#FFFFFF'&gt;..........&lt;/font&gt;[{{ title_i_mod_divers_rich }}</t>
  </si>
  <si>
    <t>&lt;font color='#FFFFFF'&gt;..........&lt;/font&gt;[{{ title_i_mod_occupancy }}</t>
  </si>
  <si>
    <t>&lt;font color='#FFFFFF'&gt;..........&lt;/font&gt;[{{ title_i_mod_rai }}</t>
  </si>
  <si>
    <t>&lt;font color='#FFFFFF'&gt;..........&lt;/font&gt;[{{ title_i_mod_cr_cmr }}</t>
  </si>
  <si>
    <t>&lt;font color='#FFFFFF'&gt;..........&lt;/font&gt;[{{ title_i_mod_scr_secr }}</t>
  </si>
  <si>
    <t>&lt;font color='#FFFFFF'&gt;..........&lt;/font&gt;[{{ title_i_mod_smr }}</t>
  </si>
  <si>
    <t>&lt;font color='#FFFFFF'&gt;..........&lt;/font&gt;[{{ title_i_mod_sc }}</t>
  </si>
  <si>
    <t>&lt;font color='#FFFFFF'&gt;..........&lt;/font&gt;[{{ title_i_mod_catspim }}</t>
  </si>
  <si>
    <t>&lt;font color='#FFFFFF'&gt;..........&lt;/font&gt;[{{ title_i_mod_2flankspim }}</t>
  </si>
  <si>
    <t>&lt;font color='#FFFFFF'&gt;..........&lt;/font&gt;[{{ title_i_mod_rem }}</t>
  </si>
  <si>
    <t>&lt;font color='#FFFFFF'&gt;..........&lt;/font&gt;[{{ title_i_mod_rest }}</t>
  </si>
  <si>
    <t>&lt;font color='#FFFFFF'&gt;..........&lt;/font&gt;[{{ title_i_mod_tifc }}</t>
  </si>
  <si>
    <t>&lt;font color='#FFFFFF'&gt;..........&lt;/font&gt;[{{ title_i_mod_ds }}</t>
  </si>
  <si>
    <t>&lt;font color='#FFFFFF'&gt;..........&lt;/font&gt;[{{ title_i_mod_tte }}</t>
  </si>
  <si>
    <t>&lt;font color='#FFFFFF'&gt;..........&lt;/font&gt;[{{ title_i_mod_ste }}</t>
  </si>
  <si>
    <t>&lt;font color='#FFFFFF'&gt;..........&lt;/font&gt;[{{ title_i_mod_is }}</t>
  </si>
  <si>
    <t>&lt;font color='#FFFFFF'&gt;..........&lt;/font&gt;[{{ title_i_mod_behaviour }}</t>
  </si>
  <si>
    <t>&lt;font color='#FFFFFF'&gt;......&lt;/font&gt;&lt;b&gt;&lt;i&gt;[{{ title_i_references }}</t>
  </si>
  <si>
    <t>&lt;font color='#FFFFFF'&gt;......&lt;/font&gt;&lt;b&gt;&lt;i&gt;[{{ title_i_glossary }}</t>
  </si>
  <si>
    <t>&lt;font color='#FFFFFF'&gt;......&lt;/font&gt;&lt;b&gt;&lt;i&gt;[{{ title_i_other_resource_lib }}</t>
  </si>
  <si>
    <t>Name</t>
  </si>
  <si>
    <t>Folder Path</t>
  </si>
  <si>
    <t>C:\Users\cassi\Documents\GitHub_AB-RCSC\rc-tool_concept-library\02_dialog-boxes\</t>
  </si>
  <si>
    <t>01_02_objective</t>
  </si>
  <si>
    <t>01_03_num_cams</t>
  </si>
  <si>
    <t>01_06_cam_strat_covar</t>
  </si>
  <si>
    <t>01_10_sp_asymptote</t>
  </si>
  <si>
    <t>01_13_sp_info</t>
  </si>
  <si>
    <t>01_14_sp_type</t>
  </si>
  <si>
    <t>01_15_sp_dens_low</t>
  </si>
  <si>
    <t>01_17_sp_hr_size</t>
  </si>
  <si>
    <t>01_18_sp_size</t>
  </si>
  <si>
    <t>01_19_sp_rarity</t>
  </si>
  <si>
    <t>01_20_sp_detprob_cat</t>
  </si>
  <si>
    <t>01_21_sp_behav</t>
  </si>
  <si>
    <t>01_39_cam_equipment</t>
  </si>
  <si>
    <t>01_40_cam_settings</t>
  </si>
  <si>
    <t>01_43_bait_lure</t>
  </si>
  <si>
    <t>01_47_cam_independent</t>
  </si>
  <si>
    <t>02_01_design_study_area</t>
  </si>
  <si>
    <t>02_02_00_design_cam_arrange</t>
  </si>
  <si>
    <t>03_01_mod_inventory</t>
  </si>
  <si>
    <t>03_02_mod_divers_rich</t>
  </si>
  <si>
    <t>03_03_mod_occupancy</t>
  </si>
  <si>
    <t>03_04_mod_rai</t>
  </si>
  <si>
    <t>03_10_mod_cr_cmr</t>
  </si>
  <si>
    <t>03_11_mod_scr_secr</t>
  </si>
  <si>
    <t>03_13_mod_smr</t>
  </si>
  <si>
    <t>03_14_mod_sc</t>
  </si>
  <si>
    <t>03_15_mod_catspim</t>
  </si>
  <si>
    <t>03_16_mod_2flankspim</t>
  </si>
  <si>
    <t>03_17_mod_rem</t>
  </si>
  <si>
    <t>03_18_mod_rest</t>
  </si>
  <si>
    <t>03_19_mod_tifc</t>
  </si>
  <si>
    <t>03_20_mod_ds</t>
  </si>
  <si>
    <t>03_21_mod_tte</t>
  </si>
  <si>
    <t>03_22_mod_ste</t>
  </si>
  <si>
    <t>03_23_mod_is</t>
  </si>
  <si>
    <t>03_24_mod_behaviour</t>
  </si>
  <si>
    <t>08_references</t>
  </si>
  <si>
    <t>09_glossary</t>
  </si>
  <si>
    <t>10_other_resource_lib</t>
  </si>
  <si>
    <t>/02_dialog-boxes/</t>
  </si>
  <si>
    <t>01_05_cam_dens_gradient</t>
  </si>
  <si>
    <t>01_07_cam_high_dens</t>
  </si>
  <si>
    <t>01_08_surv_dur</t>
  </si>
  <si>
    <t>01_11_study_season_num</t>
  </si>
  <si>
    <t>01_12_obj_targ_sp</t>
  </si>
  <si>
    <t>01_16_sp_occ_restr</t>
  </si>
  <si>
    <t>01_23_markings</t>
  </si>
  <si>
    <t>01_26_auxillary_info_count</t>
  </si>
  <si>
    <t>01_28_focalarea_calc</t>
  </si>
  <si>
    <t>01_30_sp_common_pop_lg</t>
  </si>
  <si>
    <t>01_41_cam_placement</t>
  </si>
  <si>
    <t>01_42_cam_direction_ds</t>
  </si>
  <si>
    <t>01_45_targ_feature</t>
  </si>
  <si>
    <t>01_48_multisamp_per_loc</t>
  </si>
  <si>
    <t>01_49_modmixed</t>
  </si>
  <si>
    <t>01_50_num_det_individ_recaptures</t>
  </si>
  <si>
    <t>01_53_overdispersion_zeroinflation</t>
  </si>
  <si>
    <t>02_03_design_cam_spacing</t>
  </si>
  <si>
    <t>02_04_design_num_cams</t>
  </si>
  <si>
    <t>02_05_design_camdays_per_loc</t>
  </si>
  <si>
    <t>02_06_design_cam_days_ttl</t>
  </si>
  <si>
    <t>02_07_design_survey_duration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</si>
</sst>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ssi\Documents\GitHub_AB-RCSC\rc-tool_concept-library\02_dialog-boxes\.info\lu_glossary_tooltips_2025-01-29.xlsx" TargetMode="External"/><Relationship Id="rId1" Type="http://schemas.openxmlformats.org/officeDocument/2006/relationships/externalLinkPath" Target="02_dialog-boxes/.info/lu_glossary_tooltips_2025-01-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X"/>
      <sheetName val="ADD"/>
      <sheetName val="ISSUES"/>
      <sheetName val="glossary"/>
      <sheetName val="q_lu_info_pages"/>
      <sheetName val="lu_question_option"/>
      <sheetName val="add_extra_yaml"/>
      <sheetName val="nametitle_modappl"/>
      <sheetName val="find_replace"/>
      <sheetName val="find_key"/>
      <sheetName val="find_replace_single"/>
      <sheetName val="references"/>
      <sheetName val="q_lu_prog_level_TOC"/>
      <sheetName val="q_approach"/>
      <sheetName val="OTHER"/>
      <sheetName val="q_sub_links"/>
      <sheetName val="q_notes"/>
      <sheetName val="kemp_et_al_2022"/>
    </sheetNames>
    <sheetDataSet>
      <sheetData sheetId="0"/>
      <sheetData sheetId="1"/>
      <sheetData sheetId="2"/>
      <sheetData sheetId="3"/>
      <sheetData sheetId="4">
        <row r="1">
          <cell r="H1" t="str">
            <v>info_file_name</v>
          </cell>
        </row>
        <row r="2">
          <cell r="H2" t="str">
            <v>01_01_user_entry</v>
          </cell>
        </row>
        <row r="3">
          <cell r="H3" t="str">
            <v>01_02_objective</v>
          </cell>
        </row>
        <row r="4">
          <cell r="H4" t="str">
            <v>01_03_num_cams</v>
          </cell>
        </row>
        <row r="5">
          <cell r="H5" t="str">
            <v>02_01_design_study_area</v>
          </cell>
        </row>
        <row r="6">
          <cell r="H6" t="str">
            <v>01_05_cam_dens_gradient</v>
          </cell>
        </row>
        <row r="7">
          <cell r="H7" t="str">
            <v>01_06_cam_strat_covar</v>
          </cell>
        </row>
        <row r="8">
          <cell r="H8" t="str">
            <v>01_07_cam_high_dens</v>
          </cell>
        </row>
        <row r="9">
          <cell r="H9" t="str">
            <v>01_08_surv_dur</v>
          </cell>
        </row>
        <row r="10">
          <cell r="H10" t="str">
            <v>01_08_surv_dur</v>
          </cell>
        </row>
        <row r="11">
          <cell r="H11" t="str">
            <v>01_10_sp_asymptote</v>
          </cell>
        </row>
        <row r="12">
          <cell r="H12" t="str">
            <v>01_11_study_season_num</v>
          </cell>
        </row>
        <row r="13">
          <cell r="H13" t="str">
            <v>01_12_obj_targ_sp</v>
          </cell>
        </row>
        <row r="14">
          <cell r="H14" t="str">
            <v>01_13_sp_info</v>
          </cell>
        </row>
        <row r="15">
          <cell r="H15" t="str">
            <v>01_14_sp_type</v>
          </cell>
        </row>
        <row r="16">
          <cell r="H16" t="str">
            <v>01_15_sp_dens_low</v>
          </cell>
        </row>
        <row r="17">
          <cell r="H17" t="str">
            <v>01_16_sp_occ_restr</v>
          </cell>
        </row>
        <row r="18">
          <cell r="H18" t="str">
            <v>01_17_sp_hr_size</v>
          </cell>
        </row>
        <row r="19">
          <cell r="H19" t="str">
            <v>01_18_sp_size</v>
          </cell>
        </row>
        <row r="20">
          <cell r="H20" t="str">
            <v>01_19_sp_rarity</v>
          </cell>
        </row>
        <row r="21">
          <cell r="H21" t="str">
            <v>01_20_sp_detprob_cat</v>
          </cell>
        </row>
        <row r="22">
          <cell r="H22" t="str">
            <v>01_21_sp_behav</v>
          </cell>
        </row>
        <row r="23">
          <cell r="H23" t="str">
            <v>01_21_sp_behav</v>
          </cell>
        </row>
        <row r="24">
          <cell r="H24" t="str">
            <v>01_23_markings</v>
          </cell>
        </row>
        <row r="25">
          <cell r="H25" t="str">
            <v>01_26_auxillary_info_count</v>
          </cell>
        </row>
        <row r="26">
          <cell r="H26" t="str">
            <v>01_28_focalarea_calc</v>
          </cell>
        </row>
        <row r="27">
          <cell r="H27" t="str">
            <v>01_30_sp_common_pop_lg</v>
          </cell>
        </row>
        <row r="28">
          <cell r="H28" t="str">
            <v>01_39_cam_equipment</v>
          </cell>
        </row>
        <row r="29">
          <cell r="H29" t="str">
            <v>01_40_cam_settings</v>
          </cell>
        </row>
        <row r="30">
          <cell r="H30" t="str">
            <v>01_41_cam_placement</v>
          </cell>
        </row>
        <row r="31">
          <cell r="H31" t="str">
            <v>01_42_cam_direction_ds</v>
          </cell>
        </row>
        <row r="32">
          <cell r="H32" t="str">
            <v>01_43_bait_lure</v>
          </cell>
        </row>
        <row r="33">
          <cell r="H33" t="str">
            <v>01_43_bait_lure</v>
          </cell>
        </row>
        <row r="34">
          <cell r="H34" t="str">
            <v>01_45_targ_feature</v>
          </cell>
        </row>
        <row r="35">
          <cell r="H35" t="str">
            <v>01_47_cam_independent</v>
          </cell>
        </row>
        <row r="36">
          <cell r="H36" t="str">
            <v>01_48_multisamp_per_loc</v>
          </cell>
        </row>
        <row r="37">
          <cell r="H37" t="str">
            <v>01_49_modmixed</v>
          </cell>
        </row>
        <row r="38">
          <cell r="H38" t="str">
            <v>01_50_num_det_individ_recaptures</v>
          </cell>
        </row>
        <row r="39">
          <cell r="H39" t="str">
            <v>01_50_num_det_individ_recaptures</v>
          </cell>
        </row>
        <row r="40">
          <cell r="H40" t="str">
            <v>01_53_overdispersion_zeroinflation</v>
          </cell>
        </row>
        <row r="41">
          <cell r="H41" t="str">
            <v>01_53_overdispersion_zeroinflation</v>
          </cell>
        </row>
        <row r="42">
          <cell r="H42" t="str">
            <v>01_53_overdispersion_zeroinflation</v>
          </cell>
        </row>
        <row r="43">
          <cell r="H43" t="str">
            <v>01_53_overdispersion_zeroinflation</v>
          </cell>
        </row>
        <row r="44">
          <cell r="H44" t="str">
            <v>02_01_design_study_area</v>
          </cell>
        </row>
        <row r="45">
          <cell r="H45" t="str">
            <v>02_02_00_design_cam_arrange</v>
          </cell>
        </row>
        <row r="46">
          <cell r="H46" t="str">
            <v>02_02_01_design_cam_arrange_random</v>
          </cell>
        </row>
        <row r="47">
          <cell r="H47" t="str">
            <v>02_02_02_design_cam_arrange_systematic</v>
          </cell>
        </row>
        <row r="48">
          <cell r="H48" t="str">
            <v>02_02_03_design_cam_arrange_systematic_random</v>
          </cell>
        </row>
        <row r="49">
          <cell r="H49" t="str">
            <v>02_02_04_design_cam_arrange_stratified</v>
          </cell>
        </row>
        <row r="50">
          <cell r="H50" t="str">
            <v>02_02_05_design_cam_arrange_stratified_random</v>
          </cell>
        </row>
        <row r="51">
          <cell r="H51" t="str">
            <v>02_02_06_design_clustered</v>
          </cell>
        </row>
        <row r="52">
          <cell r="H52" t="str">
            <v>02_02_07_design_cam_arrange_paired</v>
          </cell>
        </row>
        <row r="53">
          <cell r="H53" t="str">
            <v>02_02_08_design_cam_arrange_targeted</v>
          </cell>
        </row>
        <row r="54">
          <cell r="H54" t="str">
            <v>02_02_09_design_cam_arrange_convenience</v>
          </cell>
        </row>
        <row r="55">
          <cell r="H55" t="str">
            <v>02_03_design_cam_spacing</v>
          </cell>
        </row>
        <row r="56">
          <cell r="H56" t="str">
            <v>02_04_design_num_cams</v>
          </cell>
        </row>
        <row r="57">
          <cell r="H57" t="str">
            <v>02_05_design_camdays_per_loc</v>
          </cell>
        </row>
        <row r="58">
          <cell r="H58" t="str">
            <v>02_06_design_cam_days_ttl</v>
          </cell>
        </row>
        <row r="59">
          <cell r="H59" t="str">
            <v>02_07_design_survey_duration</v>
          </cell>
        </row>
        <row r="60">
          <cell r="H60" t="str">
            <v>03_01_mod_inventory</v>
          </cell>
        </row>
        <row r="61">
          <cell r="H61" t="str">
            <v>03_02_mod_divers_rich</v>
          </cell>
        </row>
        <row r="62">
          <cell r="H62" t="str">
            <v>03_03_mod_occupancy</v>
          </cell>
        </row>
        <row r="63">
          <cell r="H63" t="str">
            <v>03_04_mod_rai</v>
          </cell>
        </row>
        <row r="64">
          <cell r="H64" t="str">
            <v>03_05_mod_rai_poisson</v>
          </cell>
        </row>
        <row r="65">
          <cell r="H65" t="str">
            <v>03_06_mod_rai_zip</v>
          </cell>
        </row>
        <row r="66">
          <cell r="H66" t="str">
            <v>03_07_mod_rai_nb</v>
          </cell>
        </row>
        <row r="67">
          <cell r="H67" t="str">
            <v>03_08_mod_rai_zinb</v>
          </cell>
        </row>
        <row r="68">
          <cell r="H68" t="str">
            <v>03_09_mod_rai_hurdle</v>
          </cell>
        </row>
        <row r="69">
          <cell r="H69" t="str">
            <v>03_10_mod_cr_cmr</v>
          </cell>
        </row>
        <row r="70">
          <cell r="H70" t="str">
            <v>03_11_mod_scr_secr</v>
          </cell>
        </row>
        <row r="71">
          <cell r="H71" t="str">
            <v>03_13_mod_smr</v>
          </cell>
        </row>
        <row r="72">
          <cell r="H72" t="str">
            <v>03_14_mod_sc</v>
          </cell>
        </row>
        <row r="73">
          <cell r="H73" t="str">
            <v>03_15_mod_catspim</v>
          </cell>
        </row>
        <row r="74">
          <cell r="H74" t="str">
            <v>03_16_mod_2flankspim</v>
          </cell>
        </row>
        <row r="75">
          <cell r="H75" t="str">
            <v>03_17_mod_rem</v>
          </cell>
        </row>
        <row r="76">
          <cell r="H76" t="str">
            <v>03_18_mod_rest</v>
          </cell>
        </row>
        <row r="77">
          <cell r="H77" t="str">
            <v>03_19_mod_tifc</v>
          </cell>
        </row>
        <row r="78">
          <cell r="H78" t="str">
            <v>03_20_mod_ds</v>
          </cell>
        </row>
        <row r="79">
          <cell r="H79" t="str">
            <v>03_21_mod_tte</v>
          </cell>
        </row>
        <row r="80">
          <cell r="H80" t="str">
            <v>03_22_mod_ste</v>
          </cell>
        </row>
        <row r="81">
          <cell r="H81" t="str">
            <v>03_23_mod_is</v>
          </cell>
        </row>
        <row r="82">
          <cell r="H82" t="str">
            <v>03_24_mod_behaviour</v>
          </cell>
        </row>
        <row r="83">
          <cell r="H83" t="str">
            <v>08_references</v>
          </cell>
        </row>
        <row r="84">
          <cell r="H84" t="str">
            <v>09_glossary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2FE8C-7FFC-4B59-AB24-B59CE42B898C}" name="_02_dialog_boxes" displayName="_02_dialog_boxes" ref="B1:C40" totalsRowShown="0">
  <autoFilter ref="B1:C40" xr:uid="{24D2FE8C-7FFC-4B59-AB24-B59CE42B898C}"/>
  <tableColumns count="2">
    <tableColumn id="1" xr3:uid="{64C220BD-A0B0-45D8-8CBF-59B76C12A0CB}" name="Name" dataDxfId="2"/>
    <tableColumn id="6" xr3:uid="{7C8C9143-DE5A-4CBD-9668-033229996814}" name="Folder Path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FA9E-6FD5-46E9-8946-D2C6C8E9021C}">
  <dimension ref="A1:F74"/>
  <sheetViews>
    <sheetView tabSelected="1" workbookViewId="0">
      <selection activeCell="H42" sqref="H42"/>
    </sheetView>
  </sheetViews>
  <sheetFormatPr defaultRowHeight="14.25"/>
  <cols>
    <col min="3" max="3" width="67.625" customWidth="1"/>
    <col min="4" max="4" width="10.625" customWidth="1"/>
    <col min="5" max="5" width="29.75" customWidth="1"/>
  </cols>
  <sheetData>
    <row r="1" spans="1:6">
      <c r="A1">
        <v>22</v>
      </c>
      <c r="B1">
        <v>22</v>
      </c>
      <c r="C1">
        <v>2222</v>
      </c>
      <c r="E1" t="s">
        <v>177</v>
      </c>
      <c r="F1">
        <v>222</v>
      </c>
    </row>
    <row r="2" spans="1:6">
      <c r="A2">
        <v>35</v>
      </c>
      <c r="B2" t="s">
        <v>34</v>
      </c>
      <c r="C2" t="s">
        <v>34</v>
      </c>
      <c r="F2" t="e">
        <f>VLOOKUP(E2,_02_dialog_boxes[Name],1,FALSE)</f>
        <v>#N/A</v>
      </c>
    </row>
    <row r="3" spans="1:6">
      <c r="A3">
        <v>9</v>
      </c>
      <c r="B3" t="s">
        <v>8</v>
      </c>
      <c r="C3" t="s">
        <v>8</v>
      </c>
      <c r="F3" t="e">
        <f>VLOOKUP(E3,_02_dialog_boxes[Name],1,FALSE)</f>
        <v>#N/A</v>
      </c>
    </row>
    <row r="4" spans="1:6">
      <c r="A4">
        <v>28</v>
      </c>
      <c r="B4" t="s">
        <v>27</v>
      </c>
      <c r="C4" t="s">
        <v>27</v>
      </c>
      <c r="F4" t="e">
        <f>VLOOKUP(E4,_02_dialog_boxes[Name],1,FALSE)</f>
        <v>#N/A</v>
      </c>
    </row>
    <row r="5" spans="1:6">
      <c r="A5">
        <v>1</v>
      </c>
      <c r="B5" t="s">
        <v>0</v>
      </c>
      <c r="C5" t="s">
        <v>0</v>
      </c>
    </row>
    <row r="6" spans="1:6">
      <c r="A6">
        <v>41</v>
      </c>
      <c r="B6" t="s">
        <v>40</v>
      </c>
      <c r="C6" t="s">
        <v>40</v>
      </c>
      <c r="F6" t="e">
        <f>VLOOKUP(E6,_02_dialog_boxes[Name],1,FALSE)</f>
        <v>#N/A</v>
      </c>
    </row>
    <row r="7" spans="1:6">
      <c r="A7">
        <v>70</v>
      </c>
      <c r="B7" t="s">
        <v>69</v>
      </c>
      <c r="C7" t="s">
        <v>69</v>
      </c>
      <c r="F7" t="e">
        <f>VLOOKUP(E7,_02_dialog_boxes[Name],1,FALSE)</f>
        <v>#N/A</v>
      </c>
    </row>
    <row r="8" spans="1:6">
      <c r="A8">
        <v>4</v>
      </c>
      <c r="B8" t="s">
        <v>3</v>
      </c>
      <c r="C8" t="s">
        <v>3</v>
      </c>
      <c r="F8" t="e">
        <f>VLOOKUP(E8,_02_dialog_boxes[Name],1,FALSE)</f>
        <v>#N/A</v>
      </c>
    </row>
    <row r="9" spans="1:6">
      <c r="A9">
        <v>13</v>
      </c>
      <c r="B9" t="s">
        <v>12</v>
      </c>
      <c r="C9" t="s">
        <v>12</v>
      </c>
      <c r="F9" t="e">
        <f>VLOOKUP(E9,_02_dialog_boxes[Name],1,FALSE)</f>
        <v>#N/A</v>
      </c>
    </row>
    <row r="10" spans="1:6">
      <c r="A10">
        <v>69</v>
      </c>
      <c r="B10" t="s">
        <v>68</v>
      </c>
      <c r="C10" t="s">
        <v>68</v>
      </c>
      <c r="F10" t="e">
        <f>VLOOKUP(E10,_02_dialog_boxes[Name],1,FALSE)</f>
        <v>#N/A</v>
      </c>
    </row>
    <row r="11" spans="1:6">
      <c r="A11">
        <v>2</v>
      </c>
      <c r="B11" t="s">
        <v>1</v>
      </c>
      <c r="C11" t="s">
        <v>73</v>
      </c>
      <c r="E11" t="s">
        <v>138</v>
      </c>
      <c r="F11" t="str">
        <f>VLOOKUP(E11,[1]q_lu_info_pages!$H:$H,1,FALSE)</f>
        <v>01_02_objective</v>
      </c>
    </row>
    <row r="12" spans="1:6">
      <c r="A12">
        <v>3</v>
      </c>
      <c r="B12" t="s">
        <v>2</v>
      </c>
      <c r="C12" t="s">
        <v>74</v>
      </c>
      <c r="E12" t="s">
        <v>139</v>
      </c>
      <c r="F12" t="str">
        <f>VLOOKUP(E12,[1]q_lu_info_pages!$H:$H,1,FALSE)</f>
        <v>01_03_num_cams</v>
      </c>
    </row>
    <row r="13" spans="1:6">
      <c r="A13">
        <v>5</v>
      </c>
      <c r="B13" t="s">
        <v>4</v>
      </c>
      <c r="C13" t="s">
        <v>75</v>
      </c>
      <c r="E13" t="s">
        <v>154</v>
      </c>
      <c r="F13" t="str">
        <f>VLOOKUP(E13,[1]q_lu_info_pages!$H:$H,1,FALSE)</f>
        <v>02_01_design_study_area</v>
      </c>
    </row>
    <row r="14" spans="1:6">
      <c r="A14">
        <v>6</v>
      </c>
      <c r="B14" t="s">
        <v>5</v>
      </c>
      <c r="C14" t="s">
        <v>76</v>
      </c>
      <c r="E14" t="s">
        <v>178</v>
      </c>
      <c r="F14" t="str">
        <f>VLOOKUP(E14,[1]q_lu_info_pages!$H:$H,1,FALSE)</f>
        <v>01_05_cam_dens_gradient</v>
      </c>
    </row>
    <row r="15" spans="1:6">
      <c r="A15">
        <v>7</v>
      </c>
      <c r="B15" t="s">
        <v>6</v>
      </c>
      <c r="C15" t="s">
        <v>77</v>
      </c>
      <c r="E15" t="s">
        <v>140</v>
      </c>
      <c r="F15" t="str">
        <f>VLOOKUP(E15,[1]q_lu_info_pages!$H:$H,1,FALSE)</f>
        <v>01_06_cam_strat_covar</v>
      </c>
    </row>
    <row r="16" spans="1:6">
      <c r="A16">
        <v>8</v>
      </c>
      <c r="B16" t="s">
        <v>7</v>
      </c>
      <c r="C16" t="s">
        <v>78</v>
      </c>
      <c r="E16" t="s">
        <v>179</v>
      </c>
      <c r="F16" t="str">
        <f>VLOOKUP(E16,[1]q_lu_info_pages!$H:$H,1,FALSE)</f>
        <v>01_07_cam_high_dens</v>
      </c>
    </row>
    <row r="17" spans="1:6">
      <c r="A17">
        <v>10</v>
      </c>
      <c r="B17" t="s">
        <v>9</v>
      </c>
      <c r="C17" t="s">
        <v>79</v>
      </c>
      <c r="E17" t="s">
        <v>180</v>
      </c>
      <c r="F17" t="str">
        <f>VLOOKUP(E17,[1]q_lu_info_pages!$H:$H,1,FALSE)</f>
        <v>01_08_surv_dur</v>
      </c>
    </row>
    <row r="18" spans="1:6">
      <c r="A18">
        <v>11</v>
      </c>
      <c r="B18" t="s">
        <v>10</v>
      </c>
      <c r="C18" t="s">
        <v>80</v>
      </c>
      <c r="E18" t="s">
        <v>141</v>
      </c>
      <c r="F18" t="str">
        <f>VLOOKUP(E18,[1]q_lu_info_pages!$H:$H,1,FALSE)</f>
        <v>01_10_sp_asymptote</v>
      </c>
    </row>
    <row r="19" spans="1:6">
      <c r="A19">
        <v>12</v>
      </c>
      <c r="B19" t="s">
        <v>11</v>
      </c>
      <c r="C19" t="s">
        <v>81</v>
      </c>
      <c r="E19" t="s">
        <v>181</v>
      </c>
      <c r="F19" t="str">
        <f>VLOOKUP(E19,[1]q_lu_info_pages!$H:$H,1,FALSE)</f>
        <v>01_11_study_season_num</v>
      </c>
    </row>
    <row r="20" spans="1:6">
      <c r="A20">
        <v>14</v>
      </c>
      <c r="B20" t="s">
        <v>13</v>
      </c>
      <c r="C20" t="s">
        <v>82</v>
      </c>
      <c r="E20" t="s">
        <v>182</v>
      </c>
      <c r="F20" t="str">
        <f>VLOOKUP(E20,[1]q_lu_info_pages!$H:$H,1,FALSE)</f>
        <v>01_12_obj_targ_sp</v>
      </c>
    </row>
    <row r="21" spans="1:6">
      <c r="A21">
        <v>15</v>
      </c>
      <c r="B21" t="s">
        <v>14</v>
      </c>
      <c r="C21" t="s">
        <v>83</v>
      </c>
      <c r="E21" t="s">
        <v>142</v>
      </c>
      <c r="F21" t="str">
        <f>VLOOKUP(E21,[1]q_lu_info_pages!$H:$H,1,FALSE)</f>
        <v>01_13_sp_info</v>
      </c>
    </row>
    <row r="22" spans="1:6">
      <c r="A22">
        <v>16</v>
      </c>
      <c r="B22" t="s">
        <v>15</v>
      </c>
      <c r="C22" t="s">
        <v>84</v>
      </c>
      <c r="E22" t="s">
        <v>143</v>
      </c>
      <c r="F22" t="str">
        <f>VLOOKUP(E22,[1]q_lu_info_pages!$H:$H,1,FALSE)</f>
        <v>01_14_sp_type</v>
      </c>
    </row>
    <row r="23" spans="1:6">
      <c r="A23">
        <v>17</v>
      </c>
      <c r="B23" t="s">
        <v>16</v>
      </c>
      <c r="C23" t="s">
        <v>85</v>
      </c>
      <c r="E23" t="s">
        <v>144</v>
      </c>
      <c r="F23" t="str">
        <f>VLOOKUP(E23,[1]q_lu_info_pages!$H:$H,1,FALSE)</f>
        <v>01_15_sp_dens_low</v>
      </c>
    </row>
    <row r="24" spans="1:6">
      <c r="A24">
        <v>18</v>
      </c>
      <c r="B24" t="s">
        <v>17</v>
      </c>
      <c r="C24" t="s">
        <v>86</v>
      </c>
      <c r="E24" t="s">
        <v>183</v>
      </c>
      <c r="F24" t="str">
        <f>VLOOKUP(E24,[1]q_lu_info_pages!$H:$H,1,FALSE)</f>
        <v>01_16_sp_occ_restr</v>
      </c>
    </row>
    <row r="25" spans="1:6">
      <c r="A25">
        <v>19</v>
      </c>
      <c r="B25" t="s">
        <v>18</v>
      </c>
      <c r="C25" t="s">
        <v>87</v>
      </c>
      <c r="E25" t="s">
        <v>145</v>
      </c>
      <c r="F25" t="str">
        <f>VLOOKUP(E25,[1]q_lu_info_pages!$H:$H,1,FALSE)</f>
        <v>01_17_sp_hr_size</v>
      </c>
    </row>
    <row r="26" spans="1:6">
      <c r="A26">
        <v>20</v>
      </c>
      <c r="B26" t="s">
        <v>19</v>
      </c>
      <c r="C26" t="s">
        <v>88</v>
      </c>
      <c r="E26" t="s">
        <v>146</v>
      </c>
      <c r="F26" t="str">
        <f>VLOOKUP(E26,[1]q_lu_info_pages!$H:$H,1,FALSE)</f>
        <v>01_18_sp_size</v>
      </c>
    </row>
    <row r="27" spans="1:6">
      <c r="A27">
        <v>21</v>
      </c>
      <c r="B27" t="s">
        <v>20</v>
      </c>
      <c r="C27" t="s">
        <v>89</v>
      </c>
      <c r="E27" t="s">
        <v>147</v>
      </c>
      <c r="F27" t="str">
        <f>VLOOKUP(E27,[1]q_lu_info_pages!$H:$H,1,FALSE)</f>
        <v>01_19_sp_rarity</v>
      </c>
    </row>
    <row r="28" spans="1:6">
      <c r="A28">
        <v>22</v>
      </c>
      <c r="B28" t="s">
        <v>21</v>
      </c>
      <c r="C28" t="s">
        <v>90</v>
      </c>
      <c r="E28" t="s">
        <v>148</v>
      </c>
      <c r="F28" t="str">
        <f>VLOOKUP(E28,[1]q_lu_info_pages!$H:$H,1,FALSE)</f>
        <v>01_20_sp_detprob_cat</v>
      </c>
    </row>
    <row r="29" spans="1:6">
      <c r="A29">
        <v>23</v>
      </c>
      <c r="B29" t="s">
        <v>22</v>
      </c>
      <c r="C29" t="s">
        <v>91</v>
      </c>
      <c r="E29" t="s">
        <v>149</v>
      </c>
      <c r="F29" t="str">
        <f>VLOOKUP(E29,[1]q_lu_info_pages!$H:$H,1,FALSE)</f>
        <v>01_21_sp_behav</v>
      </c>
    </row>
    <row r="30" spans="1:6">
      <c r="A30">
        <v>24</v>
      </c>
      <c r="B30" t="s">
        <v>23</v>
      </c>
      <c r="C30" t="s">
        <v>92</v>
      </c>
      <c r="E30" t="s">
        <v>184</v>
      </c>
      <c r="F30" t="str">
        <f>VLOOKUP(E30,[1]q_lu_info_pages!$H:$H,1,FALSE)</f>
        <v>01_23_markings</v>
      </c>
    </row>
    <row r="31" spans="1:6">
      <c r="A31">
        <v>25</v>
      </c>
      <c r="B31" t="s">
        <v>24</v>
      </c>
      <c r="C31" t="s">
        <v>93</v>
      </c>
      <c r="E31" t="s">
        <v>185</v>
      </c>
      <c r="F31" t="str">
        <f>VLOOKUP(E31,[1]q_lu_info_pages!$H:$H,1,FALSE)</f>
        <v>01_26_auxillary_info_count</v>
      </c>
    </row>
    <row r="32" spans="1:6">
      <c r="A32">
        <v>26</v>
      </c>
      <c r="B32" t="s">
        <v>25</v>
      </c>
      <c r="C32" t="s">
        <v>94</v>
      </c>
      <c r="E32" t="s">
        <v>186</v>
      </c>
      <c r="F32" t="str">
        <f>VLOOKUP(E32,[1]q_lu_info_pages!$H:$H,1,FALSE)</f>
        <v>01_28_focalarea_calc</v>
      </c>
    </row>
    <row r="33" spans="1:6">
      <c r="A33">
        <v>27</v>
      </c>
      <c r="B33" t="s">
        <v>26</v>
      </c>
      <c r="C33" t="s">
        <v>95</v>
      </c>
      <c r="E33" t="s">
        <v>187</v>
      </c>
      <c r="F33" t="str">
        <f>VLOOKUP(E33,[1]q_lu_info_pages!$H:$H,1,FALSE)</f>
        <v>01_30_sp_common_pop_lg</v>
      </c>
    </row>
    <row r="34" spans="1:6">
      <c r="A34">
        <v>29</v>
      </c>
      <c r="B34" t="s">
        <v>28</v>
      </c>
      <c r="C34" t="s">
        <v>96</v>
      </c>
      <c r="E34" t="s">
        <v>150</v>
      </c>
      <c r="F34" t="str">
        <f>VLOOKUP(E34,[1]q_lu_info_pages!$H:$H,1,FALSE)</f>
        <v>01_39_cam_equipment</v>
      </c>
    </row>
    <row r="35" spans="1:6">
      <c r="A35">
        <v>30</v>
      </c>
      <c r="B35" t="s">
        <v>29</v>
      </c>
      <c r="C35" t="s">
        <v>97</v>
      </c>
      <c r="E35" t="s">
        <v>151</v>
      </c>
      <c r="F35" t="str">
        <f>VLOOKUP(E35,[1]q_lu_info_pages!$H:$H,1,FALSE)</f>
        <v>01_40_cam_settings</v>
      </c>
    </row>
    <row r="36" spans="1:6">
      <c r="A36">
        <v>31</v>
      </c>
      <c r="B36" t="s">
        <v>30</v>
      </c>
      <c r="C36" t="s">
        <v>98</v>
      </c>
      <c r="E36" t="s">
        <v>188</v>
      </c>
      <c r="F36" t="str">
        <f>VLOOKUP(E36,[1]q_lu_info_pages!$H:$H,1,FALSE)</f>
        <v>01_41_cam_placement</v>
      </c>
    </row>
    <row r="37" spans="1:6">
      <c r="A37">
        <v>32</v>
      </c>
      <c r="B37" t="s">
        <v>31</v>
      </c>
      <c r="C37" t="s">
        <v>99</v>
      </c>
      <c r="E37" t="s">
        <v>189</v>
      </c>
      <c r="F37" t="str">
        <f>VLOOKUP(E37,[1]q_lu_info_pages!$H:$H,1,FALSE)</f>
        <v>01_42_cam_direction_ds</v>
      </c>
    </row>
    <row r="38" spans="1:6">
      <c r="A38">
        <v>33</v>
      </c>
      <c r="B38" t="s">
        <v>32</v>
      </c>
      <c r="C38" t="s">
        <v>100</v>
      </c>
      <c r="E38" t="s">
        <v>152</v>
      </c>
      <c r="F38" t="str">
        <f>VLOOKUP(E38,[1]q_lu_info_pages!$H:$H,1,FALSE)</f>
        <v>01_43_bait_lure</v>
      </c>
    </row>
    <row r="39" spans="1:6">
      <c r="A39">
        <v>34</v>
      </c>
      <c r="B39" t="s">
        <v>33</v>
      </c>
      <c r="C39" t="s">
        <v>101</v>
      </c>
      <c r="E39" t="s">
        <v>190</v>
      </c>
      <c r="F39" t="str">
        <f>VLOOKUP(E39,[1]q_lu_info_pages!$H:$H,1,FALSE)</f>
        <v>01_45_targ_feature</v>
      </c>
    </row>
    <row r="40" spans="1:6">
      <c r="A40">
        <v>36</v>
      </c>
      <c r="B40" t="s">
        <v>35</v>
      </c>
      <c r="C40" t="s">
        <v>102</v>
      </c>
      <c r="E40" t="s">
        <v>153</v>
      </c>
      <c r="F40" t="str">
        <f>VLOOKUP(E40,[1]q_lu_info_pages!$H:$H,1,FALSE)</f>
        <v>01_47_cam_independent</v>
      </c>
    </row>
    <row r="41" spans="1:6">
      <c r="A41">
        <v>37</v>
      </c>
      <c r="B41" t="s">
        <v>36</v>
      </c>
      <c r="C41" t="s">
        <v>103</v>
      </c>
      <c r="E41" t="s">
        <v>191</v>
      </c>
      <c r="F41" t="str">
        <f>VLOOKUP(E41,[1]q_lu_info_pages!$H:$H,1,FALSE)</f>
        <v>01_48_multisamp_per_loc</v>
      </c>
    </row>
    <row r="42" spans="1:6">
      <c r="A42">
        <v>38</v>
      </c>
      <c r="B42" t="s">
        <v>37</v>
      </c>
      <c r="C42" t="s">
        <v>104</v>
      </c>
      <c r="E42" t="s">
        <v>192</v>
      </c>
      <c r="F42" t="str">
        <f>VLOOKUP(E42,[1]q_lu_info_pages!$H:$H,1,FALSE)</f>
        <v>01_49_modmixed</v>
      </c>
    </row>
    <row r="43" spans="1:6">
      <c r="A43">
        <v>39</v>
      </c>
      <c r="B43" t="s">
        <v>38</v>
      </c>
      <c r="C43" t="s">
        <v>105</v>
      </c>
      <c r="E43" t="s">
        <v>193</v>
      </c>
      <c r="F43" t="str">
        <f>VLOOKUP(E43,[1]q_lu_info_pages!$H:$H,1,FALSE)</f>
        <v>01_50_num_det_individ_recaptures</v>
      </c>
    </row>
    <row r="44" spans="1:6">
      <c r="A44">
        <v>40</v>
      </c>
      <c r="B44" t="s">
        <v>39</v>
      </c>
      <c r="C44" t="s">
        <v>106</v>
      </c>
      <c r="E44" t="s">
        <v>194</v>
      </c>
      <c r="F44" t="str">
        <f>VLOOKUP(E44,[1]q_lu_info_pages!$H:$H,1,FALSE)</f>
        <v>01_53_overdispersion_zeroinflation</v>
      </c>
    </row>
    <row r="45" spans="1:6">
      <c r="A45">
        <v>43</v>
      </c>
      <c r="B45" t="s">
        <v>42</v>
      </c>
      <c r="C45" t="s">
        <v>107</v>
      </c>
      <c r="E45" t="s">
        <v>154</v>
      </c>
      <c r="F45" t="str">
        <f>VLOOKUP(E45,[1]q_lu_info_pages!$H:$H,1,FALSE)</f>
        <v>02_01_design_study_area</v>
      </c>
    </row>
    <row r="46" spans="1:6">
      <c r="A46">
        <v>44</v>
      </c>
      <c r="B46" t="s">
        <v>43</v>
      </c>
      <c r="C46" t="s">
        <v>108</v>
      </c>
      <c r="E46" t="s">
        <v>155</v>
      </c>
      <c r="F46" t="str">
        <f>VLOOKUP(E46,[1]q_lu_info_pages!$H:$H,1,FALSE)</f>
        <v>02_02_00_design_cam_arrange</v>
      </c>
    </row>
    <row r="47" spans="1:6">
      <c r="A47">
        <v>45</v>
      </c>
      <c r="B47" t="s">
        <v>44</v>
      </c>
      <c r="C47" t="s">
        <v>109</v>
      </c>
      <c r="E47" t="s">
        <v>195</v>
      </c>
      <c r="F47" t="str">
        <f>VLOOKUP(E47,[1]q_lu_info_pages!$H:$H,1,FALSE)</f>
        <v>02_03_design_cam_spacing</v>
      </c>
    </row>
    <row r="48" spans="1:6">
      <c r="A48">
        <v>46</v>
      </c>
      <c r="B48" t="s">
        <v>45</v>
      </c>
      <c r="C48" t="s">
        <v>110</v>
      </c>
      <c r="E48" t="s">
        <v>196</v>
      </c>
      <c r="F48" t="str">
        <f>VLOOKUP(E48,[1]q_lu_info_pages!$H:$H,1,FALSE)</f>
        <v>02_04_design_num_cams</v>
      </c>
    </row>
    <row r="49" spans="1:6">
      <c r="A49">
        <v>47</v>
      </c>
      <c r="B49" t="s">
        <v>46</v>
      </c>
      <c r="C49" t="s">
        <v>111</v>
      </c>
      <c r="E49" t="s">
        <v>197</v>
      </c>
      <c r="F49" t="str">
        <f>VLOOKUP(E49,[1]q_lu_info_pages!$H:$H,1,FALSE)</f>
        <v>02_05_design_camdays_per_loc</v>
      </c>
    </row>
    <row r="50" spans="1:6">
      <c r="A50">
        <v>48</v>
      </c>
      <c r="B50" t="s">
        <v>47</v>
      </c>
      <c r="C50" t="s">
        <v>112</v>
      </c>
      <c r="E50" t="s">
        <v>198</v>
      </c>
      <c r="F50" t="str">
        <f>VLOOKUP(E50,[1]q_lu_info_pages!$H:$H,1,FALSE)</f>
        <v>02_06_design_cam_days_ttl</v>
      </c>
    </row>
    <row r="51" spans="1:6">
      <c r="A51">
        <v>49</v>
      </c>
      <c r="B51" t="s">
        <v>48</v>
      </c>
      <c r="C51" t="s">
        <v>113</v>
      </c>
      <c r="E51" t="s">
        <v>199</v>
      </c>
      <c r="F51" t="str">
        <f>VLOOKUP(E51,[1]q_lu_info_pages!$H:$H,1,FALSE)</f>
        <v>02_07_design_survey_duration</v>
      </c>
    </row>
    <row r="52" spans="1:6">
      <c r="A52">
        <v>51</v>
      </c>
      <c r="B52" t="s">
        <v>50</v>
      </c>
      <c r="C52" t="s">
        <v>114</v>
      </c>
      <c r="E52" t="s">
        <v>156</v>
      </c>
      <c r="F52" t="str">
        <f>VLOOKUP(E52,[1]q_lu_info_pages!$H:$H,1,FALSE)</f>
        <v>03_01_mod_inventory</v>
      </c>
    </row>
    <row r="53" spans="1:6">
      <c r="A53">
        <v>52</v>
      </c>
      <c r="B53" t="s">
        <v>51</v>
      </c>
      <c r="C53" t="s">
        <v>115</v>
      </c>
      <c r="E53" t="s">
        <v>157</v>
      </c>
      <c r="F53" t="str">
        <f>VLOOKUP(E53,[1]q_lu_info_pages!$H:$H,1,FALSE)</f>
        <v>03_02_mod_divers_rich</v>
      </c>
    </row>
    <row r="54" spans="1:6">
      <c r="A54">
        <v>53</v>
      </c>
      <c r="B54" t="s">
        <v>52</v>
      </c>
      <c r="C54" t="s">
        <v>116</v>
      </c>
      <c r="E54" t="s">
        <v>158</v>
      </c>
      <c r="F54" t="str">
        <f>VLOOKUP(E54,[1]q_lu_info_pages!$H:$H,1,FALSE)</f>
        <v>03_03_mod_occupancy</v>
      </c>
    </row>
    <row r="55" spans="1:6">
      <c r="A55">
        <v>54</v>
      </c>
      <c r="B55" t="s">
        <v>53</v>
      </c>
      <c r="C55" t="s">
        <v>117</v>
      </c>
      <c r="E55" t="s">
        <v>159</v>
      </c>
      <c r="F55" t="str">
        <f>VLOOKUP(E55,[1]q_lu_info_pages!$H:$H,1,FALSE)</f>
        <v>03_04_mod_rai</v>
      </c>
    </row>
    <row r="56" spans="1:6">
      <c r="A56">
        <v>55</v>
      </c>
      <c r="B56" t="s">
        <v>54</v>
      </c>
      <c r="C56" t="s">
        <v>118</v>
      </c>
      <c r="E56" t="s">
        <v>160</v>
      </c>
      <c r="F56" t="str">
        <f>VLOOKUP(E56,[1]q_lu_info_pages!$H:$H,1,FALSE)</f>
        <v>03_10_mod_cr_cmr</v>
      </c>
    </row>
    <row r="57" spans="1:6">
      <c r="A57">
        <v>56</v>
      </c>
      <c r="B57" t="s">
        <v>55</v>
      </c>
      <c r="C57" t="s">
        <v>119</v>
      </c>
      <c r="E57" t="s">
        <v>161</v>
      </c>
      <c r="F57" t="str">
        <f>VLOOKUP(E57,[1]q_lu_info_pages!$H:$H,1,FALSE)</f>
        <v>03_11_mod_scr_secr</v>
      </c>
    </row>
    <row r="58" spans="1:6">
      <c r="A58">
        <v>57</v>
      </c>
      <c r="B58" t="s">
        <v>56</v>
      </c>
      <c r="C58" t="s">
        <v>120</v>
      </c>
      <c r="E58" t="s">
        <v>162</v>
      </c>
      <c r="F58" t="str">
        <f>VLOOKUP(E58,[1]q_lu_info_pages!$H:$H,1,FALSE)</f>
        <v>03_13_mod_smr</v>
      </c>
    </row>
    <row r="59" spans="1:6">
      <c r="A59">
        <v>58</v>
      </c>
      <c r="B59" t="s">
        <v>57</v>
      </c>
      <c r="C59" t="s">
        <v>121</v>
      </c>
      <c r="E59" t="s">
        <v>163</v>
      </c>
      <c r="F59" t="str">
        <f>VLOOKUP(E59,[1]q_lu_info_pages!$H:$H,1,FALSE)</f>
        <v>03_14_mod_sc</v>
      </c>
    </row>
    <row r="60" spans="1:6">
      <c r="A60">
        <v>59</v>
      </c>
      <c r="B60" t="s">
        <v>58</v>
      </c>
      <c r="C60" t="s">
        <v>122</v>
      </c>
      <c r="E60" t="s">
        <v>164</v>
      </c>
      <c r="F60" t="str">
        <f>VLOOKUP(E60,[1]q_lu_info_pages!$H:$H,1,FALSE)</f>
        <v>03_15_mod_catspim</v>
      </c>
    </row>
    <row r="61" spans="1:6">
      <c r="A61">
        <v>60</v>
      </c>
      <c r="B61" t="s">
        <v>59</v>
      </c>
      <c r="C61" t="s">
        <v>123</v>
      </c>
      <c r="E61" t="s">
        <v>165</v>
      </c>
      <c r="F61" t="str">
        <f>VLOOKUP(E61,[1]q_lu_info_pages!$H:$H,1,FALSE)</f>
        <v>03_16_mod_2flankspim</v>
      </c>
    </row>
    <row r="62" spans="1:6">
      <c r="A62">
        <v>61</v>
      </c>
      <c r="B62" t="s">
        <v>60</v>
      </c>
      <c r="C62" t="s">
        <v>124</v>
      </c>
      <c r="E62" t="s">
        <v>166</v>
      </c>
      <c r="F62" t="str">
        <f>VLOOKUP(E62,[1]q_lu_info_pages!$H:$H,1,FALSE)</f>
        <v>03_17_mod_rem</v>
      </c>
    </row>
    <row r="63" spans="1:6">
      <c r="A63">
        <v>62</v>
      </c>
      <c r="B63" t="s">
        <v>61</v>
      </c>
      <c r="C63" t="s">
        <v>125</v>
      </c>
      <c r="E63" t="s">
        <v>167</v>
      </c>
      <c r="F63" t="str">
        <f>VLOOKUP(E63,[1]q_lu_info_pages!$H:$H,1,FALSE)</f>
        <v>03_18_mod_rest</v>
      </c>
    </row>
    <row r="64" spans="1:6">
      <c r="A64">
        <v>63</v>
      </c>
      <c r="B64" t="s">
        <v>62</v>
      </c>
      <c r="C64" t="s">
        <v>126</v>
      </c>
      <c r="E64" t="s">
        <v>168</v>
      </c>
      <c r="F64" t="str">
        <f>VLOOKUP(E64,[1]q_lu_info_pages!$H:$H,1,FALSE)</f>
        <v>03_19_mod_tifc</v>
      </c>
    </row>
    <row r="65" spans="1:6">
      <c r="A65">
        <v>64</v>
      </c>
      <c r="B65" t="s">
        <v>63</v>
      </c>
      <c r="C65" t="s">
        <v>127</v>
      </c>
      <c r="E65" t="s">
        <v>169</v>
      </c>
      <c r="F65" t="str">
        <f>VLOOKUP(E65,[1]q_lu_info_pages!$H:$H,1,FALSE)</f>
        <v>03_20_mod_ds</v>
      </c>
    </row>
    <row r="66" spans="1:6">
      <c r="A66">
        <v>65</v>
      </c>
      <c r="B66" t="s">
        <v>64</v>
      </c>
      <c r="C66" t="s">
        <v>128</v>
      </c>
      <c r="E66" t="s">
        <v>170</v>
      </c>
      <c r="F66" t="str">
        <f>VLOOKUP(E66,[1]q_lu_info_pages!$H:$H,1,FALSE)</f>
        <v>03_21_mod_tte</v>
      </c>
    </row>
    <row r="67" spans="1:6">
      <c r="A67">
        <v>66</v>
      </c>
      <c r="B67" t="s">
        <v>65</v>
      </c>
      <c r="C67" t="s">
        <v>129</v>
      </c>
      <c r="E67" t="s">
        <v>171</v>
      </c>
      <c r="F67" t="str">
        <f>VLOOKUP(E67,[1]q_lu_info_pages!$H:$H,1,FALSE)</f>
        <v>03_22_mod_ste</v>
      </c>
    </row>
    <row r="68" spans="1:6">
      <c r="A68">
        <v>67</v>
      </c>
      <c r="B68" t="s">
        <v>66</v>
      </c>
      <c r="C68" t="s">
        <v>130</v>
      </c>
      <c r="E68" t="s">
        <v>172</v>
      </c>
      <c r="F68" t="str">
        <f>VLOOKUP(E68,[1]q_lu_info_pages!$H:$H,1,FALSE)</f>
        <v>03_23_mod_is</v>
      </c>
    </row>
    <row r="69" spans="1:6">
      <c r="A69">
        <v>68</v>
      </c>
      <c r="B69" t="s">
        <v>67</v>
      </c>
      <c r="C69" t="s">
        <v>131</v>
      </c>
      <c r="E69" t="s">
        <v>173</v>
      </c>
      <c r="F69" t="str">
        <f>VLOOKUP(E69,[1]q_lu_info_pages!$H:$H,1,FALSE)</f>
        <v>03_24_mod_behaviour</v>
      </c>
    </row>
    <row r="70" spans="1:6">
      <c r="A70">
        <v>71</v>
      </c>
      <c r="B70" t="s">
        <v>70</v>
      </c>
      <c r="C70" t="s">
        <v>132</v>
      </c>
      <c r="E70" t="s">
        <v>174</v>
      </c>
      <c r="F70" t="str">
        <f>VLOOKUP(E70,[1]q_lu_info_pages!$H:$H,1,FALSE)</f>
        <v>08_references</v>
      </c>
    </row>
    <row r="71" spans="1:6">
      <c r="A71">
        <v>72</v>
      </c>
      <c r="B71" t="s">
        <v>71</v>
      </c>
      <c r="C71" t="s">
        <v>133</v>
      </c>
      <c r="E71" t="s">
        <v>175</v>
      </c>
      <c r="F71" t="str">
        <f>VLOOKUP(E71,[1]q_lu_info_pages!$H:$H,1,FALSE)</f>
        <v>09_glossary</v>
      </c>
    </row>
    <row r="72" spans="1:6">
      <c r="A72">
        <v>73</v>
      </c>
      <c r="B72" t="s">
        <v>72</v>
      </c>
      <c r="C72" t="s">
        <v>134</v>
      </c>
      <c r="E72" t="s">
        <v>176</v>
      </c>
      <c r="F72" t="e">
        <f>VLOOKUP(E72,[1]q_lu_info_pages!$H:$H,1,FALSE)</f>
        <v>#N/A</v>
      </c>
    </row>
    <row r="73" spans="1:6">
      <c r="A73">
        <v>50</v>
      </c>
      <c r="B73" t="s">
        <v>49</v>
      </c>
      <c r="C73" t="s">
        <v>49</v>
      </c>
      <c r="F73" t="e">
        <f>VLOOKUP(E73,_02_dialog_boxes[Name],1,FALSE)</f>
        <v>#N/A</v>
      </c>
    </row>
    <row r="74" spans="1:6">
      <c r="A74">
        <v>42</v>
      </c>
      <c r="B74" t="s">
        <v>41</v>
      </c>
      <c r="C74" t="s">
        <v>41</v>
      </c>
      <c r="F74" t="e">
        <f>VLOOKUP(E74,_02_dialog_boxes[Name],1,FALSE)</f>
        <v>#N/A</v>
      </c>
    </row>
  </sheetData>
  <autoFilter ref="A1:F74" xr:uid="{1492FA9E-6FD5-46E9-8946-D2C6C8E9021C}">
    <sortState xmlns:xlrd2="http://schemas.microsoft.com/office/spreadsheetml/2017/richdata2" ref="A11:F72">
      <sortCondition ref="E1:E74"/>
    </sortState>
  </autoFilter>
  <conditionalFormatting sqref="E2:E1048576">
    <cfRule type="containsText" dxfId="0" priority="1" operator="containsText" text=".html">
      <formula>NOT(ISERROR(SEARCH(".html",E2)))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7512-2855-47F6-83D8-1F402F84F967}">
  <dimension ref="A1:C40"/>
  <sheetViews>
    <sheetView workbookViewId="0">
      <selection activeCell="A15" sqref="A15"/>
    </sheetView>
  </sheetViews>
  <sheetFormatPr defaultRowHeight="14.25"/>
  <cols>
    <col min="1" max="1" width="32.75" customWidth="1"/>
    <col min="2" max="2" width="40.375" bestFit="1" customWidth="1"/>
    <col min="3" max="3" width="81" bestFit="1" customWidth="1"/>
  </cols>
  <sheetData>
    <row r="1" spans="1:3">
      <c r="B1" t="s">
        <v>135</v>
      </c>
      <c r="C1" t="s">
        <v>136</v>
      </c>
    </row>
    <row r="2" spans="1:3">
      <c r="A2" t="str">
        <f>VLOOKUP(_02_dialog_boxes[[#This Row],[Name]],Sheet1!E:E,1,FALSE)</f>
        <v>01_02_objective</v>
      </c>
      <c r="B2" t="s">
        <v>138</v>
      </c>
      <c r="C2" t="s">
        <v>137</v>
      </c>
    </row>
    <row r="3" spans="1:3">
      <c r="A3" t="str">
        <f>VLOOKUP(_02_dialog_boxes[[#This Row],[Name]],Sheet1!E:E,1,FALSE)</f>
        <v>01_03_num_cams</v>
      </c>
      <c r="B3" t="s">
        <v>139</v>
      </c>
      <c r="C3" t="s">
        <v>137</v>
      </c>
    </row>
    <row r="4" spans="1:3">
      <c r="A4" t="str">
        <f>VLOOKUP(_02_dialog_boxes[[#This Row],[Name]],Sheet1!E:E,1,FALSE)</f>
        <v>01_06_cam_strat_covar</v>
      </c>
      <c r="B4" t="s">
        <v>140</v>
      </c>
      <c r="C4" t="s">
        <v>137</v>
      </c>
    </row>
    <row r="5" spans="1:3">
      <c r="A5" t="str">
        <f>VLOOKUP(_02_dialog_boxes[[#This Row],[Name]],Sheet1!E:E,1,FALSE)</f>
        <v>01_10_sp_asymptote</v>
      </c>
      <c r="B5" t="s">
        <v>141</v>
      </c>
      <c r="C5" t="s">
        <v>137</v>
      </c>
    </row>
    <row r="6" spans="1:3">
      <c r="A6" t="str">
        <f>VLOOKUP(_02_dialog_boxes[[#This Row],[Name]],Sheet1!E:E,1,FALSE)</f>
        <v>01_13_sp_info</v>
      </c>
      <c r="B6" t="s">
        <v>142</v>
      </c>
      <c r="C6" t="s">
        <v>137</v>
      </c>
    </row>
    <row r="7" spans="1:3">
      <c r="A7" t="str">
        <f>VLOOKUP(_02_dialog_boxes[[#This Row],[Name]],Sheet1!E:E,1,FALSE)</f>
        <v>01_14_sp_type</v>
      </c>
      <c r="B7" t="s">
        <v>143</v>
      </c>
      <c r="C7" t="s">
        <v>137</v>
      </c>
    </row>
    <row r="8" spans="1:3">
      <c r="A8" t="str">
        <f>VLOOKUP(_02_dialog_boxes[[#This Row],[Name]],Sheet1!E:E,1,FALSE)</f>
        <v>01_15_sp_dens_low</v>
      </c>
      <c r="B8" t="s">
        <v>144</v>
      </c>
      <c r="C8" t="s">
        <v>137</v>
      </c>
    </row>
    <row r="9" spans="1:3">
      <c r="A9" t="str">
        <f>VLOOKUP(_02_dialog_boxes[[#This Row],[Name]],Sheet1!E:E,1,FALSE)</f>
        <v>01_17_sp_hr_size</v>
      </c>
      <c r="B9" t="s">
        <v>145</v>
      </c>
      <c r="C9" t="s">
        <v>137</v>
      </c>
    </row>
    <row r="10" spans="1:3">
      <c r="A10" t="str">
        <f>VLOOKUP(_02_dialog_boxes[[#This Row],[Name]],Sheet1!E:E,1,FALSE)</f>
        <v>01_18_sp_size</v>
      </c>
      <c r="B10" t="s">
        <v>146</v>
      </c>
      <c r="C10" t="s">
        <v>137</v>
      </c>
    </row>
    <row r="11" spans="1:3">
      <c r="A11" t="str">
        <f>VLOOKUP(_02_dialog_boxes[[#This Row],[Name]],Sheet1!E:E,1,FALSE)</f>
        <v>01_19_sp_rarity</v>
      </c>
      <c r="B11" t="s">
        <v>147</v>
      </c>
      <c r="C11" t="s">
        <v>137</v>
      </c>
    </row>
    <row r="12" spans="1:3">
      <c r="A12" t="str">
        <f>VLOOKUP(_02_dialog_boxes[[#This Row],[Name]],Sheet1!E:E,1,FALSE)</f>
        <v>01_20_sp_detprob_cat</v>
      </c>
      <c r="B12" t="s">
        <v>148</v>
      </c>
      <c r="C12" t="s">
        <v>137</v>
      </c>
    </row>
    <row r="13" spans="1:3">
      <c r="A13" t="str">
        <f>VLOOKUP(_02_dialog_boxes[[#This Row],[Name]],Sheet1!E:E,1,FALSE)</f>
        <v>01_21_sp_behav</v>
      </c>
      <c r="B13" t="s">
        <v>149</v>
      </c>
      <c r="C13" t="s">
        <v>137</v>
      </c>
    </row>
    <row r="14" spans="1:3">
      <c r="A14" t="str">
        <f>VLOOKUP(_02_dialog_boxes[[#This Row],[Name]],Sheet1!E:E,1,FALSE)</f>
        <v>01_39_cam_equipment</v>
      </c>
      <c r="B14" t="s">
        <v>150</v>
      </c>
      <c r="C14" t="s">
        <v>137</v>
      </c>
    </row>
    <row r="15" spans="1:3">
      <c r="A15" t="str">
        <f>VLOOKUP(_02_dialog_boxes[[#This Row],[Name]],Sheet1!E:E,1,FALSE)</f>
        <v>01_40_cam_settings</v>
      </c>
      <c r="B15" t="s">
        <v>151</v>
      </c>
      <c r="C15" t="s">
        <v>137</v>
      </c>
    </row>
    <row r="16" spans="1:3">
      <c r="A16" t="str">
        <f>VLOOKUP(_02_dialog_boxes[[#This Row],[Name]],Sheet1!E:E,1,FALSE)</f>
        <v>01_43_bait_lure</v>
      </c>
      <c r="B16" t="s">
        <v>152</v>
      </c>
      <c r="C16" t="s">
        <v>137</v>
      </c>
    </row>
    <row r="17" spans="1:3">
      <c r="A17" t="str">
        <f>VLOOKUP(_02_dialog_boxes[[#This Row],[Name]],Sheet1!E:E,1,FALSE)</f>
        <v>01_47_cam_independent</v>
      </c>
      <c r="B17" t="s">
        <v>153</v>
      </c>
      <c r="C17" t="s">
        <v>137</v>
      </c>
    </row>
    <row r="18" spans="1:3">
      <c r="A18" t="str">
        <f>VLOOKUP(_02_dialog_boxes[[#This Row],[Name]],Sheet1!E:E,1,FALSE)</f>
        <v>02_01_design_study_area</v>
      </c>
      <c r="B18" t="s">
        <v>154</v>
      </c>
      <c r="C18" t="s">
        <v>137</v>
      </c>
    </row>
    <row r="19" spans="1:3">
      <c r="A19" t="str">
        <f>VLOOKUP(_02_dialog_boxes[[#This Row],[Name]],Sheet1!E:E,1,FALSE)</f>
        <v>02_02_00_design_cam_arrange</v>
      </c>
      <c r="B19" t="s">
        <v>155</v>
      </c>
      <c r="C19" t="s">
        <v>137</v>
      </c>
    </row>
    <row r="20" spans="1:3">
      <c r="A20" t="str">
        <f>VLOOKUP(_02_dialog_boxes[[#This Row],[Name]],Sheet1!E:E,1,FALSE)</f>
        <v>03_01_mod_inventory</v>
      </c>
      <c r="B20" t="s">
        <v>156</v>
      </c>
      <c r="C20" t="s">
        <v>137</v>
      </c>
    </row>
    <row r="21" spans="1:3">
      <c r="A21" t="str">
        <f>VLOOKUP(_02_dialog_boxes[[#This Row],[Name]],Sheet1!E:E,1,FALSE)</f>
        <v>03_02_mod_divers_rich</v>
      </c>
      <c r="B21" t="s">
        <v>157</v>
      </c>
      <c r="C21" t="s">
        <v>137</v>
      </c>
    </row>
    <row r="22" spans="1:3">
      <c r="A22" t="str">
        <f>VLOOKUP(_02_dialog_boxes[[#This Row],[Name]],Sheet1!E:E,1,FALSE)</f>
        <v>03_03_mod_occupancy</v>
      </c>
      <c r="B22" t="s">
        <v>158</v>
      </c>
      <c r="C22" t="s">
        <v>137</v>
      </c>
    </row>
    <row r="23" spans="1:3">
      <c r="A23" t="str">
        <f>VLOOKUP(_02_dialog_boxes[[#This Row],[Name]],Sheet1!E:E,1,FALSE)</f>
        <v>03_04_mod_rai</v>
      </c>
      <c r="B23" t="s">
        <v>159</v>
      </c>
      <c r="C23" t="s">
        <v>137</v>
      </c>
    </row>
    <row r="24" spans="1:3">
      <c r="A24" t="str">
        <f>VLOOKUP(_02_dialog_boxes[[#This Row],[Name]],Sheet1!E:E,1,FALSE)</f>
        <v>03_10_mod_cr_cmr</v>
      </c>
      <c r="B24" t="s">
        <v>160</v>
      </c>
      <c r="C24" t="s">
        <v>137</v>
      </c>
    </row>
    <row r="25" spans="1:3">
      <c r="A25" t="str">
        <f>VLOOKUP(_02_dialog_boxes[[#This Row],[Name]],Sheet1!E:E,1,FALSE)</f>
        <v>03_11_mod_scr_secr</v>
      </c>
      <c r="B25" t="s">
        <v>161</v>
      </c>
      <c r="C25" t="s">
        <v>137</v>
      </c>
    </row>
    <row r="26" spans="1:3">
      <c r="A26" t="str">
        <f>VLOOKUP(_02_dialog_boxes[[#This Row],[Name]],Sheet1!E:E,1,FALSE)</f>
        <v>03_13_mod_smr</v>
      </c>
      <c r="B26" t="s">
        <v>162</v>
      </c>
      <c r="C26" t="s">
        <v>137</v>
      </c>
    </row>
    <row r="27" spans="1:3">
      <c r="A27" t="str">
        <f>VLOOKUP(_02_dialog_boxes[[#This Row],[Name]],Sheet1!E:E,1,FALSE)</f>
        <v>03_14_mod_sc</v>
      </c>
      <c r="B27" t="s">
        <v>163</v>
      </c>
      <c r="C27" t="s">
        <v>137</v>
      </c>
    </row>
    <row r="28" spans="1:3">
      <c r="A28" t="str">
        <f>VLOOKUP(_02_dialog_boxes[[#This Row],[Name]],Sheet1!E:E,1,FALSE)</f>
        <v>03_15_mod_catspim</v>
      </c>
      <c r="B28" t="s">
        <v>164</v>
      </c>
      <c r="C28" t="s">
        <v>137</v>
      </c>
    </row>
    <row r="29" spans="1:3">
      <c r="A29" t="str">
        <f>VLOOKUP(_02_dialog_boxes[[#This Row],[Name]],Sheet1!E:E,1,FALSE)</f>
        <v>03_16_mod_2flankspim</v>
      </c>
      <c r="B29" t="s">
        <v>165</v>
      </c>
      <c r="C29" t="s">
        <v>137</v>
      </c>
    </row>
    <row r="30" spans="1:3">
      <c r="A30" t="str">
        <f>VLOOKUP(_02_dialog_boxes[[#This Row],[Name]],Sheet1!E:E,1,FALSE)</f>
        <v>03_17_mod_rem</v>
      </c>
      <c r="B30" t="s">
        <v>166</v>
      </c>
      <c r="C30" t="s">
        <v>137</v>
      </c>
    </row>
    <row r="31" spans="1:3">
      <c r="A31" t="str">
        <f>VLOOKUP(_02_dialog_boxes[[#This Row],[Name]],Sheet1!E:E,1,FALSE)</f>
        <v>03_18_mod_rest</v>
      </c>
      <c r="B31" t="s">
        <v>167</v>
      </c>
      <c r="C31" t="s">
        <v>137</v>
      </c>
    </row>
    <row r="32" spans="1:3">
      <c r="A32" t="str">
        <f>VLOOKUP(_02_dialog_boxes[[#This Row],[Name]],Sheet1!E:E,1,FALSE)</f>
        <v>03_19_mod_tifc</v>
      </c>
      <c r="B32" t="s">
        <v>168</v>
      </c>
      <c r="C32" t="s">
        <v>137</v>
      </c>
    </row>
    <row r="33" spans="1:3">
      <c r="A33" t="str">
        <f>VLOOKUP(_02_dialog_boxes[[#This Row],[Name]],Sheet1!E:E,1,FALSE)</f>
        <v>03_20_mod_ds</v>
      </c>
      <c r="B33" t="s">
        <v>169</v>
      </c>
      <c r="C33" t="s">
        <v>137</v>
      </c>
    </row>
    <row r="34" spans="1:3">
      <c r="A34" t="str">
        <f>VLOOKUP(_02_dialog_boxes[[#This Row],[Name]],Sheet1!E:E,1,FALSE)</f>
        <v>03_21_mod_tte</v>
      </c>
      <c r="B34" t="s">
        <v>170</v>
      </c>
      <c r="C34" t="s">
        <v>137</v>
      </c>
    </row>
    <row r="35" spans="1:3">
      <c r="A35" t="str">
        <f>VLOOKUP(_02_dialog_boxes[[#This Row],[Name]],Sheet1!E:E,1,FALSE)</f>
        <v>03_22_mod_ste</v>
      </c>
      <c r="B35" t="s">
        <v>171</v>
      </c>
      <c r="C35" t="s">
        <v>137</v>
      </c>
    </row>
    <row r="36" spans="1:3">
      <c r="A36" t="str">
        <f>VLOOKUP(_02_dialog_boxes[[#This Row],[Name]],Sheet1!E:E,1,FALSE)</f>
        <v>03_23_mod_is</v>
      </c>
      <c r="B36" t="s">
        <v>172</v>
      </c>
      <c r="C36" t="s">
        <v>137</v>
      </c>
    </row>
    <row r="37" spans="1:3">
      <c r="A37" t="str">
        <f>VLOOKUP(_02_dialog_boxes[[#This Row],[Name]],Sheet1!E:E,1,FALSE)</f>
        <v>03_24_mod_behaviour</v>
      </c>
      <c r="B37" t="s">
        <v>173</v>
      </c>
      <c r="C37" t="s">
        <v>137</v>
      </c>
    </row>
    <row r="38" spans="1:3">
      <c r="A38" t="str">
        <f>VLOOKUP(_02_dialog_boxes[[#This Row],[Name]],Sheet1!E:E,1,FALSE)</f>
        <v>08_references</v>
      </c>
      <c r="B38" t="s">
        <v>174</v>
      </c>
      <c r="C38" t="s">
        <v>137</v>
      </c>
    </row>
    <row r="39" spans="1:3">
      <c r="A39" t="str">
        <f>VLOOKUP(_02_dialog_boxes[[#This Row],[Name]],Sheet1!E:E,1,FALSE)</f>
        <v>09_glossary</v>
      </c>
      <c r="B39" t="s">
        <v>175</v>
      </c>
      <c r="C39" t="s">
        <v>137</v>
      </c>
    </row>
    <row r="40" spans="1:3">
      <c r="A40" t="str">
        <f>VLOOKUP(_02_dialog_boxes[[#This Row],[Name]],Sheet1!E:E,1,FALSE)</f>
        <v>10_other_resource_lib</v>
      </c>
      <c r="B40" t="s">
        <v>176</v>
      </c>
      <c r="C40" t="s">
        <v>137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ED10D3-5840-4483-A4A6-4A997FAEC2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02_dialog-boxes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Cassie Stevenson</dc:creator>
  <cp:lastModifiedBy>Cassie Stevenson</cp:lastModifiedBy>
  <dcterms:created xsi:type="dcterms:W3CDTF">2025-01-29T21:06:36Z</dcterms:created>
  <dcterms:modified xsi:type="dcterms:W3CDTF">2025-01-30T01:17:03Z</dcterms:modified>
</cp:coreProperties>
</file>